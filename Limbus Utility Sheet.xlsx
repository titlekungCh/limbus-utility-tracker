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acy" sheetId="1" r:id="rId5"/>
    <sheet state="visible" name="Inventory" sheetId="2" r:id="rId6"/>
    <sheet state="visible" name="DataSheet" sheetId="3" r:id="rId7"/>
    <sheet state="visible" name="IF SS7 Sheet" sheetId="4" r:id="rId8"/>
    <sheet state="visible" name="IF SS8 Sheet" sheetId="5" r:id="rId9"/>
    <sheet state="visible" name="ID Level" sheetId="6" r:id="rId10"/>
    <sheet state="visible" name="EGO Tier" sheetId="7" r:id="rId11"/>
    <sheet state="hidden" name="EGO Old" sheetId="8" r:id="rId12"/>
    <sheet state="hidden" name="Data Playground" sheetId="9" r:id="rId13"/>
    <sheet state="visible" name="Bokgak Teams" sheetId="10" r:id="rId14"/>
  </sheets>
  <definedNames>
    <definedName name="TicketData">DataSheet!$I$30:$K$33</definedName>
    <definedName name="SinnerIDList">'ID Level'!$I$2:$I$999</definedName>
    <definedName name="SinnerEGOData">'EGO Tier'!$J$2:$K$999</definedName>
    <definedName name="SinnerEGOList">'EGO Tier'!$J$2:$J$999</definedName>
    <definedName name="EGOShardNeeded">'EGO Tier'!$N$2:$N$999</definedName>
    <definedName name="TicketList">DataSheet!$I$30:$I$33</definedName>
    <definedName name="IDExtractionList">'ID Level'!$N$2:$N$999</definedName>
    <definedName name="EGOExtractionList">'EGO Tier'!$M$2:$M$999</definedName>
    <definedName name="SinnerIDData">'ID Level'!$I$2:$M$999</definedName>
    <definedName name="IDShardNeeded">'ID Level'!$O$2:$O$999</definedName>
    <definedName name="FingerList">'IF SS7 Sheet'!$F$15:$F$19</definedName>
    <definedName name="ShardNumber">DataSheet!$L$1:$N$12</definedName>
    <definedName name="SinnerList">DataSheet!$I$1:$I$12</definedName>
    <definedName name="SinnerAcronym">DataSheet!$H$1:$H$12</definedName>
    <definedName localSheetId="4" name="FingerList">'IF SS8 Sheet'!$F$15:$F$19</definedName>
    <definedName name="LevelRange">DataSheet!$A$2:$A$101</definedName>
    <definedName name="ManagerXPData">DataSheet!$D$2:$G$201</definedName>
    <definedName name="SinnerShard">DataSheet!$I$1:$J$12</definedName>
    <definedName name="IDLevelRange">DataSheet!$A$2:$C$101</definedName>
    <definedName name="ShardUsage">DataSheet!$L$1:$L$12</definedName>
    <definedName hidden="1" localSheetId="5" name="_xlnm._FilterDatabase">'ID Level'!$A$1:$M$999</definedName>
    <definedName hidden="1" localSheetId="6" name="_xlnm._FilterDatabase">'EGO Tier'!$A$1:$L$999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tc={31042200-02ac-4e41-8128-7abc10fc11ec}</author>
  </authors>
  <commentList>
    <comment authorId="0" ref="J18">
      <text>
        <t xml:space="preserve">Usually 3 times Week left or whatever to get the cool number</t>
      </text>
    </comment>
    <comment authorId="0" ref="K18">
      <text>
        <t xml:space="preserve">=24-~28</t>
      </text>
    </comment>
    <comment authorId="1" xr:uid="{31042200-02ac-4e41-8128-7abc10fc11ec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*0-~24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https://docs.google.com/spreadsheets/d/1dd1acJ31L_d8P07yRYqTDtptU4oCbycYLGhD8VBmbrI/edit?pli=1&amp;gid=1870766492#gid=1870766492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tc={4678ca2f-cb12-4cc0-8efd-7573876ca2c7}</author>
  </authors>
  <commentList>
    <comment authorId="0" xr:uid="{4678ca2f-cb12-4cc0-8efd-7573876ca2c7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+?
</t>
      </text>
    </comment>
  </commentList>
</comments>
</file>

<file path=xl/sharedStrings.xml><?xml version="1.0" encoding="utf-8"?>
<sst xmlns="http://schemas.openxmlformats.org/spreadsheetml/2006/main" count="5491" uniqueCount="2416">
  <si>
    <t>Lunacy Total</t>
  </si>
  <si>
    <t>Paid Lunacy</t>
  </si>
  <si>
    <t>Free Lunacy</t>
  </si>
  <si>
    <t>Extraction Ticket</t>
  </si>
  <si>
    <t>Decaextraction Ticket</t>
  </si>
  <si>
    <t>Total Rolls</t>
  </si>
  <si>
    <t>10 Rolls</t>
  </si>
  <si>
    <t>1 Roll After</t>
  </si>
  <si>
    <t>Leftover Lunacy</t>
  </si>
  <si>
    <t>Next Week Projection</t>
  </si>
  <si>
    <t>MD Lunacy</t>
  </si>
  <si>
    <t>- 7 Daily Convert</t>
  </si>
  <si>
    <t>Yi Sang</t>
  </si>
  <si>
    <t>EGO</t>
  </si>
  <si>
    <t xml:space="preserve"> YS</t>
  </si>
  <si>
    <t>1Star</t>
  </si>
  <si>
    <t>Thumb</t>
  </si>
  <si>
    <t>Thurs</t>
  </si>
  <si>
    <t>Sinner Full Name 
Conditional Formatting</t>
  </si>
  <si>
    <t>Sharding Type 
Conditional Formatting</t>
  </si>
  <si>
    <t>Sinner Acronym 
Conditional Formatting</t>
  </si>
  <si>
    <t>Sharding Type
Conditional Formatting</t>
  </si>
  <si>
    <t>Sinner Canto Level
Conditional Formatting</t>
  </si>
  <si>
    <t>Finger IDs 
Conditional Formatting</t>
  </si>
  <si>
    <t>Day (Num) of week 
Conditional Formatting</t>
  </si>
  <si>
    <t>Weekly Pass 
Conditional Formatting</t>
  </si>
  <si>
    <t>Day of week 
Conditional Formatting</t>
  </si>
  <si>
    <r>
      <rPr>
        <rFont val="Arial"/>
        <color theme="1"/>
        <sz val="8.0"/>
      </rPr>
      <t>IV</t>
    </r>
    <r>
      <rPr>
        <rFont val="Arial"/>
        <color theme="1"/>
        <sz val="9.0"/>
      </rPr>
      <t xml:space="preserve"> Ticket</t>
    </r>
  </si>
  <si>
    <r>
      <rPr>
        <rFont val="Arial"/>
        <color theme="1"/>
        <sz val="8.0"/>
      </rPr>
      <t>III</t>
    </r>
    <r>
      <rPr>
        <rFont val="Arial"/>
        <color theme="1"/>
        <sz val="9.0"/>
      </rPr>
      <t xml:space="preserve"> Ticket</t>
    </r>
  </si>
  <si>
    <t>Threads</t>
  </si>
  <si>
    <t>Crates</t>
  </si>
  <si>
    <t>Random Crates</t>
  </si>
  <si>
    <t>Enkephalin Box</t>
  </si>
  <si>
    <r>
      <rPr>
        <rFont val="Arial"/>
        <color theme="1"/>
        <sz val="9.0"/>
      </rPr>
      <t xml:space="preserve">Current </t>
    </r>
    <r>
      <rPr>
        <rFont val="Arial"/>
        <color theme="1"/>
        <sz val="8.0"/>
      </rPr>
      <t>XP</t>
    </r>
  </si>
  <si>
    <t>Manager Level</t>
  </si>
  <si>
    <r>
      <rPr>
        <rFont val="Arial"/>
        <color theme="1"/>
        <sz val="8.0"/>
      </rPr>
      <t xml:space="preserve">Next Level </t>
    </r>
    <r>
      <rPr>
        <rFont val="Arial"/>
        <color theme="1"/>
        <sz val="7.0"/>
      </rPr>
      <t>Enkephalin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</si>
  <si>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to Level Up</t>
    </r>
  </si>
  <si>
    <t>[Blade Lineage Mentor] Meursault</t>
  </si>
  <si>
    <r>
      <rPr>
        <rFont val="Arial"/>
        <color theme="1"/>
        <sz val="9.0"/>
      </rPr>
      <t xml:space="preserve">Next Level </t>
    </r>
    <r>
      <rPr>
        <rFont val="Arial"/>
        <color theme="1"/>
        <sz val="8.0"/>
      </rPr>
      <t>XP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</si>
  <si>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Experience</t>
    </r>
  </si>
  <si>
    <t>Next Nominable</t>
  </si>
  <si>
    <t>Event Unit</t>
  </si>
  <si>
    <t>Extractible Unit</t>
  </si>
  <si>
    <r>
      <rPr>
        <rFont val="Arial"/>
        <color theme="1"/>
        <sz val="8.0"/>
      </rPr>
      <t>ID/EGO</t>
    </r>
    <r>
      <rPr>
        <rFont val="Arial"/>
        <color theme="1"/>
        <sz val="9.0"/>
      </rPr>
      <t xml:space="preserve"> Reward</t>
    </r>
  </si>
  <si>
    <t>Announcer</t>
  </si>
  <si>
    <t>Banner</t>
  </si>
  <si>
    <t>Banner Effect</t>
  </si>
  <si>
    <t>Ticket</t>
  </si>
  <si>
    <t>Ticket Effect</t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</si>
  <si>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Level Target</t>
    </r>
  </si>
  <si>
    <t>Ticket Left After</t>
  </si>
  <si>
    <t>S1</t>
  </si>
  <si>
    <t>N Corp MS</t>
  </si>
  <si>
    <t>After 2 Daily</t>
  </si>
  <si>
    <t>After 1 MD:  4591</t>
  </si>
  <si>
    <t>Ticket IV</t>
  </si>
  <si>
    <t>S2</t>
  </si>
  <si>
    <t>Molar OT</t>
  </si>
  <si>
    <t>Spicebush YS</t>
  </si>
  <si>
    <t>Sunshower HC</t>
  </si>
  <si>
    <t>RSP RD</t>
  </si>
  <si>
    <r>
      <rPr>
        <rFont val="Arial"/>
        <color theme="1"/>
        <sz val="8.0"/>
      </rPr>
      <t>E</t>
    </r>
    <r>
      <rPr>
        <rFont val="Arial"/>
        <color theme="1"/>
        <sz val="9.0"/>
      </rPr>
      <t xml:space="preserve">vent </t>
    </r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urrency </t>
    </r>
    <r>
      <rPr>
        <rFont val="Arial"/>
        <color theme="1"/>
        <sz val="8.0"/>
      </rPr>
      <t>R</t>
    </r>
    <r>
      <rPr>
        <rFont val="Arial"/>
        <color theme="1"/>
        <sz val="9.0"/>
      </rPr>
      <t>equired</t>
    </r>
  </si>
  <si>
    <r>
      <rPr>
        <rFont val="Arial"/>
        <color theme="1"/>
        <sz val="8.0"/>
      </rPr>
      <t>E</t>
    </r>
    <r>
      <rPr>
        <rFont val="Arial"/>
        <color theme="1"/>
        <sz val="9.0"/>
      </rPr>
      <t xml:space="preserve">vent </t>
    </r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urrency </t>
    </r>
    <r>
      <rPr>
        <rFont val="Arial"/>
        <color theme="1"/>
        <sz val="8.0"/>
      </rPr>
      <t>N</t>
    </r>
    <r>
      <rPr>
        <rFont val="Arial"/>
        <color theme="1"/>
        <sz val="9.0"/>
      </rPr>
      <t>eeded</t>
    </r>
  </si>
  <si>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urrent </t>
    </r>
    <r>
      <rPr>
        <rFont val="Arial"/>
        <color theme="1"/>
        <sz val="8.0"/>
      </rPr>
      <t>C</t>
    </r>
    <r>
      <rPr>
        <rFont val="Arial"/>
        <color theme="1"/>
        <sz val="9.0"/>
      </rPr>
      <t>urrency</t>
    </r>
  </si>
  <si>
    <t>After 3 Daily</t>
  </si>
  <si>
    <t>After 1 MD:  4831</t>
  </si>
  <si>
    <t>Ticket III</t>
  </si>
  <si>
    <t>S3</t>
  </si>
  <si>
    <t>Pequod IS</t>
  </si>
  <si>
    <t>Pequod HC</t>
  </si>
  <si>
    <t>Pirate GG</t>
  </si>
  <si>
    <r>
      <rPr>
        <rFont val="Arial"/>
        <color theme="1"/>
        <sz val="9.0"/>
      </rPr>
      <t xml:space="preserve">Extractible </t>
    </r>
    <r>
      <rPr>
        <rFont val="Arial"/>
        <color theme="1"/>
        <sz val="8.0"/>
      </rPr>
      <t>EGO</t>
    </r>
  </si>
  <si>
    <t>After 4 Daily</t>
  </si>
  <si>
    <t>After 1 MD:  5071</t>
  </si>
  <si>
    <t>Ticket II</t>
  </si>
  <si>
    <t>S4</t>
  </si>
  <si>
    <t>MC FT</t>
  </si>
  <si>
    <t>WH GG</t>
  </si>
  <si>
    <t>WH RS</t>
  </si>
  <si>
    <r>
      <rPr>
        <rFont val="Arial"/>
        <color theme="1"/>
        <sz val="9.0"/>
      </rPr>
      <t>R</t>
    </r>
    <r>
      <rPr>
        <rFont val="Arial"/>
        <color theme="1"/>
        <sz val="9.0"/>
      </rPr>
      <t>eward</t>
    </r>
    <r>
      <rPr>
        <rFont val="Arial"/>
        <color theme="1"/>
        <sz val="9.0"/>
      </rPr>
      <t xml:space="preserve"> T</t>
    </r>
    <r>
      <rPr>
        <rFont val="Arial"/>
        <color theme="1"/>
        <sz val="9.0"/>
      </rPr>
      <t>ype</t>
    </r>
  </si>
  <si>
    <r>
      <rPr>
        <rFont val="Arial"/>
        <color theme="1"/>
        <sz val="9.0"/>
      </rPr>
      <t xml:space="preserve">Extractible </t>
    </r>
    <r>
      <rPr>
        <rFont val="Arial"/>
        <color theme="1"/>
        <sz val="8.0"/>
      </rPr>
      <t>ID</t>
    </r>
  </si>
  <si>
    <t>After 5 Daily</t>
  </si>
  <si>
    <t>After 1 MD:  5311</t>
  </si>
  <si>
    <t>Tue</t>
  </si>
  <si>
    <t>Ticket I</t>
  </si>
  <si>
    <t>S5</t>
  </si>
  <si>
    <t>KK IS</t>
  </si>
  <si>
    <t>Mancha GG</t>
  </si>
  <si>
    <t>Firefist GG</t>
  </si>
  <si>
    <t>Mancha OT</t>
  </si>
  <si>
    <t>000 ID</t>
  </si>
  <si>
    <r>
      <rPr>
        <rFont val="Arial"/>
        <color theme="1"/>
        <sz val="8.0"/>
      </rPr>
      <t>Need-to-Shard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EGO</t>
    </r>
  </si>
  <si>
    <t>After 6 Daily</t>
  </si>
  <si>
    <t>After 1 MD:  5551</t>
  </si>
  <si>
    <t>Gacha Pull Result</t>
  </si>
  <si>
    <t>Mirror Dungeon Schedules</t>
  </si>
  <si>
    <t>KK HC</t>
  </si>
  <si>
    <r>
      <rPr>
        <rFont val="Arial"/>
        <color theme="1"/>
        <sz val="8.0"/>
      </rPr>
      <t>Need-to-Shard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ID</t>
    </r>
  </si>
  <si>
    <t>After 7 Daily</t>
  </si>
  <si>
    <t>After 1 MD:  5791</t>
  </si>
  <si>
    <r>
      <rPr>
        <rFont val="Arial"/>
        <b/>
        <color rgb="FF8E7CC3"/>
        <sz val="9.0"/>
      </rPr>
      <t>R</t>
    </r>
    <r>
      <rPr>
        <rFont val="Arial"/>
        <b/>
        <color rgb="FF6D9EEB"/>
        <sz val="9.0"/>
      </rPr>
      <t>e</t>
    </r>
    <r>
      <rPr>
        <rFont val="Arial"/>
        <b/>
        <color rgb="FF93C47D"/>
        <sz val="9.0"/>
      </rPr>
      <t>n</t>
    </r>
    <r>
      <rPr>
        <rFont val="Arial"/>
        <b/>
        <color rgb="FFFFD966"/>
        <sz val="9.0"/>
      </rPr>
      <t>t</t>
    </r>
    <r>
      <rPr>
        <rFont val="Arial"/>
        <b/>
        <color rgb="FFF6B26B"/>
        <sz val="9.0"/>
      </rPr>
      <t>a</t>
    </r>
    <r>
      <rPr>
        <rFont val="Arial"/>
        <b/>
        <color rgb="FFE06666"/>
        <sz val="9.0"/>
      </rPr>
      <t>l</t>
    </r>
  </si>
  <si>
    <t>SF</t>
  </si>
  <si>
    <t>Liu YS</t>
  </si>
  <si>
    <t>Cinq DQ</t>
  </si>
  <si>
    <t>Zwei IS</t>
  </si>
  <si>
    <t>R MS</t>
  </si>
  <si>
    <r>
      <rPr>
        <rFont val="Arial"/>
        <color theme="1"/>
        <sz val="8.0"/>
      </rPr>
      <t>S</t>
    </r>
    <r>
      <rPr>
        <rFont val="Arial"/>
        <color theme="1"/>
        <sz val="9.0"/>
      </rPr>
      <t>inner:</t>
    </r>
  </si>
  <si>
    <t>This Week Projection</t>
  </si>
  <si>
    <t>Daily left</t>
  </si>
  <si>
    <t>Weekly left</t>
  </si>
  <si>
    <t>Normal left total</t>
  </si>
  <si>
    <r>
      <rPr>
        <rFont val="Arial"/>
        <color theme="1"/>
        <sz val="8.0"/>
      </rPr>
      <t xml:space="preserve">Week til </t>
    </r>
    <r>
      <rPr>
        <rFont val="Arial"/>
        <color theme="1"/>
        <sz val="7.0"/>
      </rPr>
      <t>Season</t>
    </r>
    <r>
      <rPr>
        <rFont val="Arial"/>
        <color theme="1"/>
        <sz val="8.0"/>
      </rPr>
      <t xml:space="preserve"> end</t>
    </r>
  </si>
  <si>
    <t>Uptying Sinner</t>
  </si>
  <si>
    <r>
      <rPr>
        <rFont val="Arial"/>
        <b/>
        <color rgb="FF0000FF"/>
        <sz val="9.0"/>
      </rPr>
      <t>Poise</t>
    </r>
    <r>
      <rPr>
        <rFont val="Arial"/>
        <b/>
        <color rgb="FFCFE2F3"/>
        <sz val="9.0"/>
      </rPr>
      <t xml:space="preserve"> </t>
    </r>
    <r>
      <rPr>
        <rFont val="Arial"/>
        <b/>
        <color rgb="FF00FF00"/>
        <sz val="9.0"/>
      </rPr>
      <t>Rupture</t>
    </r>
  </si>
  <si>
    <t>R HC</t>
  </si>
  <si>
    <t>R IS</t>
  </si>
  <si>
    <t>W OT</t>
  </si>
  <si>
    <t>W RS</t>
  </si>
  <si>
    <r>
      <rPr>
        <rFont val="Arial"/>
        <color theme="1"/>
        <sz val="8.0"/>
      </rPr>
      <t>S</t>
    </r>
    <r>
      <rPr>
        <rFont val="Arial"/>
        <color theme="1"/>
        <sz val="9.0"/>
      </rPr>
      <t xml:space="preserve">hard </t>
    </r>
    <r>
      <rPr>
        <rFont val="Arial"/>
        <color theme="1"/>
        <sz val="8.0"/>
      </rPr>
      <t>T</t>
    </r>
    <r>
      <rPr>
        <rFont val="Arial"/>
        <color theme="1"/>
        <sz val="9.0"/>
      </rPr>
      <t>ype</t>
    </r>
  </si>
  <si>
    <t>EGO/3 Star</t>
  </si>
  <si>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rate </t>
    </r>
    <r>
      <rPr>
        <rFont val="Arial"/>
        <color theme="1"/>
        <sz val="8.0"/>
      </rPr>
      <t>R</t>
    </r>
    <r>
      <rPr>
        <rFont val="Arial"/>
        <color theme="1"/>
        <sz val="9.0"/>
      </rPr>
      <t>equired</t>
    </r>
  </si>
  <si>
    <r>
      <rPr>
        <rFont val="Arial"/>
        <color theme="1"/>
        <sz val="7.0"/>
      </rPr>
      <t>Pass Level</t>
    </r>
    <r>
      <rPr>
        <rFont val="Arial"/>
        <color theme="1"/>
        <sz val="9.0"/>
      </rPr>
      <t xml:space="preserve"> </t>
    </r>
    <r>
      <rPr>
        <rFont val="Arial"/>
        <color theme="1"/>
        <sz val="6.0"/>
      </rPr>
      <t>Requirement</t>
    </r>
  </si>
  <si>
    <t>Ishmael</t>
  </si>
  <si>
    <t>Tremor</t>
  </si>
  <si>
    <t>Walp</t>
  </si>
  <si>
    <t>FS HC</t>
  </si>
  <si>
    <t>MB OT</t>
  </si>
  <si>
    <t>RE&amp;P RS</t>
  </si>
  <si>
    <t>Regret FT</t>
  </si>
  <si>
    <r>
      <rPr>
        <rFont val="Arial"/>
        <color theme="1"/>
        <sz val="8.0"/>
      </rPr>
      <t>S</t>
    </r>
    <r>
      <rPr>
        <rFont val="Arial"/>
        <color theme="1"/>
        <sz val="9.0"/>
      </rPr>
      <t xml:space="preserve">hard </t>
    </r>
    <r>
      <rPr>
        <rFont val="Arial"/>
        <color theme="1"/>
        <sz val="8.0"/>
      </rPr>
      <t>N</t>
    </r>
    <r>
      <rPr>
        <rFont val="Arial"/>
        <color theme="1"/>
        <sz val="9.0"/>
      </rPr>
      <t>eeded</t>
    </r>
  </si>
  <si>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rate </t>
    </r>
    <r>
      <rPr>
        <rFont val="Arial"/>
        <color theme="1"/>
        <sz val="8.0"/>
      </rPr>
      <t>P</t>
    </r>
    <r>
      <rPr>
        <rFont val="Arial"/>
        <color theme="1"/>
        <sz val="9.0"/>
      </rPr>
      <t>osessed</t>
    </r>
  </si>
  <si>
    <r>
      <rPr>
        <rFont val="Arial"/>
        <color theme="1"/>
        <sz val="8.0"/>
      </rPr>
      <t>Current Pass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Level</t>
    </r>
  </si>
  <si>
    <t>2 Hard Left</t>
  </si>
  <si>
    <t>3 Hard Left</t>
  </si>
  <si>
    <t>Sinking</t>
  </si>
  <si>
    <r>
      <rPr>
        <rFont val="Arial"/>
        <color theme="1"/>
        <sz val="8.0"/>
      </rPr>
      <t>S</t>
    </r>
    <r>
      <rPr>
        <rFont val="Arial"/>
        <color theme="1"/>
        <sz val="9.0"/>
      </rPr>
      <t xml:space="preserve">hard </t>
    </r>
    <r>
      <rPr>
        <rFont val="Arial"/>
        <color theme="1"/>
        <sz val="8.0"/>
      </rPr>
      <t>P</t>
    </r>
    <r>
      <rPr>
        <rFont val="Arial"/>
        <color theme="1"/>
        <sz val="9.0"/>
      </rPr>
      <t>ossesed</t>
    </r>
  </si>
  <si>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rate </t>
    </r>
    <r>
      <rPr>
        <rFont val="Arial"/>
        <color theme="1"/>
        <sz val="8.0"/>
      </rPr>
      <t>to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</t>
    </r>
    <r>
      <rPr>
        <rFont val="Arial"/>
        <color theme="1"/>
        <sz val="9.0"/>
      </rPr>
      <t>rind</t>
    </r>
  </si>
  <si>
    <r>
      <rPr>
        <rFont val="Arial"/>
        <color theme="1"/>
        <sz val="8.0"/>
      </rPr>
      <t>P</t>
    </r>
    <r>
      <rPr>
        <rFont val="Arial"/>
        <color theme="1"/>
        <sz val="9.0"/>
      </rPr>
      <t xml:space="preserve">ass </t>
    </r>
    <r>
      <rPr>
        <rFont val="Arial"/>
        <color theme="1"/>
        <sz val="8.0"/>
      </rPr>
      <t>L</t>
    </r>
    <r>
      <rPr>
        <rFont val="Arial"/>
        <color theme="1"/>
        <sz val="9.0"/>
      </rPr>
      <t>evel goal</t>
    </r>
  </si>
  <si>
    <t>Burn</t>
  </si>
  <si>
    <r>
      <rPr>
        <rFont val="Arial"/>
        <color theme="1"/>
        <sz val="8.0"/>
      </rPr>
      <t>C</t>
    </r>
    <r>
      <rPr>
        <rFont val="Arial"/>
        <color theme="1"/>
        <sz val="9.0"/>
      </rPr>
      <t xml:space="preserve">rate </t>
    </r>
    <r>
      <rPr>
        <rFont val="Arial"/>
        <color theme="1"/>
        <sz val="8.0"/>
      </rPr>
      <t>to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</t>
    </r>
    <r>
      <rPr>
        <rFont val="Arial"/>
        <color theme="1"/>
        <sz val="9.0"/>
      </rPr>
      <t>pen</t>
    </r>
  </si>
  <si>
    <r>
      <rPr>
        <rFont val="Arial"/>
        <color theme="1"/>
        <sz val="8.0"/>
      </rPr>
      <t>Crate final</t>
    </r>
    <r>
      <rPr>
        <rFont val="Arial"/>
        <color theme="1"/>
        <sz val="9.0"/>
      </rPr>
      <t xml:space="preserve"> </t>
    </r>
    <r>
      <rPr>
        <rFont val="Arial"/>
        <color theme="1"/>
        <sz val="7.0"/>
      </rPr>
      <t>Projection</t>
    </r>
  </si>
  <si>
    <t>Pass level will gain</t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</si>
  <si>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00"/>
        <sz val="9.0"/>
      </rPr>
      <t>Rupture</t>
    </r>
  </si>
  <si>
    <t>Bleed</t>
  </si>
  <si>
    <r>
      <rPr>
        <rFont val="Arial"/>
        <color rgb="FF9900FF"/>
        <sz val="9.0"/>
      </rPr>
      <t>R</t>
    </r>
    <r>
      <rPr>
        <rFont val="Arial"/>
        <color rgb="FF4A86E8"/>
        <sz val="9.0"/>
      </rPr>
      <t>e</t>
    </r>
    <r>
      <rPr>
        <rFont val="Arial"/>
        <color rgb="FF00FF00"/>
        <sz val="9.0"/>
      </rPr>
      <t>n</t>
    </r>
    <r>
      <rPr>
        <rFont val="Arial"/>
        <color rgb="FFFFFF00"/>
        <sz val="9.0"/>
      </rPr>
      <t>t</t>
    </r>
    <r>
      <rPr>
        <rFont val="Arial"/>
        <color rgb="FFFF9900"/>
        <sz val="9.0"/>
      </rPr>
      <t>a</t>
    </r>
    <r>
      <rPr>
        <rFont val="Arial"/>
        <color rgb="FFFF0000"/>
        <sz val="9.0"/>
      </rPr>
      <t>l</t>
    </r>
  </si>
  <si>
    <r>
      <rPr>
        <rFont val="Arial"/>
        <color theme="1"/>
        <sz val="8.0"/>
      </rPr>
      <t>S</t>
    </r>
    <r>
      <rPr>
        <rFont val="Arial"/>
        <color theme="1"/>
        <sz val="9.0"/>
      </rPr>
      <t xml:space="preserve">hard </t>
    </r>
    <r>
      <rPr>
        <rFont val="Arial"/>
        <color theme="1"/>
        <sz val="8.0"/>
      </rPr>
      <t>R</t>
    </r>
    <r>
      <rPr>
        <rFont val="Arial"/>
        <color theme="1"/>
        <sz val="9.0"/>
      </rPr>
      <t>equired</t>
    </r>
  </si>
  <si>
    <r>
      <rPr>
        <rFont val="Arial"/>
        <color theme="1"/>
        <sz val="8.0"/>
      </rPr>
      <t xml:space="preserve">000 </t>
    </r>
    <r>
      <rPr>
        <rFont val="Arial"/>
        <color theme="1"/>
        <sz val="7.0"/>
      </rPr>
      <t>Current</t>
    </r>
    <r>
      <rPr>
        <rFont val="Arial"/>
        <color theme="1"/>
        <sz val="8.0"/>
      </rPr>
      <t xml:space="preserve"> Capable</t>
    </r>
  </si>
  <si>
    <t>Pass level final</t>
  </si>
  <si>
    <t>Charge</t>
  </si>
  <si>
    <r>
      <rPr>
        <rFont val="Arial"/>
        <color theme="1"/>
        <sz val="8.0"/>
      </rPr>
      <t xml:space="preserve">000 </t>
    </r>
    <r>
      <rPr>
        <rFont val="Arial"/>
        <color theme="1"/>
        <sz val="7.0"/>
      </rPr>
      <t>SS End</t>
    </r>
    <r>
      <rPr>
        <rFont val="Arial"/>
        <color theme="1"/>
        <sz val="8.0"/>
      </rPr>
      <t xml:space="preserve"> Capable</t>
    </r>
  </si>
  <si>
    <t>Hard</t>
  </si>
  <si>
    <t>Normal</t>
  </si>
  <si>
    <t>Sinner</t>
  </si>
  <si>
    <t>Faust</t>
  </si>
  <si>
    <t>Don Quixote</t>
  </si>
  <si>
    <t>Ryoshu</t>
  </si>
  <si>
    <t>Meursault</t>
  </si>
  <si>
    <t>Hong Lu</t>
  </si>
  <si>
    <t>Heathcliff</t>
  </si>
  <si>
    <t>Rodion</t>
  </si>
  <si>
    <t>Sinclair</t>
  </si>
  <si>
    <t>Outis</t>
  </si>
  <si>
    <t>Gregor</t>
  </si>
  <si>
    <t>Shard Type</t>
  </si>
  <si>
    <t>2 3 Star + UT4</t>
  </si>
  <si>
    <t>3 Star UT</t>
  </si>
  <si>
    <t>2 3 Star</t>
  </si>
  <si>
    <r>
      <rPr>
        <rFont val="Arial"/>
        <color theme="1"/>
        <sz val="8.0"/>
      </rPr>
      <t>ID/EGO</t>
    </r>
    <r>
      <rPr>
        <rFont val="Arial"/>
        <color theme="1"/>
        <sz val="9.0"/>
      </rPr>
      <t xml:space="preserve"> to Shard</t>
    </r>
  </si>
  <si>
    <t>Walp SS7</t>
  </si>
  <si>
    <t>Index Proselyte+UT</t>
  </si>
  <si>
    <t>Araya+UT</t>
  </si>
  <si>
    <t>Shadow-Vested</t>
  </si>
  <si>
    <t>Dim Shred</t>
  </si>
  <si>
    <t>Thumb Apprentice+UT</t>
  </si>
  <si>
    <t>Kurokumo</t>
  </si>
  <si>
    <t>Into the Sunset</t>
  </si>
  <si>
    <t>Pinky App+UT</t>
  </si>
  <si>
    <t>Middle Father+UT</t>
  </si>
  <si>
    <t>Firefist?</t>
  </si>
  <si>
    <t>Ring Apprentice+UT</t>
  </si>
  <si>
    <t>Thumb Mother</t>
  </si>
  <si>
    <t>Priest</t>
  </si>
  <si>
    <r>
      <rPr>
        <rFont val="Arial"/>
        <color theme="1"/>
        <sz val="8.0"/>
      </rPr>
      <t>UT/TS</t>
    </r>
    <r>
      <rPr>
        <rFont val="Arial"/>
        <color theme="1"/>
        <sz val="9.0"/>
      </rPr>
      <t xml:space="preserve"> Threads</t>
    </r>
  </si>
  <si>
    <t>Confirmed</t>
  </si>
  <si>
    <r>
      <rPr>
        <rFont val="Arial"/>
        <b/>
        <strike/>
        <color theme="1"/>
        <sz val="9.0"/>
      </rPr>
      <t>Index</t>
    </r>
    <r>
      <rPr>
        <rFont val="Arial"/>
        <b/>
        <color theme="1"/>
        <sz val="6.0"/>
      </rPr>
      <t xml:space="preserve"> </t>
    </r>
    <r>
      <rPr>
        <rFont val="Arial"/>
        <b/>
        <strike/>
        <color theme="1"/>
        <sz val="6.0"/>
      </rPr>
      <t>Father</t>
    </r>
    <r>
      <rPr>
        <rFont val="Arial"/>
        <b/>
        <color theme="1"/>
        <sz val="7.0"/>
      </rPr>
      <t xml:space="preserve"> </t>
    </r>
    <r>
      <rPr>
        <rFont val="Arial"/>
        <b val="0"/>
        <color rgb="FF0000FF"/>
        <sz val="8.0"/>
      </rPr>
      <t>P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0000"/>
        <sz val="8.0"/>
      </rPr>
      <t xml:space="preserve">Bu </t>
    </r>
    <r>
      <rPr>
        <rFont val="Arial"/>
        <b val="0"/>
        <color rgb="FF00FFFF"/>
        <sz val="8.0"/>
      </rPr>
      <t>S</t>
    </r>
  </si>
  <si>
    <r>
      <rPr>
        <rFont val="Arial"/>
        <b/>
        <color theme="1"/>
        <sz val="9.0"/>
      </rPr>
      <t xml:space="preserve">Index </t>
    </r>
    <r>
      <rPr>
        <rFont val="Arial"/>
        <b/>
        <color theme="1"/>
        <sz val="7.0"/>
      </rPr>
      <t>Proselyte</t>
    </r>
    <r>
      <rPr>
        <rFont val="Arial"/>
        <b/>
        <color theme="1"/>
        <sz val="9.0"/>
      </rPr>
      <t xml:space="preserve"> </t>
    </r>
    <r>
      <rPr>
        <rFont val="Arial"/>
        <b val="0"/>
        <color rgb="FF0000FF"/>
        <sz val="8.0"/>
      </rPr>
      <t>P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00FFFF"/>
        <sz val="8.0"/>
      </rPr>
      <t>S</t>
    </r>
  </si>
  <si>
    <r>
      <rPr>
        <rFont val="Arial"/>
        <b/>
        <strike/>
        <color theme="1"/>
        <sz val="9.0"/>
      </rPr>
      <t>Index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Proxy</t>
    </r>
    <r>
      <rPr>
        <rFont val="Arial"/>
        <b/>
        <color theme="1"/>
        <sz val="9.0"/>
      </rPr>
      <t xml:space="preserve"> </t>
    </r>
    <r>
      <rPr>
        <rFont val="Arial"/>
        <b val="0"/>
        <color rgb="FF0000FF"/>
        <sz val="8.0"/>
      </rPr>
      <t>P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00FFFF"/>
        <sz val="8.0"/>
      </rPr>
      <t>S</t>
    </r>
  </si>
  <si>
    <r>
      <rPr>
        <rFont val="Arial"/>
        <b/>
        <strike/>
        <color theme="1"/>
        <sz val="9.0"/>
      </rPr>
      <t>FA&amp;S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00FFFF"/>
        <sz val="8.0"/>
      </rPr>
      <t>S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FF00"/>
        <sz val="8.0"/>
      </rPr>
      <t>T</t>
    </r>
  </si>
  <si>
    <r>
      <rPr>
        <rFont val="Arial"/>
        <b/>
        <strike/>
        <color theme="1"/>
        <sz val="9.0"/>
      </rPr>
      <t>Hornet</t>
    </r>
    <r>
      <rPr>
        <rFont val="Arial"/>
        <color theme="1"/>
        <sz val="9.0"/>
      </rPr>
      <t xml:space="preserve"> </t>
    </r>
    <r>
      <rPr>
        <rFont val="Arial"/>
        <color rgb="FFFF0000"/>
        <sz val="8.0"/>
      </rPr>
      <t xml:space="preserve">Bu </t>
    </r>
    <r>
      <rPr>
        <rFont val="Arial"/>
        <color rgb="FFFF9900"/>
        <sz val="8.0"/>
      </rPr>
      <t>Bl</t>
    </r>
  </si>
  <si>
    <r>
      <rPr>
        <rFont val="Arial"/>
        <b/>
        <strike/>
        <color theme="1"/>
        <sz val="9.0"/>
      </rPr>
      <t>Ring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Father</t>
    </r>
    <r>
      <rPr>
        <rFont val="Arial"/>
        <color theme="1"/>
        <sz val="9.0"/>
      </rPr>
      <t xml:space="preserve"> </t>
    </r>
    <r>
      <rPr>
        <rFont val="Arial"/>
        <color rgb="FFFF00FF"/>
        <sz val="8.0"/>
      </rPr>
      <t>C</t>
    </r>
    <r>
      <rPr>
        <rFont val="Arial"/>
        <color rgb="FFFF9900"/>
        <sz val="8.0"/>
      </rPr>
      <t xml:space="preserve"> Bl</t>
    </r>
  </si>
  <si>
    <r>
      <rPr>
        <rFont val="Arial"/>
        <b/>
        <strike/>
        <color theme="1"/>
        <sz val="9.0"/>
      </rPr>
      <t>Middle</t>
    </r>
    <r>
      <rPr>
        <rFont val="Arial"/>
        <color rgb="FFFFFFFF"/>
        <sz val="9.0"/>
      </rPr>
      <t>-</t>
    </r>
    <r>
      <rPr>
        <rFont val="Arial"/>
        <b/>
        <strike/>
        <color theme="1"/>
        <sz val="8.0"/>
      </rPr>
      <t>Ricardo</t>
    </r>
    <r>
      <rPr>
        <rFont val="Arial"/>
        <color theme="1"/>
        <sz val="9.0"/>
      </rPr>
      <t xml:space="preserve"> </t>
    </r>
    <r>
      <rPr>
        <rFont val="Arial"/>
        <color rgb="FFFF0000"/>
        <sz val="8.0"/>
      </rPr>
      <t>Bu</t>
    </r>
    <r>
      <rPr>
        <rFont val="Arial"/>
        <color theme="1"/>
        <sz val="9.0"/>
      </rPr>
      <t xml:space="preserve"> </t>
    </r>
    <r>
      <rPr>
        <rFont val="Arial"/>
        <color rgb="FFFF9900"/>
        <sz val="8.0"/>
      </rPr>
      <t>Bl</t>
    </r>
    <r>
      <rPr>
        <rFont val="Arial"/>
        <color theme="1"/>
        <sz val="8.0"/>
      </rPr>
      <t xml:space="preserve"> </t>
    </r>
    <r>
      <rPr>
        <rFont val="Arial"/>
        <color rgb="FFFFFF00"/>
        <sz val="8.0"/>
      </rPr>
      <t>T</t>
    </r>
  </si>
  <si>
    <r>
      <rPr>
        <rFont val="Arial"/>
        <b/>
        <strike/>
        <color theme="1"/>
        <sz val="9.0"/>
      </rPr>
      <t>Middle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App</t>
    </r>
    <r>
      <rPr>
        <rFont val="Arial"/>
        <b/>
        <color theme="1"/>
        <sz val="9.0"/>
      </rPr>
      <t xml:space="preserve"> </t>
    </r>
    <r>
      <rPr>
        <rFont val="Arial"/>
        <b val="0"/>
        <color rgb="FFFF0000"/>
        <sz val="8.0"/>
      </rPr>
      <t>Bu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9900"/>
        <sz val="8.0"/>
      </rPr>
      <t>Bl</t>
    </r>
  </si>
  <si>
    <r>
      <rPr>
        <rFont val="Arial"/>
        <b/>
        <strike/>
        <color theme="1"/>
        <sz val="9.0"/>
      </rPr>
      <t>Ring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Docent</t>
    </r>
    <r>
      <rPr>
        <rFont val="Arial"/>
        <color theme="1"/>
        <sz val="9.0"/>
      </rPr>
      <t xml:space="preserve"> </t>
    </r>
    <r>
      <rPr>
        <rFont val="Arial"/>
        <color rgb="FFFF9900"/>
        <sz val="8.0"/>
      </rPr>
      <t>Bl</t>
    </r>
    <r>
      <rPr>
        <rFont val="Arial"/>
        <color theme="1"/>
        <sz val="8.0"/>
      </rPr>
      <t xml:space="preserve"> </t>
    </r>
    <r>
      <rPr>
        <rFont val="Arial"/>
        <color rgb="FF00FFFF"/>
        <sz val="8.0"/>
      </rPr>
      <t>S</t>
    </r>
  </si>
  <si>
    <r>
      <rPr>
        <rFont val="Arial"/>
        <b/>
        <color theme="1"/>
        <sz val="9.0"/>
      </rPr>
      <t xml:space="preserve">Pinky App </t>
    </r>
    <r>
      <rPr>
        <rFont val="Arial"/>
        <b val="0"/>
        <color rgb="FF0000FF"/>
        <sz val="8.0"/>
      </rPr>
      <t>P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9900"/>
        <sz val="8.0"/>
      </rPr>
      <t>Bl</t>
    </r>
  </si>
  <si>
    <r>
      <rPr>
        <rFont val="Arial"/>
        <b/>
        <strike/>
        <color theme="1"/>
        <sz val="9.0"/>
      </rPr>
      <t>LCA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Udjat</t>
    </r>
    <r>
      <rPr>
        <rFont val="Arial"/>
        <b/>
        <color theme="1"/>
        <sz val="9.0"/>
      </rPr>
      <t xml:space="preserve"> </t>
    </r>
    <r>
      <rPr>
        <rFont val="Arial"/>
        <b val="0"/>
        <color rgb="FF00FFFF"/>
        <sz val="8.0"/>
      </rPr>
      <t>S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FF00"/>
        <sz val="8.0"/>
      </rPr>
      <t>T</t>
    </r>
  </si>
  <si>
    <r>
      <rPr>
        <rFont val="Arial"/>
        <b/>
        <strike/>
        <color theme="1"/>
        <sz val="9.0"/>
      </rPr>
      <t>Hoen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Lamp</t>
    </r>
    <r>
      <rPr>
        <rFont val="Arial"/>
        <b/>
        <color theme="1"/>
        <sz val="9.0"/>
      </rPr>
      <t xml:space="preserve"> </t>
    </r>
    <r>
      <rPr>
        <rFont val="Arial"/>
        <b val="0"/>
        <color rgb="FFFF0000"/>
        <sz val="8.0"/>
      </rPr>
      <t>Bu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00FFFF"/>
        <sz val="8.0"/>
      </rPr>
      <t>S</t>
    </r>
  </si>
  <si>
    <t>Days Needed</t>
  </si>
  <si>
    <t>Assumed</t>
  </si>
  <si>
    <r>
      <rPr>
        <rFont val="Arial"/>
        <b/>
        <color theme="1"/>
        <sz val="9.0"/>
      </rPr>
      <t>Ring App</t>
    </r>
    <r>
      <rPr>
        <rFont val="Arial"/>
        <color theme="1"/>
        <sz val="9.0"/>
      </rPr>
      <t xml:space="preserve"> </t>
    </r>
    <r>
      <rPr>
        <rFont val="Arial"/>
        <color rgb="FFFF00FF"/>
        <sz val="8.0"/>
      </rPr>
      <t>C</t>
    </r>
    <r>
      <rPr>
        <rFont val="Arial"/>
        <color rgb="FFFF9900"/>
        <sz val="8.0"/>
      </rPr>
      <t xml:space="preserve"> Bl</t>
    </r>
  </si>
  <si>
    <r>
      <rPr>
        <rFont val="Arial"/>
        <b/>
        <color theme="1"/>
        <sz val="9.0"/>
      </rPr>
      <t>Araya</t>
    </r>
    <r>
      <rPr>
        <rFont val="Arial"/>
        <color theme="1"/>
        <sz val="9.0"/>
      </rPr>
      <t xml:space="preserve">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0000FF"/>
        <sz val="8.0"/>
      </rPr>
      <t>P</t>
    </r>
    <r>
      <rPr>
        <rFont val="Arial"/>
        <color theme="1"/>
        <sz val="8.0"/>
      </rPr>
      <t xml:space="preserve"> </t>
    </r>
    <r>
      <rPr>
        <rFont val="Arial"/>
        <color rgb="FFFF9900"/>
        <sz val="8.0"/>
      </rPr>
      <t>Bl</t>
    </r>
  </si>
  <si>
    <r>
      <rPr>
        <rFont val="Arial"/>
        <b/>
        <strike/>
        <color theme="1"/>
        <sz val="9.0"/>
      </rPr>
      <t>Ring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8.0"/>
      </rPr>
      <t>Student</t>
    </r>
    <r>
      <rPr>
        <rFont val="Arial"/>
        <color theme="1"/>
        <sz val="9.0"/>
      </rPr>
      <t xml:space="preserve"> </t>
    </r>
    <r>
      <rPr>
        <rFont val="Arial"/>
        <color rgb="FFFF9900"/>
        <sz val="8.0"/>
      </rPr>
      <t>Bl</t>
    </r>
    <r>
      <rPr>
        <rFont val="Arial"/>
        <color theme="1"/>
        <sz val="8.0"/>
      </rPr>
      <t xml:space="preserve"> </t>
    </r>
    <r>
      <rPr>
        <rFont val="Arial"/>
        <color rgb="FF00FFFF"/>
        <sz val="8.0"/>
      </rPr>
      <t>S</t>
    </r>
  </si>
  <si>
    <r>
      <rPr>
        <rFont val="Arial"/>
        <b/>
        <strike/>
        <color theme="1"/>
        <sz val="9.0"/>
      </rPr>
      <t>S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Corp</t>
    </r>
    <r>
      <rPr>
        <rFont val="Arial"/>
        <color theme="1"/>
        <sz val="9.0"/>
      </rPr>
      <t xml:space="preserve"> </t>
    </r>
    <r>
      <rPr>
        <rFont val="Arial"/>
        <color rgb="FF0000FF"/>
        <sz val="9.0"/>
      </rPr>
      <t>P</t>
    </r>
    <r>
      <rPr>
        <rFont val="Arial"/>
        <color theme="1"/>
        <sz val="9.0"/>
      </rPr>
      <t xml:space="preserve"> </t>
    </r>
    <r>
      <rPr>
        <rFont val="Arial"/>
        <color rgb="FFFF9900"/>
        <sz val="9.0"/>
      </rPr>
      <t>Bl</t>
    </r>
  </si>
  <si>
    <r>
      <rPr>
        <rFont val="Arial"/>
        <b/>
        <color theme="1"/>
        <sz val="8.0"/>
      </rPr>
      <t>Thumb App</t>
    </r>
    <r>
      <rPr>
        <rFont val="Arial"/>
        <color theme="1"/>
        <sz val="9.0"/>
      </rPr>
      <t xml:space="preserve">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FFFF00"/>
        <sz val="8.0"/>
      </rPr>
      <t>T</t>
    </r>
  </si>
  <si>
    <r>
      <rPr>
        <rFont val="Arial"/>
        <b/>
        <strike/>
        <color theme="1"/>
        <sz val="9.0"/>
      </rPr>
      <t>LCD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9.0"/>
      </rPr>
      <t>Osir</t>
    </r>
    <r>
      <rPr>
        <rFont val="Arial"/>
        <color theme="1"/>
        <sz val="9.0"/>
      </rPr>
      <t xml:space="preserve"> </t>
    </r>
    <r>
      <rPr>
        <rFont val="Arial"/>
        <color rgb="FF0000FF"/>
        <sz val="9.0"/>
      </rPr>
      <t>P</t>
    </r>
    <r>
      <rPr>
        <rFont val="Arial"/>
        <color theme="1"/>
        <sz val="9.0"/>
      </rPr>
      <t xml:space="preserve"> </t>
    </r>
    <r>
      <rPr>
        <rFont val="Arial"/>
        <color rgb="FFFF9900"/>
        <sz val="9.0"/>
      </rPr>
      <t>Bl</t>
    </r>
  </si>
  <si>
    <r>
      <rPr>
        <rFont val="Arial"/>
        <b/>
        <color theme="1"/>
        <sz val="8.0"/>
      </rPr>
      <t>Thumb Mother</t>
    </r>
    <r>
      <rPr>
        <rFont val="Arial"/>
        <color theme="1"/>
        <sz val="8.0"/>
      </rPr>
      <t xml:space="preserve"> </t>
    </r>
    <r>
      <rPr>
        <rFont val="Arial"/>
        <color rgb="FF0000FF"/>
        <sz val="8.0"/>
      </rPr>
      <t>P</t>
    </r>
    <r>
      <rPr>
        <rFont val="Arial"/>
        <color theme="1"/>
        <sz val="8.0"/>
      </rPr>
      <t xml:space="preserve">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FFFF00"/>
        <sz val="8.0"/>
      </rPr>
      <t>T</t>
    </r>
  </si>
  <si>
    <r>
      <rPr>
        <rFont val="Arial"/>
        <color theme="1"/>
        <sz val="8.0"/>
      </rPr>
      <t xml:space="preserve">Wayfarer? </t>
    </r>
    <r>
      <rPr>
        <rFont val="Arial"/>
        <color rgb="FFFF00FF"/>
        <sz val="8.0"/>
      </rPr>
      <t>C</t>
    </r>
    <r>
      <rPr>
        <rFont val="Arial"/>
        <color theme="1"/>
        <sz val="8.0"/>
      </rPr>
      <t xml:space="preserve"> </t>
    </r>
    <r>
      <rPr>
        <rFont val="Arial"/>
        <color rgb="FFFFFF00"/>
        <sz val="8.0"/>
      </rPr>
      <t>T</t>
    </r>
  </si>
  <si>
    <r>
      <rPr>
        <rFont val="Arial"/>
        <b/>
        <color theme="1"/>
        <sz val="8.0"/>
      </rPr>
      <t>Middle</t>
    </r>
    <r>
      <rPr>
        <rFont val="Arial"/>
        <color theme="1"/>
        <sz val="7.0"/>
      </rPr>
      <t xml:space="preserve"> </t>
    </r>
    <r>
      <rPr>
        <rFont val="Arial"/>
        <b/>
        <color theme="1"/>
        <sz val="7.0"/>
      </rPr>
      <t>Father</t>
    </r>
    <r>
      <rPr>
        <rFont val="Arial"/>
        <color theme="1"/>
        <sz val="9.0"/>
      </rPr>
      <t xml:space="preserve">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FF9900"/>
        <sz val="8.0"/>
      </rPr>
      <t>Bl</t>
    </r>
  </si>
  <si>
    <r>
      <rPr>
        <rFont val="Arial"/>
        <b/>
        <strike/>
        <color theme="1"/>
        <sz val="9.0"/>
      </rPr>
      <t>Hoen</t>
    </r>
    <r>
      <rPr>
        <rFont val="Arial"/>
        <b/>
        <color theme="1"/>
        <sz val="9.0"/>
      </rPr>
      <t xml:space="preserve"> </t>
    </r>
    <r>
      <rPr>
        <rFont val="Arial"/>
        <b/>
        <strike/>
        <color theme="1"/>
        <sz val="8.0"/>
      </rPr>
      <t>AEDD</t>
    </r>
    <r>
      <rPr>
        <rFont val="Arial"/>
        <color theme="1"/>
        <sz val="9.0"/>
      </rPr>
      <t xml:space="preserve"> </t>
    </r>
    <r>
      <rPr>
        <rFont val="Arial"/>
        <color rgb="FFFF00FF"/>
        <sz val="8.0"/>
      </rPr>
      <t>C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</si>
  <si>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t>Guessed?</t>
  </si>
  <si>
    <r>
      <rPr>
        <rFont val="Arial"/>
        <b/>
        <strike/>
        <color theme="1"/>
        <sz val="6.0"/>
      </rPr>
      <t>Ardor</t>
    </r>
    <r>
      <rPr>
        <rFont val="Arial"/>
        <b/>
        <color rgb="FFFFFFFF"/>
        <sz val="6.0"/>
      </rPr>
      <t>-</t>
    </r>
    <r>
      <rPr>
        <rFont val="Arial"/>
        <b/>
        <strike/>
        <color theme="1"/>
        <sz val="6.0"/>
      </rPr>
      <t>Blossom</t>
    </r>
    <r>
      <rPr>
        <rFont val="Arial"/>
        <b/>
        <color theme="1"/>
        <sz val="6.0"/>
      </rPr>
      <t xml:space="preserve"> </t>
    </r>
    <r>
      <rPr>
        <rFont val="Arial"/>
        <b/>
        <strike/>
        <color theme="1"/>
        <sz val="6.0"/>
      </rPr>
      <t>EGO</t>
    </r>
    <r>
      <rPr>
        <rFont val="Arial"/>
        <color theme="1"/>
        <sz val="7.0"/>
      </rPr>
      <t xml:space="preserve"> </t>
    </r>
    <r>
      <rPr>
        <rFont val="Arial"/>
        <color rgb="FFFF0000"/>
        <sz val="8.0"/>
      </rPr>
      <t>Bu</t>
    </r>
  </si>
  <si>
    <r>
      <rPr>
        <rFont val="Arial"/>
        <b/>
        <color theme="1"/>
        <sz val="6.0"/>
      </rPr>
      <t>Shadow-Vested EGO</t>
    </r>
    <r>
      <rPr>
        <rFont val="Arial"/>
        <color theme="1"/>
        <sz val="9.0"/>
      </rPr>
      <t xml:space="preserve"> </t>
    </r>
    <r>
      <rPr>
        <rFont val="Arial"/>
        <color rgb="FF0000FF"/>
        <sz val="8.0"/>
      </rPr>
      <t>P</t>
    </r>
    <r>
      <rPr>
        <rFont val="Arial"/>
        <color theme="1"/>
        <sz val="8.0"/>
      </rPr>
      <t xml:space="preserve"> </t>
    </r>
    <r>
      <rPr>
        <rFont val="Arial"/>
        <color rgb="FFFF9900"/>
        <sz val="8.0"/>
      </rPr>
      <t>Bl</t>
    </r>
  </si>
  <si>
    <r>
      <rPr>
        <rFont val="Arial"/>
        <b/>
        <color theme="1"/>
        <sz val="5.0"/>
      </rPr>
      <t>Into the Sunset</t>
    </r>
    <r>
      <rPr>
        <rFont val="Arial"/>
        <b/>
        <color theme="1"/>
        <sz val="6.0"/>
      </rPr>
      <t xml:space="preserve"> EGO</t>
    </r>
    <r>
      <rPr>
        <rFont val="Arial"/>
        <color theme="1"/>
        <sz val="7.0"/>
      </rPr>
      <t xml:space="preserve">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FF9900"/>
        <sz val="8.0"/>
      </rPr>
      <t>Bl</t>
    </r>
  </si>
  <si>
    <r>
      <rPr>
        <rFont val="Arial"/>
        <b/>
        <strike/>
        <color theme="1"/>
        <sz val="7.0"/>
      </rPr>
      <t>Harmony</t>
    </r>
    <r>
      <rPr>
        <rFont val="Arial"/>
        <b/>
        <color theme="1"/>
        <sz val="7.0"/>
      </rPr>
      <t xml:space="preserve"> </t>
    </r>
    <r>
      <rPr>
        <rFont val="Arial"/>
        <b/>
        <strike/>
        <color theme="1"/>
        <sz val="7.0"/>
      </rPr>
      <t>EGO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0000"/>
        <sz val="8.0"/>
      </rPr>
      <t>Bu</t>
    </r>
    <r>
      <rPr>
        <rFont val="Arial"/>
        <b val="0"/>
        <color theme="1"/>
        <sz val="8.0"/>
      </rPr>
      <t xml:space="preserve"> </t>
    </r>
    <r>
      <rPr>
        <rFont val="Arial"/>
        <b val="0"/>
        <color rgb="FFFF9900"/>
        <sz val="8.0"/>
      </rPr>
      <t>Bl</t>
    </r>
  </si>
  <si>
    <t>This Season (Assumed)</t>
  </si>
  <si>
    <t>2Star</t>
  </si>
  <si>
    <t>Backlog Shard</t>
  </si>
  <si>
    <r>
      <rPr>
        <rFont val="Arial"/>
        <color theme="1"/>
        <sz val="8.0"/>
      </rPr>
      <t>Fell</t>
    </r>
    <r>
      <rPr>
        <rFont val="Arial"/>
        <color rgb="FFFFFFFF"/>
        <sz val="8.0"/>
      </rPr>
      <t>-</t>
    </r>
    <r>
      <rPr>
        <rFont val="Arial"/>
        <color theme="1"/>
        <sz val="8.0"/>
      </rPr>
      <t xml:space="preserve">Bullet </t>
    </r>
    <r>
      <rPr>
        <rFont val="Arial"/>
        <color theme="1"/>
        <sz val="7.0"/>
      </rPr>
      <t>EGO</t>
    </r>
    <r>
      <rPr>
        <rFont val="Arial"/>
        <color theme="1"/>
        <sz val="9.0"/>
      </rPr>
      <t xml:space="preserve"> </t>
    </r>
    <r>
      <rPr>
        <rFont val="Arial"/>
        <color rgb="FF0000FF"/>
        <sz val="8.0"/>
      </rPr>
      <t>P</t>
    </r>
    <r>
      <rPr>
        <rFont val="Arial"/>
        <color theme="1"/>
        <sz val="8.0"/>
      </rPr>
      <t xml:space="preserve"> </t>
    </r>
    <r>
      <rPr>
        <rFont val="Arial"/>
        <color rgb="FFFF9900"/>
        <sz val="8.0"/>
      </rPr>
      <t>Bl</t>
    </r>
  </si>
  <si>
    <r>
      <rPr>
        <rFont val="Arial"/>
        <color theme="1"/>
        <sz val="9.0"/>
      </rPr>
      <t xml:space="preserve">Capote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FFFF00"/>
        <sz val="8.0"/>
      </rPr>
      <t>T</t>
    </r>
  </si>
  <si>
    <r>
      <rPr>
        <rFont val="Arial"/>
        <color theme="1"/>
        <sz val="9.0"/>
      </rPr>
      <t xml:space="preserve">Kurokumo </t>
    </r>
    <r>
      <rPr>
        <rFont val="Arial"/>
        <color rgb="FFFF9900"/>
        <sz val="8.0"/>
      </rPr>
      <t>Bl</t>
    </r>
  </si>
  <si>
    <r>
      <rPr>
        <rFont val="Arial"/>
        <color theme="1"/>
        <sz val="9.0"/>
      </rPr>
      <t xml:space="preserve">Kurokumo </t>
    </r>
    <r>
      <rPr>
        <rFont val="Arial"/>
        <color rgb="FFFF9900"/>
        <sz val="8.0"/>
      </rPr>
      <t>Bl</t>
    </r>
  </si>
  <si>
    <r>
      <rPr>
        <rFont val="Arial"/>
        <color theme="1"/>
        <sz val="9.0"/>
      </rPr>
      <t xml:space="preserve">Hex Nail? </t>
    </r>
    <r>
      <rPr>
        <rFont val="Arial"/>
        <color rgb="FFFF9900"/>
        <sz val="8.0"/>
      </rPr>
      <t>Bl</t>
    </r>
  </si>
  <si>
    <r>
      <rPr>
        <rFont val="Arial"/>
        <color theme="1"/>
        <sz val="9.0"/>
      </rPr>
      <t xml:space="preserve">Barber </t>
    </r>
    <r>
      <rPr>
        <rFont val="Arial"/>
        <color rgb="FFFF9900"/>
        <sz val="8.0"/>
      </rPr>
      <t>Bl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</si>
  <si>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r>
      <rPr>
        <rFont val="Arial"/>
        <color theme="1"/>
        <sz val="9.0"/>
      </rPr>
      <t xml:space="preserve">Firefist </t>
    </r>
    <r>
      <rPr>
        <rFont val="Arial"/>
        <color rgb="FFFF0000"/>
        <sz val="8.0"/>
      </rPr>
      <t>Bu</t>
    </r>
  </si>
  <si>
    <r>
      <rPr>
        <rFont val="Arial"/>
        <color theme="1"/>
        <sz val="9.0"/>
      </rPr>
      <t xml:space="preserve">Priest </t>
    </r>
    <r>
      <rPr>
        <rFont val="Arial"/>
        <color rgb="FFFF9900"/>
        <sz val="8.0"/>
      </rPr>
      <t>Bl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</si>
  <si>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t>Worth Sharding</t>
  </si>
  <si>
    <r>
      <rPr>
        <rFont val="Arial"/>
        <color theme="1"/>
        <sz val="8.0"/>
      </rPr>
      <t>ID</t>
    </r>
    <r>
      <rPr>
        <rFont val="Arial"/>
        <color theme="1"/>
        <sz val="9.0"/>
      </rPr>
      <t>s</t>
    </r>
  </si>
  <si>
    <r>
      <rPr>
        <rFont val="Arial"/>
        <color theme="1"/>
        <sz val="9.0"/>
      </rPr>
      <t xml:space="preserve">Spicebush? </t>
    </r>
    <r>
      <rPr>
        <rFont val="Arial"/>
        <color rgb="FFFFFF00"/>
        <sz val="8.0"/>
      </rPr>
      <t>T</t>
    </r>
    <r>
      <rPr>
        <rFont val="Arial"/>
        <color theme="1"/>
        <sz val="8.0"/>
      </rPr>
      <t xml:space="preserve"> </t>
    </r>
    <r>
      <rPr>
        <rFont val="Arial"/>
        <color rgb="FF00FFFF"/>
        <sz val="8.0"/>
      </rPr>
      <t>S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</si>
  <si>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r>
      <rPr>
        <rFont val="Arial"/>
        <color theme="1"/>
        <sz val="9.0"/>
      </rPr>
      <t xml:space="preserve">MultiCrack? </t>
    </r>
    <r>
      <rPr>
        <rFont val="Arial"/>
        <color rgb="FF9900FF"/>
        <sz val="8.0"/>
      </rPr>
      <t>C</t>
    </r>
  </si>
  <si>
    <r>
      <rPr>
        <rFont val="Arial"/>
        <color theme="1"/>
        <sz val="9.0"/>
      </rPr>
      <t xml:space="preserve">Cinq East? </t>
    </r>
    <r>
      <rPr>
        <rFont val="Arial"/>
        <color rgb="FFFF0000"/>
        <sz val="8.0"/>
      </rPr>
      <t>Bu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</si>
  <si>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r>
      <rPr>
        <rFont val="Arial"/>
        <color theme="1"/>
        <sz val="9.0"/>
      </rPr>
      <t xml:space="preserve">W Corp? </t>
    </r>
    <r>
      <rPr>
        <rFont val="Arial"/>
        <color rgb="FF9900FF"/>
        <sz val="8.0"/>
      </rPr>
      <t>C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</si>
  <si>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r>
      <rPr>
        <rFont val="Arial"/>
        <color theme="1"/>
        <sz val="9.0"/>
      </rPr>
      <t xml:space="preserve">Dieci? </t>
    </r>
    <r>
      <rPr>
        <rFont val="Arial"/>
        <color rgb="FF00FFFF"/>
        <sz val="8.0"/>
      </rPr>
      <t>S</t>
    </r>
  </si>
  <si>
    <r>
      <rPr>
        <rFont val="Arial"/>
        <color theme="1"/>
        <sz val="9.0"/>
      </rPr>
      <t xml:space="preserve">Full-Stop? </t>
    </r>
    <r>
      <rPr>
        <rFont val="Arial"/>
        <color rgb="FF0000FF"/>
        <sz val="8.0"/>
      </rPr>
      <t>P</t>
    </r>
  </si>
  <si>
    <r>
      <rPr>
        <rFont val="Arial"/>
        <color theme="1"/>
        <sz val="9.0"/>
      </rPr>
      <t xml:space="preserve">Zwei? </t>
    </r>
    <r>
      <rPr>
        <rFont val="Arial"/>
        <color rgb="FFFFFF00"/>
        <sz val="8.0"/>
      </rPr>
      <t>T</t>
    </r>
  </si>
  <si>
    <r>
      <rPr>
        <rFont val="Arial"/>
        <color theme="1"/>
        <sz val="9.0"/>
      </rPr>
      <t xml:space="preserve">Magic Bullet? </t>
    </r>
    <r>
      <rPr>
        <rFont val="Arial"/>
        <color rgb="FFFF0000"/>
        <sz val="8.0"/>
      </rPr>
      <t>Bu</t>
    </r>
  </si>
  <si>
    <r>
      <rPr>
        <rFont val="Arial"/>
        <color theme="1"/>
        <sz val="9.0"/>
      </rPr>
      <t xml:space="preserve">Edgar Heir? </t>
    </r>
    <r>
      <rPr>
        <rFont val="Arial"/>
        <color rgb="FF00FFFF"/>
        <sz val="8.0"/>
      </rPr>
      <t>S</t>
    </r>
  </si>
  <si>
    <r>
      <rPr>
        <rFont val="Arial"/>
        <color theme="1"/>
        <sz val="9.0"/>
      </rPr>
      <t xml:space="preserve">Liu? </t>
    </r>
    <r>
      <rPr>
        <rFont val="Arial"/>
        <color rgb="FFFF0000"/>
        <sz val="8.0"/>
      </rPr>
      <t>Bu</t>
    </r>
  </si>
  <si>
    <r>
      <rPr>
        <rFont val="Arial"/>
        <color theme="1"/>
        <sz val="9.0"/>
      </rPr>
      <t xml:space="preserve">Regret? </t>
    </r>
    <r>
      <rPr>
        <rFont val="Arial"/>
        <color rgb="FFFFFF00"/>
        <sz val="8.0"/>
      </rPr>
      <t>T</t>
    </r>
  </si>
  <si>
    <r>
      <rPr>
        <rFont val="Arial"/>
        <color theme="1"/>
        <sz val="9.0"/>
      </rPr>
      <t xml:space="preserve">Nelly? </t>
    </r>
    <r>
      <rPr>
        <rFont val="Arial"/>
        <color rgb="FF0000FF"/>
        <sz val="8.0"/>
      </rPr>
      <t>P</t>
    </r>
  </si>
  <si>
    <r>
      <rPr>
        <rFont val="Arial"/>
        <color theme="1"/>
        <sz val="9.0"/>
      </rPr>
      <t xml:space="preserve">Oufi? </t>
    </r>
    <r>
      <rPr>
        <rFont val="Arial"/>
        <color rgb="FFFFFF00"/>
        <sz val="8.0"/>
      </rPr>
      <t>T</t>
    </r>
  </si>
  <si>
    <r>
      <rPr>
        <rFont val="Arial"/>
        <color theme="1"/>
        <sz val="8.0"/>
      </rPr>
      <t>EGO</t>
    </r>
    <r>
      <rPr>
        <rFont val="Arial"/>
        <color theme="1"/>
        <sz val="9.0"/>
      </rPr>
      <t>s</t>
    </r>
  </si>
  <si>
    <r>
      <rPr>
        <rFont val="Arial"/>
        <color theme="1"/>
        <sz val="9.0"/>
      </rPr>
      <t xml:space="preserve">Hex Nail? </t>
    </r>
    <r>
      <rPr>
        <rFont val="Arial"/>
        <color rgb="FFFF9900"/>
        <sz val="8.0"/>
      </rPr>
      <t>Bl</t>
    </r>
  </si>
  <si>
    <r>
      <rPr>
        <rFont val="Arial"/>
        <color theme="1"/>
        <sz val="8.0"/>
      </rPr>
      <t>Magical Girl</t>
    </r>
    <r>
      <rPr>
        <rFont val="Arial"/>
        <color theme="1"/>
        <sz val="9.0"/>
      </rPr>
      <t xml:space="preserve">? </t>
    </r>
    <r>
      <rPr>
        <rFont val="Arial"/>
        <color rgb="FF9900FF"/>
        <sz val="8.0"/>
      </rPr>
      <t>C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  <r>
      <rPr>
        <rFont val="Arial"/>
        <color theme="1"/>
        <sz val="8.0"/>
      </rPr>
      <t xml:space="preserve"> </t>
    </r>
    <r>
      <rPr>
        <rFont val="Arial"/>
        <color rgb="FF00FFFF"/>
        <sz val="8.0"/>
      </rPr>
      <t>S</t>
    </r>
  </si>
  <si>
    <t>Red Eyes?</t>
  </si>
  <si>
    <r>
      <rPr>
        <rFont val="Arial"/>
        <color theme="1"/>
        <sz val="9.0"/>
      </rPr>
      <t xml:space="preserve">Bygone Days? </t>
    </r>
    <r>
      <rPr>
        <rFont val="Arial"/>
        <color rgb="FF00FFFF"/>
        <sz val="8.0"/>
      </rPr>
      <t>S</t>
    </r>
  </si>
  <si>
    <r>
      <rPr>
        <rFont val="Arial"/>
        <color theme="1"/>
        <sz val="9.0"/>
      </rPr>
      <t xml:space="preserve">Pursuance? </t>
    </r>
    <r>
      <rPr>
        <rFont val="Arial"/>
        <color rgb="FFFFFF00"/>
        <sz val="8.0"/>
      </rPr>
      <t>T</t>
    </r>
  </si>
  <si>
    <r>
      <rPr>
        <rFont val="Arial"/>
        <color theme="1"/>
        <sz val="9.0"/>
      </rPr>
      <t xml:space="preserve">Lantern? </t>
    </r>
    <r>
      <rPr>
        <rFont val="Arial"/>
        <color rgb="FF00FF00"/>
        <sz val="8.0"/>
      </rPr>
      <t>R</t>
    </r>
  </si>
  <si>
    <r>
      <rPr>
        <rFont val="Arial"/>
        <color theme="1"/>
        <sz val="9.0"/>
      </rPr>
      <t>Ebony</t>
    </r>
    <r>
      <rPr>
        <rFont val="Arial"/>
        <color rgb="FFFFFFFF"/>
        <sz val="9.0"/>
      </rPr>
      <t>-</t>
    </r>
    <r>
      <rPr>
        <rFont val="Arial"/>
        <color theme="1"/>
        <sz val="9.0"/>
      </rPr>
      <t xml:space="preserve">Stem? </t>
    </r>
    <r>
      <rPr>
        <rFont val="Arial"/>
        <color rgb="FFFF9900"/>
        <sz val="8.0"/>
      </rPr>
      <t>Bl</t>
    </r>
    <r>
      <rPr>
        <rFont val="Arial"/>
        <color theme="1"/>
        <sz val="8.0"/>
      </rPr>
      <t xml:space="preserve"> </t>
    </r>
    <r>
      <rPr>
        <rFont val="Arial"/>
        <color rgb="FF00FF00"/>
        <sz val="8.0"/>
      </rPr>
      <t>R</t>
    </r>
  </si>
  <si>
    <r>
      <rPr>
        <rFont val="Arial"/>
        <color theme="1"/>
        <sz val="9.0"/>
      </rPr>
      <t xml:space="preserve">Leveling </t>
    </r>
    <r>
      <rPr>
        <rFont val="Arial"/>
        <color theme="1"/>
        <sz val="8.0"/>
      </rPr>
      <t>ID</t>
    </r>
    <r>
      <rPr>
        <rFont val="Arial"/>
        <color theme="1"/>
        <sz val="9.0"/>
      </rPr>
      <t>s</t>
    </r>
  </si>
  <si>
    <r>
      <rPr>
        <rFont val="Arial"/>
        <color theme="1"/>
        <sz val="8.0"/>
      </rPr>
      <t>N Corp Fanatic</t>
    </r>
    <r>
      <rPr>
        <rFont val="Arial"/>
        <color theme="1"/>
        <sz val="9.0"/>
      </rPr>
      <t xml:space="preserve"> 5</t>
    </r>
  </si>
  <si>
    <t>T Corp 5</t>
  </si>
  <si>
    <t>Hornet 10</t>
  </si>
  <si>
    <t>Yurodivy 5</t>
  </si>
  <si>
    <t>Middle 1</t>
  </si>
  <si>
    <r>
      <rPr>
        <rFont val="Arial"/>
        <color theme="1"/>
        <sz val="8.0"/>
      </rPr>
      <t xml:space="preserve">N Corp Fanatic </t>
    </r>
    <r>
      <rPr>
        <rFont val="Arial"/>
        <color theme="1"/>
        <sz val="9.0"/>
      </rPr>
      <t>15</t>
    </r>
  </si>
  <si>
    <t>Ring [26]</t>
  </si>
  <si>
    <t>Araya [1]</t>
  </si>
  <si>
    <t>Thumb [26]</t>
  </si>
  <si>
    <t>Pinky [26]</t>
  </si>
  <si>
    <t>Middle [1]</t>
  </si>
  <si>
    <t>Level 1s</t>
  </si>
  <si>
    <t>Fell Bullet 59</t>
  </si>
  <si>
    <r>
      <rPr>
        <rFont val="Arial"/>
        <color theme="1"/>
        <sz val="8.0"/>
      </rPr>
      <t xml:space="preserve">Queen </t>
    </r>
    <r>
      <rPr>
        <rFont val="Arial"/>
        <color theme="1"/>
        <sz val="7.0"/>
      </rPr>
      <t>of</t>
    </r>
    <r>
      <rPr>
        <rFont val="Arial"/>
        <color theme="1"/>
        <sz val="8.0"/>
      </rPr>
      <t xml:space="preserve"> Hatred</t>
    </r>
    <r>
      <rPr>
        <rFont val="Arial"/>
        <color theme="1"/>
        <sz val="9.0"/>
      </rPr>
      <t xml:space="preserve"> 59</t>
    </r>
  </si>
  <si>
    <t>R Corp 59</t>
  </si>
  <si>
    <t>MultiCrack 50</t>
  </si>
  <si>
    <t>Molar 59</t>
  </si>
  <si>
    <t>Philip 52</t>
  </si>
  <si>
    <t>Udjat 50</t>
  </si>
  <si>
    <t>W 59</t>
  </si>
  <si>
    <t>Index [59]</t>
  </si>
  <si>
    <t>UT/TS4 List</t>
  </si>
  <si>
    <t>Fluid Sac</t>
  </si>
  <si>
    <t>Crushbound Past</t>
  </si>
  <si>
    <t>Rimeshank</t>
  </si>
  <si>
    <t>LCA Udjat</t>
  </si>
  <si>
    <t>Unbrilliant Glory</t>
  </si>
  <si>
    <t>Everlasting</t>
  </si>
  <si>
    <t>Total XP</t>
  </si>
  <si>
    <t>Manager
Level</t>
  </si>
  <si>
    <t>Manager
Level XP</t>
  </si>
  <si>
    <t>Max
Enkephalin</t>
  </si>
  <si>
    <t>Max
Increase</t>
  </si>
  <si>
    <t>00 SUM</t>
  </si>
  <si>
    <t>00 T1</t>
  </si>
  <si>
    <t>00 T2</t>
  </si>
  <si>
    <t>00 T3</t>
  </si>
  <si>
    <t>00 T4</t>
  </si>
  <si>
    <t>000 T0</t>
  </si>
  <si>
    <t>000 T1</t>
  </si>
  <si>
    <t>000 T2</t>
  </si>
  <si>
    <t>000 T3</t>
  </si>
  <si>
    <t>000 T4</t>
  </si>
  <si>
    <t>EGO T0</t>
  </si>
  <si>
    <t>EGO T1</t>
  </si>
  <si>
    <t>EGO T2</t>
  </si>
  <si>
    <t>EGO T3</t>
  </si>
  <si>
    <t>EGO T4</t>
  </si>
  <si>
    <t>EGO T5</t>
  </si>
  <si>
    <t>Difference Between
Manager Level</t>
  </si>
  <si>
    <t xml:space="preserve"> FT</t>
  </si>
  <si>
    <t xml:space="preserve"> DQ</t>
  </si>
  <si>
    <t>000 SUM</t>
  </si>
  <si>
    <t>2 Star</t>
  </si>
  <si>
    <r>
      <rPr>
        <rFont val="Arial"/>
        <color theme="1"/>
        <sz val="9.0"/>
      </rPr>
      <t xml:space="preserve">Molar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</si>
  <si>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</si>
  <si>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Pequod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</si>
  <si>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TLA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</si>
  <si>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N Fell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</si>
  <si>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Solemn Lament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</si>
  <si>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4th Match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</si>
  <si>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6.0"/>
      </rPr>
      <t>Dimension Shredder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</si>
  <si>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t xml:space="preserve"> RS</t>
  </si>
  <si>
    <r>
      <rPr>
        <rFont val="Arial"/>
        <color theme="1"/>
        <sz val="9.0"/>
      </rPr>
      <t>000</t>
    </r>
    <r>
      <rPr>
        <rFont val="Arial"/>
        <color theme="1"/>
        <sz val="8.0"/>
      </rPr>
      <t xml:space="preserve"> UT4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</si>
  <si>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</si>
  <si>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</si>
  <si>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</si>
  <si>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</si>
  <si>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Bygone Days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</si>
  <si>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Crow's Eye View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</si>
  <si>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t xml:space="preserve"> MS</t>
  </si>
  <si>
    <t>ZAYIN</t>
  </si>
  <si>
    <r>
      <rPr>
        <rFont val="Arial"/>
        <color theme="1"/>
        <sz val="9.0"/>
      </rPr>
      <t xml:space="preserve">Zwei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</si>
  <si>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</si>
  <si>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</si>
  <si>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Fell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</si>
  <si>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6.0"/>
      </rPr>
      <t>Great Trichiliocosm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</si>
  <si>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6.0"/>
      </rPr>
      <t>Command: Meltdown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</si>
  <si>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t xml:space="preserve"> HL</t>
  </si>
  <si>
    <t>TETH</t>
  </si>
  <si>
    <r>
      <rPr>
        <rFont val="Arial"/>
        <color theme="1"/>
        <sz val="9.0"/>
      </rPr>
      <t xml:space="preserve">Regret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</si>
  <si>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</si>
  <si>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Wishing Cairn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</si>
  <si>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t xml:space="preserve"> HC</t>
  </si>
  <si>
    <t>EGO SUM</t>
  </si>
  <si>
    <t>HE</t>
  </si>
  <si>
    <r>
      <rPr>
        <rFont val="Arial"/>
        <color theme="1"/>
        <sz val="9.0"/>
      </rPr>
      <t xml:space="preserve">Shi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</si>
  <si>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Yuri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</si>
  <si>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</si>
  <si>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</si>
  <si>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Hex Nail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</si>
  <si>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Sunshower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</si>
  <si>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Yearning-Mircalla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</si>
  <si>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t xml:space="preserve"> IS</t>
  </si>
  <si>
    <t>WAW</t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</si>
  <si>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</si>
  <si>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</si>
  <si>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 xml:space="preserve">Queen </t>
    </r>
    <r>
      <rPr>
        <rFont val="Arial"/>
        <color theme="1"/>
        <sz val="5.0"/>
      </rPr>
      <t>of</t>
    </r>
    <r>
      <rPr>
        <rFont val="Arial"/>
        <color theme="1"/>
        <sz val="6.0"/>
      </rPr>
      <t xml:space="preserve"> Hatred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</si>
  <si>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Lasso </t>
    </r>
    <r>
      <rPr>
        <rFont val="Arial"/>
        <color theme="1"/>
        <sz val="8.0"/>
      </rPr>
      <t>FT</t>
    </r>
  </si>
  <si>
    <t xml:space="preserve"> RD</t>
  </si>
  <si>
    <t>00     Acquired</t>
  </si>
  <si>
    <t>None</t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</si>
  <si>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</si>
  <si>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</si>
  <si>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Chef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</si>
  <si>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</si>
  <si>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N </t>
    </r>
    <r>
      <rPr>
        <rFont val="Arial"/>
        <color theme="1"/>
        <sz val="8.0"/>
      </rPr>
      <t>Fanatic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</si>
  <si>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9:2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</si>
  <si>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Representation</t>
    </r>
    <r>
      <rPr>
        <rFont val="Arial"/>
        <color theme="1"/>
        <sz val="5.0"/>
      </rPr>
      <t xml:space="preserve"> Emitter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</si>
  <si>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Forest for the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</si>
  <si>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t xml:space="preserve"> SC</t>
  </si>
  <si>
    <r>
      <rPr>
        <rFont val="Arial"/>
        <color theme="1"/>
        <sz val="9.0"/>
      </rPr>
      <t xml:space="preserve">3 Star </t>
    </r>
    <r>
      <rPr>
        <rFont val="Arial"/>
        <color theme="1"/>
        <sz val="8.0"/>
      </rPr>
      <t>UT</t>
    </r>
  </si>
  <si>
    <r>
      <rPr>
        <rFont val="Arial"/>
        <color theme="1"/>
        <sz val="9.0"/>
      </rPr>
      <t xml:space="preserve">Shi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</si>
  <si>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RS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</si>
  <si>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</si>
  <si>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Ardor Blossom Star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</si>
  <si>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t xml:space="preserve"> OT</t>
  </si>
  <si>
    <t>000   Acquired</t>
  </si>
  <si>
    <r>
      <rPr>
        <rFont val="Arial"/>
        <color rgb="FFFFFFFF"/>
        <sz val="9.0"/>
      </rPr>
      <t>00</t>
    </r>
    <r>
      <rPr>
        <rFont val="Arial"/>
        <color rgb="FFFFFFFF"/>
        <sz val="8.0"/>
      </rPr>
      <t xml:space="preserve"> UT4</t>
    </r>
  </si>
  <si>
    <r>
      <rPr>
        <rFont val="Arial"/>
        <color theme="1"/>
        <sz val="9.0"/>
      </rPr>
      <t xml:space="preserve">RSP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</si>
  <si>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N </t>
    </r>
    <r>
      <rPr>
        <rFont val="Arial"/>
        <color theme="1"/>
        <sz val="8.0"/>
      </rPr>
      <t>Fanatic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</si>
  <si>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</si>
  <si>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</si>
  <si>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 xml:space="preserve">Queen </t>
    </r>
    <r>
      <rPr>
        <rFont val="Arial"/>
        <color theme="1"/>
        <sz val="7.0"/>
      </rPr>
      <t>of</t>
    </r>
    <r>
      <rPr>
        <rFont val="Arial"/>
        <color theme="1"/>
        <sz val="8.0"/>
      </rPr>
      <t xml:space="preserve"> Hatred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</si>
  <si>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Thoracalgia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</si>
  <si>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7.0"/>
      </rPr>
      <t>Crushbound Past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</si>
  <si>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t xml:space="preserve"> GG</t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</si>
  <si>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</si>
  <si>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Lantern </t>
    </r>
    <r>
      <rPr>
        <rFont val="Arial"/>
        <color theme="1"/>
        <sz val="8.0"/>
      </rPr>
      <t>DQ</t>
    </r>
  </si>
  <si>
    <r>
      <rPr>
        <rFont val="Arial"/>
        <color theme="1"/>
        <sz val="6.0"/>
      </rPr>
      <t>Electric Screaming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</si>
  <si>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Everlasting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</si>
  <si>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t>Crate</t>
  </si>
  <si>
    <t>ID      Acquired</t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</si>
  <si>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</si>
  <si>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Cinq S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</si>
  <si>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</si>
  <si>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</si>
  <si>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7.0"/>
      </rPr>
      <t>Lifetime Stew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</si>
  <si>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Fluid Sac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</si>
  <si>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7.0"/>
      </rPr>
      <t>Cavernous Wailing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</si>
  <si>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t>Pass</t>
  </si>
  <si>
    <t>2 Star UT2</t>
  </si>
  <si>
    <r>
      <rPr>
        <rFont val="Arial"/>
        <color theme="1"/>
        <sz val="9.0"/>
      </rPr>
      <t xml:space="preserve">Cinq 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</si>
  <si>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</si>
  <si>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Fluid Sac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</si>
  <si>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Telepole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</si>
  <si>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To Remain Oneself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</si>
  <si>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t>EGO Acquired</t>
  </si>
  <si>
    <t>2 Star UT3</t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</si>
  <si>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</si>
  <si>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</si>
  <si>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</si>
  <si>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Tingtang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</si>
  <si>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Telepole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</si>
  <si>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7.0"/>
      </rPr>
      <t>Tarnished Blood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</si>
  <si>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</si>
  <si>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</si>
  <si>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Manager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</si>
  <si>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6.0"/>
      </rPr>
      <t>La Sangre de Sancho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</si>
  <si>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t>00</t>
  </si>
  <si>
    <r>
      <rPr>
        <rFont val="Arial"/>
        <color theme="1"/>
        <sz val="8.0"/>
      </rPr>
      <t>D</t>
    </r>
    <r>
      <rPr>
        <rFont val="Arial"/>
        <color theme="1"/>
        <sz val="9.0"/>
      </rPr>
      <t>aily</t>
    </r>
  </si>
  <si>
    <t>00       Leftover</t>
  </si>
  <si>
    <t>3 Star UT2</t>
  </si>
  <si>
    <r>
      <rPr>
        <rFont val="Arial"/>
        <color theme="1"/>
        <sz val="9.0"/>
      </rPr>
      <t xml:space="preserve">TLA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</si>
  <si>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</si>
  <si>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</si>
  <si>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</si>
  <si>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</si>
  <si>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Contempt, Awe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</si>
  <si>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8.0"/>
      </rPr>
      <t>Wishing Cairn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</si>
  <si>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D</t>
    </r>
    <r>
      <rPr>
        <rFont val="Arial"/>
        <color theme="1"/>
        <sz val="9.0"/>
      </rPr>
      <t>ailyx7</t>
    </r>
  </si>
  <si>
    <t>3 Star UT3</t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</si>
  <si>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</si>
  <si>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</si>
  <si>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</si>
  <si>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DQ</t>
    </r>
  </si>
  <si>
    <r>
      <rPr>
        <rFont val="Arial"/>
        <color theme="1"/>
        <sz val="7.0"/>
      </rPr>
      <t>Red Eyes (Open)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</si>
  <si>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8.0"/>
      </rPr>
      <t>Red Sheet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</si>
  <si>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t>000</t>
  </si>
  <si>
    <r>
      <rPr>
        <rFont val="Arial"/>
        <color theme="1"/>
        <sz val="8.0"/>
      </rPr>
      <t>W</t>
    </r>
    <r>
      <rPr>
        <rFont val="Arial"/>
        <color theme="1"/>
        <sz val="9.0"/>
      </rPr>
      <t>eekly</t>
    </r>
  </si>
  <si>
    <t>000     Leftover</t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</si>
  <si>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</si>
  <si>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K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</si>
  <si>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</si>
  <si>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7.0"/>
      </rPr>
      <t>4th Match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</si>
  <si>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3</t>
    </r>
    <r>
      <rPr>
        <rFont val="Arial"/>
        <color theme="1"/>
        <sz val="7.0"/>
      </rPr>
      <t>W</t>
    </r>
    <r>
      <rPr>
        <rFont val="Arial"/>
        <color theme="1"/>
        <sz val="7.0"/>
      </rPr>
      <t>eekly</t>
    </r>
    <r>
      <rPr>
        <rFont val="Arial"/>
        <color theme="1"/>
        <sz val="7.0"/>
      </rPr>
      <t>HardT</t>
    </r>
    <r>
      <rPr>
        <rFont val="Arial"/>
        <color theme="1"/>
        <sz val="7.0"/>
      </rPr>
      <t>otal</t>
    </r>
  </si>
  <si>
    <t>UT3 Lunacy</t>
  </si>
  <si>
    <r>
      <rPr>
        <rFont val="Arial"/>
        <color rgb="FFF3F3F3"/>
        <sz val="9.0"/>
      </rPr>
      <t xml:space="preserve">N </t>
    </r>
    <r>
      <rPr>
        <rFont val="Arial"/>
        <color rgb="FFF3F3F3"/>
        <sz val="8.0"/>
      </rPr>
      <t>Fanatic</t>
    </r>
    <r>
      <rPr>
        <rFont val="Arial"/>
        <color rgb="FFF3F3F3"/>
        <sz val="9.0"/>
      </rPr>
      <t xml:space="preserve"> </t>
    </r>
    <r>
      <rPr>
        <rFont val="Arial"/>
        <color rgb="FFF3F3F3"/>
        <sz val="8.0"/>
      </rPr>
      <t>RD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</si>
  <si>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</si>
  <si>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</si>
  <si>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Blind Obsession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</si>
  <si>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6.0"/>
      </rPr>
      <t>Great Trichiliocosm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</si>
  <si>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t>ID</t>
  </si>
  <si>
    <r>
      <rPr>
        <rFont val="Arial"/>
        <color theme="1"/>
        <sz val="9.0"/>
      </rPr>
      <t>1st</t>
    </r>
    <r>
      <rPr>
        <rFont val="Arial"/>
        <color theme="1"/>
        <sz val="8.0"/>
      </rPr>
      <t>W</t>
    </r>
    <r>
      <rPr>
        <rFont val="Arial"/>
        <color theme="1"/>
        <sz val="9.0"/>
      </rPr>
      <t>eekly</t>
    </r>
  </si>
  <si>
    <t>ID       Leftover</t>
  </si>
  <si>
    <r>
      <rPr>
        <rFont val="Arial"/>
        <color theme="1"/>
        <sz val="9.0"/>
      </rPr>
      <t xml:space="preserve">Molar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</si>
  <si>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Zwei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</si>
  <si>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 xml:space="preserve">N </t>
    </r>
    <r>
      <rPr>
        <rFont val="Arial"/>
        <color theme="1"/>
        <sz val="6.0"/>
      </rPr>
      <t>Contempt, Awe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</si>
  <si>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Red Eyes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</si>
  <si>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8.0"/>
      </rPr>
      <t>Thoracalgia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</si>
  <si>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>2nd</t>
    </r>
    <r>
      <rPr>
        <rFont val="Arial"/>
        <color theme="1"/>
        <sz val="8.0"/>
      </rPr>
      <t>W</t>
    </r>
    <r>
      <rPr>
        <rFont val="Arial"/>
        <color theme="1"/>
        <sz val="9.0"/>
      </rPr>
      <t>eekly</t>
    </r>
  </si>
  <si>
    <r>
      <rPr>
        <rFont val="Arial"/>
        <color theme="1"/>
        <sz val="9.0"/>
      </rPr>
      <t xml:space="preserve">Fanghunt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</si>
  <si>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N Fanatic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</si>
  <si>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</si>
  <si>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Soda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</si>
  <si>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>3rd</t>
    </r>
    <r>
      <rPr>
        <rFont val="Arial"/>
        <color theme="1"/>
        <sz val="8.0"/>
      </rPr>
      <t>W</t>
    </r>
    <r>
      <rPr>
        <rFont val="Arial"/>
        <color theme="1"/>
        <sz val="9.0"/>
      </rPr>
      <t>eekly</t>
    </r>
  </si>
  <si>
    <t>EGO   Leftover</t>
  </si>
  <si>
    <t>2 Star UT4</t>
  </si>
  <si>
    <r>
      <rPr>
        <rFont val="Arial"/>
        <color theme="1"/>
        <sz val="9.0"/>
      </rPr>
      <t xml:space="preserve">Zwei S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</si>
  <si>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Hook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</si>
  <si>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</si>
  <si>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Molar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</si>
  <si>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>3</t>
    </r>
    <r>
      <rPr>
        <rFont val="Arial"/>
        <color theme="1"/>
        <sz val="8.0"/>
      </rPr>
      <t>W</t>
    </r>
    <r>
      <rPr>
        <rFont val="Arial"/>
        <color theme="1"/>
        <sz val="9.0"/>
      </rPr>
      <t>eeklyOnce</t>
    </r>
  </si>
  <si>
    <t>3 Star UT4</t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</si>
  <si>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</si>
  <si>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</si>
  <si>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</si>
  <si>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</si>
  <si>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Screwloose Wallop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</si>
  <si>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7.0"/>
      </rPr>
      <t>Chains of Others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</si>
  <si>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M</t>
    </r>
    <r>
      <rPr>
        <rFont val="Arial"/>
        <color theme="1"/>
        <sz val="9.0"/>
      </rPr>
      <t>ost</t>
    </r>
    <r>
      <rPr>
        <rFont val="Arial"/>
        <color theme="1"/>
        <sz val="8.0"/>
      </rPr>
      <t>W</t>
    </r>
    <r>
      <rPr>
        <rFont val="Arial"/>
        <color theme="1"/>
        <sz val="9.0"/>
      </rPr>
      <t>eekly</t>
    </r>
  </si>
  <si>
    <r>
      <rPr>
        <rFont val="Arial"/>
        <color theme="1"/>
        <sz val="9.0"/>
      </rPr>
      <t xml:space="preserve">Chef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</si>
  <si>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</si>
  <si>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</si>
  <si>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5.0"/>
      </rPr>
      <t xml:space="preserve">Shadow-Vested </t>
    </r>
    <r>
      <rPr>
        <rFont val="Arial"/>
        <color theme="1"/>
        <sz val="4.0"/>
      </rPr>
      <t>Bladesinger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</si>
  <si>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Regret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</si>
  <si>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7.0"/>
      </rPr>
      <t xml:space="preserve">All </t>
    </r>
    <r>
      <rPr>
        <rFont val="Arial"/>
        <color theme="1"/>
        <sz val="6.0"/>
      </rPr>
      <t>UT3</t>
    </r>
    <r>
      <rPr>
        <rFont val="Arial"/>
        <color theme="1"/>
        <sz val="7.0"/>
      </rPr>
      <t xml:space="preserve"> </t>
    </r>
    <r>
      <rPr>
        <rFont val="Arial"/>
        <color theme="1"/>
        <sz val="6.0"/>
      </rPr>
      <t>Threads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</si>
  <si>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</si>
  <si>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</si>
  <si>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</si>
  <si>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Yearning-Mircalla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</si>
  <si>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t>Skip Thread 5</t>
  </si>
  <si>
    <r>
      <rPr>
        <rFont val="Arial"/>
        <color theme="1"/>
        <sz val="7.0"/>
      </rPr>
      <t xml:space="preserve">All </t>
    </r>
    <r>
      <rPr>
        <rFont val="Arial"/>
        <color theme="1"/>
        <sz val="6.0"/>
      </rPr>
      <t>UT4</t>
    </r>
    <r>
      <rPr>
        <rFont val="Arial"/>
        <color theme="1"/>
        <sz val="7.0"/>
      </rPr>
      <t xml:space="preserve"> </t>
    </r>
    <r>
      <rPr>
        <rFont val="Arial"/>
        <color theme="1"/>
        <sz val="6.0"/>
      </rPr>
      <t>Threads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</si>
  <si>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</si>
  <si>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</si>
  <si>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6.0"/>
      </rPr>
      <t>Electric Screaming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</si>
  <si>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Land of Illusion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</si>
  <si>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Unbrilliant Glory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</si>
  <si>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t>Daily Threads</t>
  </si>
  <si>
    <t>Threads Needed</t>
  </si>
  <si>
    <r>
      <rPr>
        <rFont val="Arial"/>
        <color theme="1"/>
        <sz val="9.0"/>
      </rPr>
      <t xml:space="preserve">N </t>
    </r>
    <r>
      <rPr>
        <rFont val="Arial"/>
        <color theme="1"/>
        <sz val="8.0"/>
      </rPr>
      <t>Fanatic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</si>
  <si>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Pequod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</si>
  <si>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</si>
  <si>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</si>
  <si>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Pursuance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</si>
  <si>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Shi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</si>
  <si>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Thumb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</si>
  <si>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</si>
  <si>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Prince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</si>
  <si>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Capote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</si>
  <si>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6.0"/>
      </rPr>
      <t>Asymmetrical Inertia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</si>
  <si>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</si>
  <si>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Oufi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</si>
  <si>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</si>
  <si>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Move-in Reg.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</si>
  <si>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t>for UT3</t>
  </si>
  <si>
    <r>
      <rPr>
        <rFont val="Arial"/>
        <color theme="1"/>
        <sz val="9.0"/>
      </rPr>
      <t xml:space="preserve">TLA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</si>
  <si>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N </t>
    </r>
    <r>
      <rPr>
        <rFont val="Arial"/>
        <color theme="1"/>
        <sz val="8.0"/>
      </rPr>
      <t>Fanatic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</si>
  <si>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</si>
  <si>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6.0"/>
      </rPr>
      <t>Dimension Shredder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</si>
  <si>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Fell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</si>
  <si>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t>for TS3</t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</si>
  <si>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</si>
  <si>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</si>
  <si>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Dawn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</si>
  <si>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</si>
  <si>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5.0"/>
      </rPr>
      <t>Effervescent Corrosion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</si>
  <si>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Bodysack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</si>
  <si>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t>for TS4</t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</si>
  <si>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</si>
  <si>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HC</t>
    </r>
  </si>
  <si>
    <r>
      <rPr>
        <rFont val="Arial"/>
        <color theme="1"/>
        <sz val="7.0"/>
      </rPr>
      <t>Roseate Desire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</si>
  <si>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Binds </t>
    </r>
    <r>
      <rPr>
        <rFont val="Arial"/>
        <color theme="1"/>
        <sz val="8.0"/>
      </rPr>
      <t>HC</t>
    </r>
  </si>
  <si>
    <t>Total Ticket IV Amount</t>
  </si>
  <si>
    <r>
      <rPr>
        <rFont val="Arial"/>
        <color theme="1"/>
        <sz val="9.0"/>
      </rPr>
      <t xml:space="preserve">Shi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</si>
  <si>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</si>
  <si>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</si>
  <si>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</si>
  <si>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Lasso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</si>
  <si>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XP</t>
    </r>
    <r>
      <rPr>
        <rFont val="Arial"/>
        <color theme="1"/>
        <sz val="7.0"/>
      </rPr>
      <t xml:space="preserve"> Lux</t>
    </r>
  </si>
  <si>
    <t>Max Acc Acq</t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</si>
  <si>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</si>
  <si>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Soda </t>
    </r>
    <r>
      <rPr>
        <rFont val="Arial"/>
        <color theme="1"/>
        <sz val="8.0"/>
      </rPr>
      <t>HL</t>
    </r>
  </si>
  <si>
    <r>
      <rPr>
        <rFont val="Arial"/>
        <color theme="1"/>
        <sz val="5.0"/>
      </rPr>
      <t xml:space="preserve">Hundred-Footed </t>
    </r>
    <r>
      <rPr>
        <rFont val="Arial"/>
        <color theme="1"/>
        <sz val="4.0"/>
      </rPr>
      <t>Death Maggot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</si>
  <si>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>XP</t>
    </r>
    <r>
      <rPr>
        <rFont val="Arial"/>
        <color theme="1"/>
        <sz val="7.0"/>
      </rPr>
      <t xml:space="preserve"> Lux Skip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</si>
  <si>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</si>
  <si>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>Pequod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</si>
  <si>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G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</si>
  <si>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</si>
  <si>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6.0"/>
      </rPr>
      <t>Christmas Nightmare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</si>
  <si>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t>Thread Lux</t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</si>
  <si>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</si>
  <si>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Zwei </t>
    </r>
    <r>
      <rPr>
        <rFont val="Arial"/>
        <color theme="1"/>
        <sz val="8.0"/>
      </rPr>
      <t>IS</t>
    </r>
  </si>
  <si>
    <r>
      <rPr>
        <rFont val="Arial"/>
        <color theme="1"/>
        <sz val="5.0"/>
      </rPr>
      <t>Ya Śūnyatā Tad Rūpam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</si>
  <si>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6.0"/>
      </rPr>
      <t>Ardor Blossom Star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</si>
  <si>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t>Thread Lux Skip</t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</si>
  <si>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</si>
  <si>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</si>
  <si>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Telepole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</si>
  <si>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7.0"/>
      </rPr>
      <t>Blind Obsession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</si>
  <si>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 xml:space="preserve">Daily Manager </t>
    </r>
    <r>
      <rPr>
        <rFont val="Arial"/>
        <color theme="1"/>
        <sz val="7.0"/>
      </rPr>
      <t>XP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</si>
  <si>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</si>
  <si>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</si>
  <si>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</si>
  <si>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Holiday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</si>
  <si>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Snagharpoon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</si>
  <si>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Zwei W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</si>
  <si>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AEDD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</si>
  <si>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Tidal Elegy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</si>
  <si>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t>ZAYIN TS4</t>
  </si>
  <si>
    <r>
      <rPr>
        <rFont val="Arial"/>
        <color theme="1"/>
        <sz val="9.0"/>
      </rPr>
      <t xml:space="preserve">TLA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</si>
  <si>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Devyat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</si>
  <si>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HC</t>
    </r>
  </si>
  <si>
    <t>TETH TS4</t>
  </si>
  <si>
    <r>
      <rPr>
        <rFont val="Arial"/>
        <color theme="1"/>
        <sz val="8.0"/>
      </rPr>
      <t>Thumb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</si>
  <si>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HC</t>
    </r>
  </si>
  <si>
    <r>
      <rPr>
        <rFont val="Arial"/>
        <color theme="1"/>
        <sz val="7.0"/>
      </rPr>
      <t>Roseate Desire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</si>
  <si>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t>HE TS4</t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</si>
  <si>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</si>
  <si>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RSP </t>
    </r>
    <r>
      <rPr>
        <rFont val="Arial"/>
        <color theme="1"/>
        <sz val="8.0"/>
      </rPr>
      <t>RD</t>
    </r>
  </si>
  <si>
    <r>
      <rPr>
        <rFont val="Arial"/>
        <color theme="1"/>
        <sz val="7.0"/>
      </rPr>
      <t>Bygone Days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</si>
  <si>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>Sanguine Desire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</si>
  <si>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t>WAW TS4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</si>
  <si>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</si>
  <si>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</si>
  <si>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>Hanafuda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</si>
  <si>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Wingbeat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</si>
  <si>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Indicant's Trial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</si>
  <si>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t>All TS4 Thread</t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</si>
  <si>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</si>
  <si>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LCD Osir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</si>
  <si>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Capote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</si>
  <si>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What is Cast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</si>
  <si>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G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</si>
  <si>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Devyat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</si>
  <si>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</si>
  <si>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Rime Shank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</si>
  <si>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t>ZAYIN TS3</t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</si>
  <si>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</si>
  <si>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</si>
  <si>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Into The Sunset</t>
    </r>
    <r>
      <rPr>
        <rFont val="Arial"/>
        <color theme="1"/>
      </rPr>
      <t xml:space="preserve"> </t>
    </r>
    <r>
      <rPr>
        <rFont val="Arial"/>
        <color theme="1"/>
        <sz val="7.0"/>
      </rPr>
      <t>RD</t>
    </r>
  </si>
  <si>
    <r>
      <rPr>
        <rFont val="Arial"/>
        <color theme="1"/>
        <sz val="8.0"/>
      </rPr>
      <t>Hex Nail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</si>
  <si>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t>TETH TS3</t>
  </si>
  <si>
    <r>
      <rPr>
        <rFont val="Arial"/>
        <color theme="1"/>
        <sz val="9.0"/>
      </rPr>
      <t xml:space="preserve">RSP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</si>
  <si>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SC</t>
    </r>
  </si>
  <si>
    <r>
      <rPr>
        <rFont val="Arial"/>
        <color theme="1"/>
        <sz val="7.0"/>
      </rPr>
      <t>4th Match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</si>
  <si>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t>HE TS3</t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</si>
  <si>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</si>
  <si>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SC</t>
    </r>
  </si>
  <si>
    <r>
      <rPr>
        <rFont val="Arial"/>
        <color theme="1"/>
        <sz val="6.0"/>
      </rPr>
      <t xml:space="preserve">Knight </t>
    </r>
    <r>
      <rPr>
        <rFont val="Arial"/>
        <color theme="1"/>
        <sz val="5.0"/>
      </rPr>
      <t>of</t>
    </r>
    <r>
      <rPr>
        <rFont val="Arial"/>
        <color theme="1"/>
        <sz val="6.0"/>
      </rPr>
      <t xml:space="preserve"> Despair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</si>
  <si>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5.0"/>
      </rPr>
      <t>Effervescent Corrosion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</si>
  <si>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6.0"/>
      </rPr>
      <t xml:space="preserve">Branch </t>
    </r>
    <r>
      <rPr>
        <rFont val="Arial"/>
        <color theme="1"/>
        <sz val="5.0"/>
      </rPr>
      <t>of</t>
    </r>
    <r>
      <rPr>
        <rFont val="Arial"/>
        <color theme="1"/>
        <sz val="6.0"/>
      </rPr>
      <t xml:space="preserve"> Knowledge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</si>
  <si>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t>WAW TS3</t>
  </si>
  <si>
    <r>
      <rPr>
        <rFont val="Arial"/>
        <color theme="1"/>
        <sz val="8.0"/>
      </rPr>
      <t>Princess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</si>
  <si>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>Pursuance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</si>
  <si>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7.0"/>
      </rPr>
      <t>Tarnished Blood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</si>
  <si>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t>All TS3 Thread</t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</si>
  <si>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</si>
  <si>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</si>
  <si>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Harmony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</si>
  <si>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Barber </t>
    </r>
    <r>
      <rPr>
        <rFont val="Arial"/>
        <color theme="1"/>
        <sz val="8.0"/>
      </rPr>
      <t>OT</t>
    </r>
  </si>
  <si>
    <r>
      <rPr>
        <rFont val="Arial"/>
        <color theme="1"/>
        <sz val="7.0"/>
      </rPr>
      <t>Cavernous Wailing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</si>
  <si>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</si>
  <si>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</si>
  <si>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>Impending 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</si>
  <si>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7.0"/>
      </rPr>
      <t>To Páthos Máthos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</si>
  <si>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Molar </t>
    </r>
    <r>
      <rPr>
        <rFont val="Arial"/>
        <color theme="1"/>
        <sz val="8.0"/>
      </rPr>
      <t>OT</t>
    </r>
  </si>
  <si>
    <r>
      <rPr>
        <rFont val="Arial"/>
        <color theme="1"/>
        <sz val="7.0"/>
      </rPr>
      <t>Lifetime Stew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</si>
  <si>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7.0"/>
      </rPr>
      <t xml:space="preserve">I'll Go </t>
    </r>
    <r>
      <rPr>
        <rFont val="Arial"/>
        <color theme="1"/>
        <sz val="6.0"/>
      </rPr>
      <t>fer</t>
    </r>
    <r>
      <rPr>
        <rFont val="Arial"/>
        <color theme="1"/>
        <sz val="7.0"/>
      </rPr>
      <t xml:space="preserve"> Scissors.</t>
    </r>
    <r>
      <rPr>
        <rFont val="Arial"/>
        <color theme="1"/>
        <sz val="4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</si>
  <si>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</si>
  <si>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</si>
  <si>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Hex Nail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</si>
  <si>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5.0"/>
      </rPr>
      <t>Ya Śūnyatā Tad Rūpam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</si>
  <si>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</si>
  <si>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</si>
  <si>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Lantern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</si>
  <si>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</si>
  <si>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</si>
  <si>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9:2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</si>
  <si>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Binds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</si>
  <si>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Pirates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</si>
  <si>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</si>
  <si>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r>
      <rPr>
        <rFont val="Arial"/>
        <color theme="1"/>
        <sz val="6.0"/>
      </rPr>
      <t>Dimension Shredder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</si>
  <si>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6.0"/>
      </rPr>
      <t>Suddenly, One 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</si>
  <si>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Priest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</si>
  <si>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</si>
  <si>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Ebony Stem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</si>
  <si>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Lantern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</si>
  <si>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Zwei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</si>
  <si>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Sunshower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</si>
  <si>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AEDD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</si>
  <si>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</si>
  <si>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</si>
  <si>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Holiday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</si>
  <si>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OT</t>
    </r>
  </si>
  <si>
    <r>
      <rPr>
        <rFont val="Arial"/>
        <color theme="1"/>
        <sz val="6.0"/>
      </rPr>
      <t>Christmas Nightmare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</si>
  <si>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</si>
  <si>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>Garden of Thorns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</si>
  <si>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Heishou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</si>
  <si>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>Solemn Lament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</si>
  <si>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>Bygone Days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</si>
  <si>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>Legerdemain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</si>
  <si>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Lamp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</si>
  <si>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AEDD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</si>
  <si>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#1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</si>
  <si>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#2</t>
    </r>
  </si>
  <si>
    <t>Actual Result</t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</si>
  <si>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#1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</si>
  <si>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#2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</si>
  <si>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#3</t>
    </r>
  </si>
  <si>
    <t>EGO #2</t>
  </si>
  <si>
    <t>Keyword for</t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</si>
  <si>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#1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</si>
  <si>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#2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</si>
  <si>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#3</t>
    </r>
  </si>
  <si>
    <t>Dimension Shredder</t>
  </si>
  <si>
    <t>? Walp X</t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</si>
  <si>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Father</t>
    </r>
  </si>
  <si>
    <t>WAW BP</t>
  </si>
  <si>
    <t>SL Walp IX</t>
  </si>
  <si>
    <r>
      <rPr>
        <rFont val="Arial"/>
        <color rgb="FF0000FF"/>
        <sz val="8.0"/>
      </rPr>
      <t>Poise</t>
    </r>
    <r>
      <rPr>
        <rFont val="Arial"/>
        <color theme="1"/>
        <sz val="8.0"/>
      </rPr>
      <t xml:space="preserve"> </t>
    </r>
    <r>
      <rPr>
        <rFont val="Arial"/>
        <color rgb="FFFF0000"/>
        <sz val="7.0"/>
      </rPr>
      <t>Burn</t>
    </r>
    <r>
      <rPr>
        <rFont val="Arial"/>
        <color theme="1"/>
        <sz val="8.0"/>
      </rPr>
      <t xml:space="preserve"> </t>
    </r>
    <r>
      <rPr>
        <rFont val="Arial"/>
        <color rgb="FF00FFFF"/>
        <sz val="8.0"/>
      </rPr>
      <t>Sinking</t>
    </r>
  </si>
  <si>
    <r>
      <rPr>
        <rFont val="Arial"/>
        <color rgb="FF0000FF"/>
        <sz val="8.0"/>
      </rPr>
      <t>Poise</t>
    </r>
    <r>
      <rPr>
        <rFont val="Arial"/>
        <color theme="1"/>
        <sz val="8.0"/>
      </rPr>
      <t xml:space="preserve"> </t>
    </r>
    <r>
      <rPr>
        <rFont val="Arial"/>
        <color rgb="FFFF0000"/>
        <sz val="8.0"/>
      </rPr>
      <t>Burn</t>
    </r>
    <r>
      <rPr>
        <rFont val="Arial"/>
        <color theme="1"/>
        <sz val="9.0"/>
      </rPr>
      <t xml:space="preserve"> </t>
    </r>
    <r>
      <rPr>
        <rFont val="Arial"/>
        <color rgb="FF00FFFF"/>
        <sz val="7.0"/>
      </rPr>
      <t>Sinking</t>
    </r>
  </si>
  <si>
    <t>Hex Nail</t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</si>
  <si>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Proselyte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</si>
  <si>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Apprentice</t>
    </r>
  </si>
  <si>
    <t>Yuna Walp IX</t>
  </si>
  <si>
    <t>Ardor Blossom Bkgk</t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</si>
  <si>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Sinking</t>
    </r>
  </si>
  <si>
    <r>
      <rPr>
        <rFont val="Arial"/>
        <color rgb="FFFF00FF"/>
        <sz val="9.0"/>
      </rPr>
      <t xml:space="preserve">Charge </t>
    </r>
    <r>
      <rPr>
        <rFont val="Arial"/>
        <color rgb="FFFF9900"/>
        <sz val="9.0"/>
      </rPr>
      <t>Bleed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</si>
  <si>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Apprentice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</si>
  <si>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Sinking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</si>
  <si>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Walp VIII</t>
    </r>
  </si>
  <si>
    <t>Pinky Araya</t>
  </si>
  <si>
    <r>
      <rPr>
        <rFont val="Arial"/>
        <color rgb="FFFFFF00"/>
        <sz val="9.0"/>
      </rPr>
      <t xml:space="preserve">Tremor </t>
    </r>
    <r>
      <rPr>
        <rFont val="Arial"/>
        <color rgb="FF00FFFF"/>
        <sz val="9.0"/>
      </rPr>
      <t>Sinking</t>
    </r>
  </si>
  <si>
    <r>
      <rPr>
        <rFont val="Arial"/>
        <color rgb="FF0000FF"/>
        <sz val="8.0"/>
      </rPr>
      <t>Poise</t>
    </r>
    <r>
      <rPr>
        <rFont val="Arial"/>
        <color rgb="FF0000FF"/>
        <sz val="9.0"/>
      </rPr>
      <t xml:space="preserve"> </t>
    </r>
    <r>
      <rPr>
        <rFont val="Arial"/>
        <color rgb="FFFF0000"/>
        <sz val="9.0"/>
      </rPr>
      <t>Burn</t>
    </r>
    <r>
      <rPr>
        <rFont val="Arial"/>
        <color rgb="FF000000"/>
        <sz val="9.0"/>
      </rPr>
      <t xml:space="preserve"> </t>
    </r>
    <r>
      <rPr>
        <rFont val="Arial"/>
        <color rgb="FFFF9900"/>
        <sz val="9.0"/>
      </rPr>
      <t>Bleed</t>
    </r>
  </si>
  <si>
    <r>
      <rPr>
        <rFont val="Arial"/>
        <color rgb="FF0000FF"/>
        <sz val="8.0"/>
      </rPr>
      <t>Poise</t>
    </r>
    <r>
      <rPr>
        <rFont val="Arial"/>
        <color theme="1"/>
        <sz val="8.0"/>
      </rPr>
      <t xml:space="preserve"> </t>
    </r>
    <r>
      <rPr>
        <rFont val="Arial"/>
        <color rgb="FFFF0000"/>
        <sz val="8.0"/>
      </rPr>
      <t>Burn</t>
    </r>
    <r>
      <rPr>
        <rFont val="Arial"/>
        <color theme="1"/>
        <sz val="8.0"/>
      </rPr>
      <t xml:space="preserve"> </t>
    </r>
    <r>
      <rPr>
        <rFont val="Arial"/>
        <color rgb="FFFF9900"/>
        <sz val="8.0"/>
      </rPr>
      <t>Bleed</t>
    </r>
  </si>
  <si>
    <t>Night Drifter</t>
  </si>
  <si>
    <t>Bad End</t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</si>
  <si>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Walp VIII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</si>
  <si>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Student</t>
    </r>
    <r>
      <rPr>
        <rFont val="Arial"/>
        <color theme="1"/>
        <sz val="9.0"/>
      </rPr>
      <t xml:space="preserve"> Intv</t>
    </r>
  </si>
  <si>
    <t>Shadow-Vested Intv2</t>
  </si>
  <si>
    <r>
      <rPr>
        <rFont val="Arial"/>
        <color rgb="FFFF0000"/>
        <sz val="9.0"/>
      </rPr>
      <t>Burn</t>
    </r>
    <r>
      <rPr>
        <rFont val="Arial"/>
        <color rgb="FFFF9900"/>
        <sz val="9.0"/>
      </rPr>
      <t xml:space="preserve"> Bleed</t>
    </r>
  </si>
  <si>
    <r>
      <rPr>
        <rFont val="Arial"/>
        <color rgb="FF00FFFF"/>
        <sz val="9.0"/>
      </rPr>
      <t xml:space="preserve">Sinking </t>
    </r>
    <r>
      <rPr>
        <rFont val="Arial"/>
        <color rgb="FFFF9900"/>
        <sz val="9.0"/>
      </rPr>
      <t>Bleed</t>
    </r>
  </si>
  <si>
    <r>
      <rPr>
        <rFont val="Arial"/>
        <i/>
        <color rgb="FF0000FF"/>
        <sz val="9.0"/>
      </rPr>
      <t xml:space="preserve">Poise </t>
    </r>
    <r>
      <rPr>
        <rFont val="Arial"/>
        <i/>
        <color rgb="FFFF9900"/>
        <sz val="9.0"/>
      </rPr>
      <t>Bleed</t>
    </r>
  </si>
  <si>
    <t>Carvenous Wailings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</si>
  <si>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Father</t>
    </r>
  </si>
  <si>
    <t>S Corp Intv2</t>
  </si>
  <si>
    <r>
      <rPr>
        <rFont val="Arial"/>
        <color rgb="FFFF00FF"/>
        <sz val="8.0"/>
      </rPr>
      <t xml:space="preserve">Charge </t>
    </r>
    <r>
      <rPr>
        <rFont val="Arial"/>
        <color rgb="FFFF0000"/>
        <sz val="7.0"/>
      </rPr>
      <t>Burn</t>
    </r>
    <r>
      <rPr>
        <rFont val="Arial"/>
        <color rgb="FFFF00FF"/>
        <sz val="8.0"/>
      </rPr>
      <t xml:space="preserve"> </t>
    </r>
    <r>
      <rPr>
        <rFont val="Arial"/>
        <color rgb="FFFF9900"/>
        <sz val="8.0"/>
      </rPr>
      <t>Bleed</t>
    </r>
  </si>
  <si>
    <r>
      <rPr>
        <rFont val="Arial"/>
        <color rgb="FF0000FF"/>
        <sz val="9.0"/>
      </rPr>
      <t xml:space="preserve">Poise </t>
    </r>
    <r>
      <rPr>
        <rFont val="Arial"/>
        <color rgb="FFFF9900"/>
        <sz val="9.0"/>
      </rPr>
      <t>Bleed</t>
    </r>
  </si>
  <si>
    <t>King of Binds</t>
  </si>
  <si>
    <t>ZAYIN BP</t>
  </si>
  <si>
    <r>
      <rPr>
        <rFont val="Arial"/>
        <color theme="1"/>
        <sz val="8.0"/>
      </rPr>
      <t>Middle</t>
    </r>
    <r>
      <rPr>
        <rFont val="Arial"/>
        <color theme="1"/>
        <sz val="7.0"/>
      </rPr>
      <t xml:space="preserve"> Ricardo</t>
    </r>
    <r>
      <rPr>
        <rFont val="Arial"/>
        <color theme="1"/>
        <sz val="6.0"/>
      </rPr>
      <t xml:space="preserve"> </t>
    </r>
    <r>
      <rPr>
        <rFont val="Arial"/>
        <color theme="1"/>
        <sz val="7.0"/>
      </rPr>
      <t>Bkgk2</t>
    </r>
  </si>
  <si>
    <t>Thumb Apprentice</t>
  </si>
  <si>
    <t>TETH BP</t>
  </si>
  <si>
    <r>
      <rPr>
        <rFont val="Arial"/>
        <color rgb="FFFF0000"/>
        <sz val="9.0"/>
      </rPr>
      <t>Burn</t>
    </r>
    <r>
      <rPr>
        <rFont val="Arial"/>
        <color rgb="FFFF9900"/>
        <sz val="9.0"/>
      </rPr>
      <t xml:space="preserve"> Bleed</t>
    </r>
  </si>
  <si>
    <r>
      <rPr>
        <rFont val="Arial"/>
        <color rgb="FFFF0000"/>
        <sz val="9.0"/>
      </rPr>
      <t>Burn</t>
    </r>
    <r>
      <rPr>
        <rFont val="Arial"/>
        <color rgb="FF0000FF"/>
        <sz val="9.0"/>
      </rPr>
      <t xml:space="preserve"> </t>
    </r>
    <r>
      <rPr>
        <rFont val="Arial"/>
        <color rgb="FFFFFF00"/>
        <sz val="9.0"/>
      </rPr>
      <t>Tremor</t>
    </r>
  </si>
  <si>
    <r>
      <rPr>
        <rFont val="Arial"/>
        <color rgb="FFFF00FF"/>
        <sz val="9.0"/>
      </rPr>
      <t>Charge</t>
    </r>
    <r>
      <rPr>
        <rFont val="Arial"/>
        <color theme="1"/>
        <sz val="9.0"/>
      </rPr>
      <t xml:space="preserve"> </t>
    </r>
    <r>
      <rPr>
        <rFont val="Arial"/>
        <color rgb="FFFF0000"/>
        <sz val="9.0"/>
      </rPr>
      <t>Burn</t>
    </r>
  </si>
  <si>
    <t>Blind Obsession</t>
  </si>
  <si>
    <r>
      <rPr>
        <rFont val="Arial"/>
        <color theme="1"/>
        <sz val="8.0"/>
      </rPr>
      <t>Middle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Apprentice</t>
    </r>
  </si>
  <si>
    <t>LCD Osir Intv2</t>
  </si>
  <si>
    <r>
      <rPr>
        <rFont val="Arial"/>
        <color rgb="FFFF0000"/>
        <sz val="9.0"/>
      </rPr>
      <t>Burn</t>
    </r>
    <r>
      <rPr>
        <rFont val="Arial"/>
        <color theme="1"/>
        <sz val="9.0"/>
      </rPr>
      <t xml:space="preserve"> </t>
    </r>
    <r>
      <rPr>
        <rFont val="Arial"/>
        <color rgb="FFFF9900"/>
        <sz val="9.0"/>
      </rPr>
      <t>Bleed</t>
    </r>
  </si>
  <si>
    <r>
      <rPr>
        <rFont val="Arial"/>
        <color rgb="FF0000FF"/>
        <sz val="9.0"/>
      </rPr>
      <t xml:space="preserve">Poise </t>
    </r>
    <r>
      <rPr>
        <rFont val="Arial"/>
        <color rgb="FFFF9900"/>
        <sz val="9.0"/>
      </rPr>
      <t>Bleed</t>
    </r>
  </si>
  <si>
    <t>Indicant's Trial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</si>
  <si>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Docent</t>
    </r>
    <r>
      <rPr>
        <rFont val="Arial"/>
        <color theme="1"/>
        <sz val="9.0"/>
      </rPr>
      <t xml:space="preserve"> Intv</t>
    </r>
  </si>
  <si>
    <t>Thumb Father</t>
  </si>
  <si>
    <r>
      <rPr>
        <rFont val="Arial"/>
        <color theme="1"/>
        <sz val="7.0"/>
      </rPr>
      <t>Into the Sunset</t>
    </r>
    <r>
      <rPr>
        <rFont val="Arial"/>
        <color theme="1"/>
        <sz val="8.0"/>
      </rPr>
      <t xml:space="preserve"> </t>
    </r>
    <r>
      <rPr>
        <rFont val="Arial"/>
        <color theme="1"/>
        <sz val="7.0"/>
      </rPr>
      <t>Bkgk2</t>
    </r>
  </si>
  <si>
    <r>
      <rPr>
        <rFont val="Arial"/>
        <color rgb="FF00FFFF"/>
        <sz val="9.0"/>
      </rPr>
      <t xml:space="preserve">Sinking </t>
    </r>
    <r>
      <rPr>
        <rFont val="Arial"/>
        <color rgb="FFFF9900"/>
        <sz val="9.0"/>
      </rPr>
      <t>Bleed</t>
    </r>
  </si>
  <si>
    <r>
      <rPr>
        <rFont val="Arial"/>
        <color rgb="FFFF0000"/>
        <sz val="9.0"/>
      </rPr>
      <t>Burn</t>
    </r>
    <r>
      <rPr>
        <rFont val="Arial"/>
        <color rgb="FF0000FF"/>
        <sz val="9.0"/>
      </rPr>
      <t xml:space="preserve"> </t>
    </r>
    <r>
      <rPr>
        <rFont val="Arial"/>
        <color rgb="FFFFFF00"/>
        <sz val="9.0"/>
      </rPr>
      <t>Tremor</t>
    </r>
  </si>
  <si>
    <r>
      <rPr>
        <rFont val="Arial"/>
        <color rgb="FFFF0000"/>
        <sz val="9.0"/>
      </rPr>
      <t>Burn</t>
    </r>
    <r>
      <rPr>
        <rFont val="Arial"/>
        <color rgb="FFFF9900"/>
        <sz val="9.0"/>
      </rPr>
      <t xml:space="preserve"> Bleed</t>
    </r>
  </si>
  <si>
    <t>Lantern</t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</si>
  <si>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Apprentice</t>
    </r>
  </si>
  <si>
    <t>Wayfarer SF</t>
  </si>
  <si>
    <r>
      <rPr>
        <rFont val="Arial"/>
        <color theme="1"/>
        <sz val="7.0"/>
      </rPr>
      <t>Harmony</t>
    </r>
    <r>
      <rPr>
        <rFont val="Arial"/>
        <color theme="1"/>
        <sz val="8.0"/>
      </rPr>
      <t xml:space="preserve"> Walp VIII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</si>
  <si>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FF9900"/>
        <sz val="9.0"/>
      </rPr>
      <t>Bleed</t>
    </r>
  </si>
  <si>
    <r>
      <rPr>
        <rFont val="Arial"/>
        <i/>
        <color rgb="FFFFFF00"/>
        <sz val="9.0"/>
      </rPr>
      <t>Tremor</t>
    </r>
    <r>
      <rPr>
        <rFont val="Arial"/>
        <i/>
        <color rgb="FFFF00FF"/>
        <sz val="9.0"/>
      </rPr>
      <t xml:space="preserve"> Charge</t>
    </r>
  </si>
  <si>
    <r>
      <rPr>
        <rFont val="Arial"/>
        <color rgb="FFFF0000"/>
        <sz val="9.0"/>
      </rPr>
      <t>Burn</t>
    </r>
    <r>
      <rPr>
        <rFont val="Arial"/>
        <color rgb="FFFF9900"/>
        <sz val="9.0"/>
      </rPr>
      <t xml:space="preserve"> Bleed</t>
    </r>
  </si>
  <si>
    <t>Udjat Leader</t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</si>
  <si>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Father</t>
    </r>
  </si>
  <si>
    <r>
      <rPr>
        <rFont val="Arial"/>
        <color rgb="FFFFFF00"/>
        <sz val="9.0"/>
      </rPr>
      <t>Tremor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Sinking</t>
    </r>
  </si>
  <si>
    <r>
      <rPr>
        <rFont val="Arial"/>
        <color rgb="FFFF0000"/>
        <sz val="9.0"/>
      </rPr>
      <t>Burn</t>
    </r>
    <r>
      <rPr>
        <rFont val="Arial"/>
        <color theme="1"/>
        <sz val="9.0"/>
      </rPr>
      <t xml:space="preserve"> </t>
    </r>
    <r>
      <rPr>
        <rFont val="Arial"/>
        <color rgb="FFFF9900"/>
        <sz val="9.0"/>
      </rPr>
      <t>Bleed</t>
    </r>
  </si>
  <si>
    <t>HE BP</t>
  </si>
  <si>
    <t>Lobo Lamp</t>
  </si>
  <si>
    <r>
      <rPr>
        <rFont val="Arial"/>
        <color theme="1"/>
        <sz val="9.0"/>
      </rPr>
      <t xml:space="preserve">LCE AEDD </t>
    </r>
    <r>
      <rPr>
        <rFont val="Arial"/>
        <color theme="1"/>
        <sz val="8.0"/>
      </rPr>
      <t>Bkgk</t>
    </r>
  </si>
  <si>
    <t>Salvador Walp IX</t>
  </si>
  <si>
    <r>
      <rPr>
        <rFont val="Arial"/>
        <color rgb="FFFF0000"/>
        <sz val="9.0"/>
      </rPr>
      <t>Burn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Sinking</t>
    </r>
  </si>
  <si>
    <r>
      <rPr>
        <rFont val="Arial"/>
        <color rgb="FFFF00FF"/>
        <sz val="9.0"/>
      </rPr>
      <t xml:space="preserve">Charge </t>
    </r>
    <r>
      <rPr>
        <rFont val="Arial"/>
        <color rgb="FF00FF00"/>
        <sz val="9.0"/>
      </rPr>
      <t>Rupture</t>
    </r>
  </si>
  <si>
    <r>
      <rPr>
        <rFont val="Arial"/>
        <color rgb="FFCC0000"/>
        <sz val="9.0"/>
      </rPr>
      <t>Non</t>
    </r>
    <r>
      <rPr>
        <rFont val="Arial"/>
        <color rgb="FFE06666"/>
        <sz val="9.0"/>
      </rPr>
      <t>-</t>
    </r>
    <r>
      <rPr>
        <rFont val="Arial"/>
        <color rgb="FF38761D"/>
        <sz val="9.0"/>
      </rPr>
      <t>Finger</t>
    </r>
    <r>
      <rPr>
        <rFont val="Arial"/>
        <color rgb="FF000000"/>
        <sz val="8.0"/>
      </rPr>
      <t xml:space="preserve"> IDs</t>
    </r>
  </si>
  <si>
    <r>
      <rPr>
        <rFont val="Arial"/>
        <color rgb="FF0000FF"/>
        <sz val="9.0"/>
      </rPr>
      <t xml:space="preserve">Poise </t>
    </r>
    <r>
      <rPr>
        <rFont val="Arial"/>
        <color rgb="FF00FF00"/>
        <sz val="9.0"/>
      </rPr>
      <t>Rupture</t>
    </r>
  </si>
  <si>
    <r>
      <rPr>
        <rFont val="Arial"/>
        <color rgb="FFFF00FF"/>
        <sz val="9.0"/>
      </rPr>
      <t xml:space="preserve">Charge </t>
    </r>
    <r>
      <rPr>
        <rFont val="Arial"/>
        <color rgb="FF00FF00"/>
        <sz val="9.0"/>
      </rPr>
      <t>Rupture</t>
    </r>
  </si>
  <si>
    <r>
      <rPr>
        <rFont val="Arial"/>
        <color rgb="FF00FF00"/>
        <sz val="9.0"/>
      </rPr>
      <t xml:space="preserve">Rupture </t>
    </r>
    <r>
      <rPr>
        <rFont val="Arial"/>
        <color rgb="FF00FFFF"/>
        <sz val="9.0"/>
      </rPr>
      <t>Sinking</t>
    </r>
  </si>
  <si>
    <t>Index</t>
  </si>
  <si>
    <r>
      <rPr>
        <rFont val="Arial"/>
        <color rgb="FFCC0000"/>
        <sz val="9.0"/>
      </rPr>
      <t>Non</t>
    </r>
    <r>
      <rPr>
        <rFont val="Arial"/>
        <color rgb="FFE06666"/>
        <sz val="9.0"/>
      </rPr>
      <t>-BP</t>
    </r>
    <r>
      <rPr>
        <rFont val="Arial"/>
        <color rgb="FF000000"/>
        <sz val="8.0"/>
      </rPr>
      <t xml:space="preserve"> EGOs</t>
    </r>
  </si>
  <si>
    <t>ID: 12, EGO: 5</t>
  </si>
  <si>
    <r>
      <rPr>
        <rFont val="Arial"/>
        <color rgb="FFFF0000"/>
        <sz val="9.0"/>
      </rPr>
      <t>Burn</t>
    </r>
    <r>
      <rPr>
        <rFont val="Arial"/>
        <color rgb="FFFF9900"/>
        <sz val="9.0"/>
      </rPr>
      <t xml:space="preserve"> Bleed</t>
    </r>
  </si>
  <si>
    <r>
      <rPr>
        <rFont val="Arial"/>
        <color rgb="FF0000FF"/>
        <sz val="9.0"/>
      </rPr>
      <t xml:space="preserve">Poise </t>
    </r>
    <r>
      <rPr>
        <rFont val="Arial"/>
        <color rgb="FFFF00FF"/>
        <sz val="9.0"/>
      </rPr>
      <t>Charge</t>
    </r>
  </si>
  <si>
    <r>
      <rPr>
        <rFont val="Arial"/>
        <color rgb="FF0000FF"/>
        <sz val="9.0"/>
      </rPr>
      <t xml:space="preserve">Poise </t>
    </r>
    <r>
      <rPr>
        <rFont val="Arial"/>
        <color rgb="FF00FFFF"/>
        <sz val="9.0"/>
      </rPr>
      <t>Sinking</t>
    </r>
  </si>
  <si>
    <t>Middle</t>
  </si>
  <si>
    <r>
      <rPr>
        <rFont val="Arial"/>
        <color rgb="FF1155CC"/>
        <sz val="8.0"/>
      </rPr>
      <t>House</t>
    </r>
    <r>
      <rPr>
        <rFont val="Arial"/>
        <color theme="1"/>
        <sz val="8.0"/>
      </rPr>
      <t xml:space="preserve"> </t>
    </r>
    <r>
      <rPr>
        <rFont val="Arial"/>
        <color rgb="FF990000"/>
        <sz val="8.0"/>
      </rPr>
      <t>of</t>
    </r>
    <r>
      <rPr>
        <rFont val="Arial"/>
        <color theme="1"/>
        <sz val="8.0"/>
      </rPr>
      <t xml:space="preserve"> </t>
    </r>
    <r>
      <rPr>
        <rFont val="Arial"/>
        <color rgb="FF0B5394"/>
        <sz val="8.0"/>
      </rPr>
      <t>Spiders</t>
    </r>
  </si>
  <si>
    <t>ID: 5, EGO: 0</t>
  </si>
  <si>
    <r>
      <rPr>
        <rFont val="Arial"/>
        <color rgb="FF00FFFF"/>
        <sz val="9.0"/>
      </rPr>
      <t xml:space="preserve">Sinking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</si>
  <si>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 xml:space="preserve">Tremor </t>
    </r>
    <r>
      <rPr>
        <rFont val="Arial"/>
        <color rgb="FFFF0000"/>
        <sz val="9.0"/>
      </rPr>
      <t>Burn</t>
    </r>
  </si>
  <si>
    <r>
      <rPr>
        <rFont val="Arial"/>
        <color rgb="FFFF00FF"/>
        <sz val="9.0"/>
      </rPr>
      <t xml:space="preserve">Charge </t>
    </r>
    <r>
      <rPr>
        <rFont val="Arial"/>
        <color rgb="FF00FFFF"/>
        <sz val="9.0"/>
      </rPr>
      <t>Sinking</t>
    </r>
  </si>
  <si>
    <t>Ring</t>
  </si>
  <si>
    <r>
      <rPr>
        <rFont val="Arial"/>
        <color theme="1"/>
        <sz val="9.0"/>
      </rPr>
      <t xml:space="preserve">Total </t>
    </r>
    <r>
      <rPr>
        <rFont val="Arial"/>
        <color theme="1"/>
        <sz val="8.0"/>
      </rPr>
      <t>ID</t>
    </r>
    <r>
      <rPr>
        <rFont val="Arial"/>
        <color theme="1"/>
        <sz val="9.0"/>
      </rPr>
      <t>s</t>
    </r>
  </si>
  <si>
    <t>Rupture</t>
  </si>
  <si>
    <t>ID: 1, EGO: 0</t>
  </si>
  <si>
    <r>
      <rPr>
        <rFont val="Arial"/>
        <color rgb="FFFFFF00"/>
        <sz val="9.0"/>
      </rPr>
      <t xml:space="preserve">Tremor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</si>
  <si>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 xml:space="preserve">Tremor </t>
    </r>
    <r>
      <rPr>
        <rFont val="Arial"/>
        <color rgb="FF00FFFF"/>
        <sz val="9.0"/>
      </rPr>
      <t>Sinking</t>
    </r>
  </si>
  <si>
    <r>
      <rPr>
        <rFont val="Arial"/>
        <color rgb="FFFF0000"/>
        <sz val="9.0"/>
      </rPr>
      <t>Burn</t>
    </r>
    <r>
      <rPr>
        <rFont val="Arial"/>
        <color rgb="FF00FFFF"/>
        <sz val="9.0"/>
      </rPr>
      <t xml:space="preserve"> Sinking</t>
    </r>
  </si>
  <si>
    <t>Pinky</t>
  </si>
  <si>
    <r>
      <rPr>
        <rFont val="Arial"/>
        <color theme="1"/>
        <sz val="9.0"/>
      </rPr>
      <t xml:space="preserve">Total </t>
    </r>
    <r>
      <rPr>
        <rFont val="Arial"/>
        <color theme="1"/>
        <sz val="8.0"/>
      </rPr>
      <t>EGO</t>
    </r>
    <r>
      <rPr>
        <rFont val="Arial"/>
        <color theme="1"/>
        <sz val="9.0"/>
      </rPr>
      <t>s</t>
    </r>
  </si>
  <si>
    <t>ID: 8, EGO: 2</t>
  </si>
  <si>
    <r>
      <rPr>
        <rFont val="Arial"/>
        <color rgb="FF00FF00"/>
        <sz val="9.0"/>
      </rPr>
      <t xml:space="preserve">Rupture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</si>
  <si>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>Tremor</t>
    </r>
    <r>
      <rPr>
        <rFont val="Arial"/>
        <color rgb="FF00FF00"/>
        <sz val="9.0"/>
      </rPr>
      <t xml:space="preserve"> Rupture</t>
    </r>
  </si>
  <si>
    <r>
      <rPr>
        <rFont val="Arial"/>
        <color rgb="FFFF0000"/>
        <sz val="9.0"/>
      </rPr>
      <t>Burn</t>
    </r>
    <r>
      <rPr>
        <rFont val="Arial"/>
        <color rgb="FF00FF00"/>
        <sz val="9.0"/>
      </rPr>
      <t xml:space="preserve"> Rupture</t>
    </r>
  </si>
  <si>
    <t>Walpurgisnaughts</t>
  </si>
  <si>
    <t>No Faction Stuff</t>
  </si>
  <si>
    <t>Poise</t>
  </si>
  <si>
    <t>ID: 7, EGO: 3</t>
  </si>
  <si>
    <r>
      <rPr>
        <rFont val="Arial"/>
        <color rgb="FFFF00FF"/>
        <sz val="9.0"/>
      </rPr>
      <t xml:space="preserve">Charge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</si>
  <si>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>Tremor</t>
    </r>
    <r>
      <rPr>
        <rFont val="Arial"/>
        <color rgb="FFFF00FF"/>
        <sz val="9.0"/>
      </rPr>
      <t xml:space="preserve"> Charge</t>
    </r>
  </si>
  <si>
    <r>
      <rPr>
        <rFont val="Arial"/>
        <color rgb="FFFF00FF"/>
        <sz val="9.0"/>
      </rPr>
      <t xml:space="preserve">Charge </t>
    </r>
    <r>
      <rPr>
        <rFont val="Arial"/>
        <color rgb="FFFF0000"/>
        <sz val="9.0"/>
      </rPr>
      <t>Burn</t>
    </r>
  </si>
  <si>
    <r>
      <rPr>
        <rFont val="Arial"/>
        <color theme="1"/>
        <sz val="7.0"/>
      </rPr>
      <t>Intervallos</t>
    </r>
    <r>
      <rPr>
        <rFont val="Arial"/>
        <color theme="1"/>
        <sz val="6.0"/>
      </rPr>
      <t xml:space="preserve"> &amp; </t>
    </r>
    <r>
      <rPr>
        <rFont val="Arial"/>
        <color theme="1"/>
        <sz val="7.0"/>
      </rPr>
      <t>Bokgaks</t>
    </r>
  </si>
  <si>
    <t>Standard Fare</t>
  </si>
  <si>
    <t>ID: 4, EGO: 1</t>
  </si>
  <si>
    <r>
      <rPr>
        <rFont val="Arial"/>
        <color rgb="FF0000FF"/>
        <sz val="9.0"/>
      </rPr>
      <t xml:space="preserve">Poise </t>
    </r>
    <r>
      <rPr>
        <rFont val="Arial"/>
        <color rgb="FFFF9900"/>
        <sz val="9.0"/>
      </rPr>
      <t>Bleed</t>
    </r>
  </si>
  <si>
    <r>
      <rPr>
        <rFont val="Arial"/>
        <color rgb="FF0000FF"/>
        <sz val="9.0"/>
      </rPr>
      <t xml:space="preserve">Poise </t>
    </r>
    <r>
      <rPr>
        <rFont val="Arial"/>
        <color rgb="FFFFFF00"/>
        <sz val="9.0"/>
      </rPr>
      <t>Tremor</t>
    </r>
  </si>
  <si>
    <r>
      <rPr>
        <rFont val="Arial"/>
        <color rgb="FF0000FF"/>
        <sz val="9.0"/>
      </rPr>
      <t xml:space="preserve">Poise </t>
    </r>
    <r>
      <rPr>
        <rFont val="Arial"/>
        <color rgb="FFFF0000"/>
        <sz val="9.0"/>
      </rPr>
      <t>Burn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</si>
  <si>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</si>
  <si>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</si>
  <si>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Cinq 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</si>
  <si>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</si>
  <si>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</si>
  <si>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</si>
  <si>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</si>
  <si>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</si>
  <si>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</si>
  <si>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</si>
  <si>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</si>
  <si>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</si>
  <si>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</si>
  <si>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</si>
  <si>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</si>
  <si>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Dawn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</si>
  <si>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</si>
  <si>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</si>
  <si>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</si>
  <si>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</si>
  <si>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</si>
  <si>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</si>
  <si>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</si>
  <si>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</si>
  <si>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</si>
  <si>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</si>
  <si>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</si>
  <si>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</si>
  <si>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</si>
  <si>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</si>
  <si>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</si>
  <si>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</si>
  <si>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</si>
  <si>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</si>
  <si>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</si>
  <si>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</si>
  <si>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</si>
  <si>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</si>
  <si>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</si>
  <si>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</si>
  <si>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</si>
  <si>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Priest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</si>
  <si>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</si>
  <si>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</si>
  <si>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</si>
  <si>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</si>
  <si>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</si>
  <si>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</si>
  <si>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r>
      <rPr>
        <rFont val="Arial"/>
        <color rgb="FF5B0F00"/>
        <sz val="9.0"/>
      </rPr>
      <t>T</t>
    </r>
    <r>
      <rPr>
        <rFont val="Arial"/>
        <color rgb="FF980000"/>
        <sz val="9.0"/>
      </rPr>
      <t>r</t>
    </r>
    <r>
      <rPr>
        <rFont val="Arial"/>
        <color rgb="FFFF0000"/>
        <sz val="9.0"/>
      </rPr>
      <t>e</t>
    </r>
    <r>
      <rPr>
        <rFont val="Arial"/>
        <color rgb="FFFF9900"/>
        <sz val="9.0"/>
      </rPr>
      <t>m</t>
    </r>
    <r>
      <rPr>
        <rFont val="Arial"/>
        <color rgb="FFFFFF00"/>
        <sz val="9.0"/>
      </rPr>
      <t>o</t>
    </r>
    <r>
      <rPr>
        <rFont val="Arial"/>
        <color rgb="FF00FF00"/>
        <sz val="9.0"/>
      </rPr>
      <t>r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</t>
    </r>
    <r>
      <rPr>
        <rFont val="Arial"/>
        <color rgb="FF4A86E8"/>
        <sz val="9.0"/>
      </rPr>
      <t>o</t>
    </r>
    <r>
      <rPr>
        <rFont val="Arial"/>
        <color rgb="FF0000FF"/>
        <sz val="9.0"/>
      </rPr>
      <t>u</t>
    </r>
    <r>
      <rPr>
        <rFont val="Arial"/>
        <color rgb="FF9900FF"/>
        <sz val="9.0"/>
      </rPr>
      <t>l</t>
    </r>
    <r>
      <rPr>
        <rFont val="Arial"/>
        <color rgb="FFFF00FF"/>
        <sz val="9.0"/>
      </rPr>
      <t>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</si>
  <si>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</si>
  <si>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Regret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</si>
  <si>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</si>
  <si>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</si>
  <si>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</si>
  <si>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</si>
  <si>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</si>
  <si>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Regret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</si>
  <si>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</si>
  <si>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</si>
  <si>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</si>
  <si>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</si>
  <si>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Oufi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</si>
  <si>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Zwei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</si>
  <si>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</si>
  <si>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</si>
  <si>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</si>
  <si>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</si>
  <si>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</si>
  <si>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</si>
  <si>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</si>
  <si>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</si>
  <si>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</si>
  <si>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</si>
  <si>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t>Heishou</t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</si>
  <si>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</si>
  <si>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</si>
  <si>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Lantern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</si>
  <si>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</si>
  <si>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</si>
  <si>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</si>
  <si>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</si>
  <si>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</si>
  <si>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</si>
  <si>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</si>
  <si>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</si>
  <si>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</si>
  <si>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</si>
  <si>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</si>
  <si>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Devyat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</si>
  <si>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Devyat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</si>
  <si>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</si>
  <si>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</si>
  <si>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</si>
  <si>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</si>
  <si>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</si>
  <si>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</si>
  <si>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</si>
  <si>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</si>
  <si>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t>Sinking Hybrid</t>
  </si>
  <si>
    <r>
      <rPr>
        <rFont val="Arial"/>
        <color theme="1"/>
        <sz val="9.0"/>
      </rPr>
      <t xml:space="preserve">TLA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</si>
  <si>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</si>
  <si>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</si>
  <si>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</si>
  <si>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</si>
  <si>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</si>
  <si>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Solemn Lament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</si>
  <si>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</si>
  <si>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</si>
  <si>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</si>
  <si>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</si>
  <si>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</si>
  <si>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</si>
  <si>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Molar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</si>
  <si>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</si>
  <si>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</si>
  <si>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</si>
  <si>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</si>
  <si>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</si>
  <si>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</si>
  <si>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</si>
  <si>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</si>
  <si>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</si>
  <si>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Lamp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</si>
  <si>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</si>
  <si>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</si>
  <si>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</si>
  <si>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</si>
  <si>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</si>
  <si>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</si>
  <si>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</si>
  <si>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</si>
  <si>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</si>
  <si>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</si>
  <si>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</si>
  <si>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</si>
  <si>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</si>
  <si>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</si>
  <si>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</si>
  <si>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</si>
  <si>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</si>
  <si>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</si>
  <si>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</si>
  <si>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</si>
  <si>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</si>
  <si>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Pinky/Yan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</si>
  <si>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</si>
  <si>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WH/Lamp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</si>
  <si>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</si>
  <si>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</si>
  <si>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</si>
  <si>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</si>
  <si>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</si>
  <si>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</si>
  <si>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</si>
  <si>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</si>
  <si>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</si>
  <si>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</si>
  <si>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</si>
  <si>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</si>
  <si>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</si>
  <si>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</si>
  <si>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</si>
  <si>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Base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</si>
  <si>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</si>
  <si>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</si>
  <si>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</si>
  <si>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</si>
  <si>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</si>
  <si>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</si>
  <si>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</si>
  <si>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</si>
  <si>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t>Lust</t>
  </si>
  <si>
    <t>Envy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</si>
  <si>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Pointilist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</si>
  <si>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Corporist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</si>
  <si>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t>Ring Bloodfiend DQ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</si>
  <si>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</si>
  <si>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Corporist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</si>
  <si>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</si>
  <si>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</si>
  <si>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</si>
  <si>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</si>
  <si>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</si>
  <si>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</si>
  <si>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</si>
  <si>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Pointilist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</si>
  <si>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t>Ring Maestro GG</t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</si>
  <si>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</si>
  <si>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</si>
  <si>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</si>
  <si>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</si>
  <si>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</si>
  <si>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</si>
  <si>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t>Wrath</t>
  </si>
  <si>
    <t>Gloom</t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</si>
  <si>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</si>
  <si>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</si>
  <si>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</si>
  <si>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</si>
  <si>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</si>
  <si>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</si>
  <si>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</si>
  <si>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Index Yan </t>
    </r>
    <r>
      <rPr>
        <rFont val="Arial"/>
        <color theme="1"/>
        <sz val="8.0"/>
      </rPr>
      <t>SC?</t>
    </r>
  </si>
  <si>
    <r>
      <rPr>
        <rFont val="Arial"/>
        <color theme="1"/>
        <sz val="9.0"/>
      </rPr>
      <t xml:space="preserve">Index Weaver </t>
    </r>
    <r>
      <rPr>
        <rFont val="Arial"/>
        <color theme="1"/>
        <sz val="8.0"/>
      </rPr>
      <t>OT</t>
    </r>
  </si>
  <si>
    <t>House of Spiders</t>
  </si>
  <si>
    <t>Blade Lineage</t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</si>
  <si>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</si>
  <si>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</si>
  <si>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</si>
  <si>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</si>
  <si>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t>Pinky MS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</si>
  <si>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</si>
  <si>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</si>
  <si>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</si>
  <si>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</si>
  <si>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</si>
  <si>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</si>
  <si>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</si>
  <si>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</si>
  <si>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</si>
  <si>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</si>
  <si>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</si>
  <si>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</si>
  <si>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</si>
  <si>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LCD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</si>
  <si>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</si>
  <si>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</si>
  <si>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</si>
  <si>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Priest </t>
    </r>
    <r>
      <rPr>
        <rFont val="Arial"/>
        <color theme="1"/>
        <sz val="8.0"/>
      </rPr>
      <t>GG</t>
    </r>
  </si>
  <si>
    <t>Ammo</t>
  </si>
  <si>
    <r>
      <rPr>
        <rFont val="Arial"/>
        <color theme="1"/>
        <sz val="9.0"/>
      </rPr>
      <t xml:space="preserve">Fell Bullet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</si>
  <si>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</si>
  <si>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</si>
  <si>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</si>
  <si>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</si>
  <si>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</si>
  <si>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</si>
  <si>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</si>
  <si>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QoH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</si>
  <si>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</si>
  <si>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</si>
  <si>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Base </t>
    </r>
    <r>
      <rPr>
        <rFont val="Arial"/>
        <color theme="1"/>
        <sz val="8.0"/>
      </rPr>
      <t>HL</t>
    </r>
  </si>
  <si>
    <t>LCCB IS</t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</si>
  <si>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</si>
  <si>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</si>
  <si>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</si>
  <si>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</si>
  <si>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Sunshower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</si>
  <si>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</si>
  <si>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</si>
  <si>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Red Sheet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</si>
  <si>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</si>
  <si>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</si>
  <si>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</si>
  <si>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</si>
  <si>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QoH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</si>
  <si>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</si>
  <si>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RSP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</si>
  <si>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</si>
  <si>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Fell Bullet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</si>
  <si>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</si>
  <si>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QoH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</si>
  <si>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</si>
  <si>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</si>
  <si>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</si>
  <si>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</si>
  <si>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</si>
  <si>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</si>
  <si>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t>RSP GG</t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</si>
  <si>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</si>
  <si>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</si>
  <si>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</si>
  <si>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</si>
  <si>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</si>
  <si>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Pirate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</si>
  <si>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</si>
  <si>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</si>
  <si>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</si>
  <si>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N Fell Bullet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</si>
  <si>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</si>
  <si>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Cinq 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</si>
  <si>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</si>
  <si>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</si>
  <si>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</si>
  <si>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</si>
  <si>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</si>
  <si>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</si>
  <si>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</si>
  <si>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Pequod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</si>
  <si>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</si>
  <si>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</si>
  <si>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#1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</si>
  <si>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#2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</si>
  <si>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#1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</si>
  <si>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#2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</si>
  <si>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#3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</si>
  <si>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#1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</si>
  <si>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#2</t>
    </r>
  </si>
  <si>
    <r>
      <rPr>
        <rFont val="Arial"/>
        <color theme="1"/>
        <sz val="8.0"/>
      </rPr>
      <t>ID</t>
    </r>
    <r>
      <rPr>
        <rFont val="Arial"/>
        <color theme="1"/>
        <sz val="9.0"/>
      </rPr>
      <t xml:space="preserve"> #3</t>
    </r>
  </si>
  <si>
    <t>Dim Shred NC EG</t>
  </si>
  <si>
    <r>
      <rPr>
        <rFont val="Arial"/>
        <color rgb="FFFF00FF"/>
        <sz val="9.0"/>
      </rPr>
      <t xml:space="preserve">Charge </t>
    </r>
    <r>
      <rPr>
        <rFont val="Arial"/>
        <color rgb="FF00FF00"/>
        <sz val="9.0"/>
      </rPr>
      <t>Rupture</t>
    </r>
  </si>
  <si>
    <t>Hex Nail NC EG</t>
  </si>
  <si>
    <t>Night Drifter Bkgk</t>
  </si>
  <si>
    <r>
      <rPr>
        <rFont val="Arial"/>
        <color rgb="FF0000FF"/>
        <sz val="9.0"/>
      </rPr>
      <t xml:space="preserve">Poise </t>
    </r>
    <r>
      <rPr>
        <rFont val="Arial"/>
        <color rgb="FFFF9900"/>
        <sz val="9.0"/>
      </rPr>
      <t>Bleed</t>
    </r>
  </si>
  <si>
    <t>Carv Wails NC EG</t>
  </si>
  <si>
    <t>Binds NC EG</t>
  </si>
  <si>
    <r>
      <rPr>
        <rFont val="Arial"/>
        <color rgb="FFFFFF00"/>
        <sz val="9.0"/>
      </rPr>
      <t xml:space="preserve">Tremor </t>
    </r>
    <r>
      <rPr>
        <rFont val="Arial"/>
        <color rgb="FF00FFFF"/>
        <sz val="9.0"/>
      </rPr>
      <t>Sinking</t>
    </r>
  </si>
  <si>
    <t>Blind Obsess NC EG</t>
  </si>
  <si>
    <r>
      <rPr>
        <rFont val="Arial"/>
        <color rgb="FF0000FF"/>
        <sz val="8.0"/>
      </rPr>
      <t>Poise</t>
    </r>
    <r>
      <rPr>
        <rFont val="Arial"/>
        <color rgb="FF000000"/>
        <sz val="8.0"/>
      </rPr>
      <t xml:space="preserve"> </t>
    </r>
    <r>
      <rPr>
        <rFont val="Arial"/>
        <color rgb="FFFF00FF"/>
        <sz val="8.0"/>
      </rPr>
      <t xml:space="preserve">Charge </t>
    </r>
    <r>
      <rPr>
        <rFont val="Arial"/>
        <color rgb="FF00FF00"/>
        <sz val="8.0"/>
      </rPr>
      <t>Rupture</t>
    </r>
  </si>
  <si>
    <t>Indicant's NC EG</t>
  </si>
  <si>
    <t>Lantern NC EG</t>
  </si>
  <si>
    <t>E.G.O Gear</t>
  </si>
  <si>
    <r>
      <rPr>
        <rFont val="Arial"/>
        <color rgb="FFCC0000"/>
        <sz val="9.0"/>
      </rPr>
      <t>Non</t>
    </r>
    <r>
      <rPr>
        <rFont val="Arial"/>
        <color rgb="FFE06666"/>
        <sz val="9.0"/>
      </rPr>
      <t>-</t>
    </r>
    <r>
      <rPr>
        <rFont val="Arial"/>
        <color rgb="FF38761D"/>
        <sz val="9.0"/>
      </rPr>
      <t>Finger</t>
    </r>
    <r>
      <rPr>
        <rFont val="Arial"/>
        <color rgb="FF000000"/>
        <sz val="8.0"/>
      </rPr>
      <t xml:space="preserve"> IDs</t>
    </r>
  </si>
  <si>
    <r>
      <rPr>
        <rFont val="Arial"/>
        <color rgb="FF0000FF"/>
        <sz val="9.0"/>
      </rPr>
      <t xml:space="preserve">Poise </t>
    </r>
    <r>
      <rPr>
        <rFont val="Arial"/>
        <color rgb="FF00FF00"/>
        <sz val="9.0"/>
      </rPr>
      <t>Rupture</t>
    </r>
  </si>
  <si>
    <r>
      <rPr>
        <rFont val="Arial"/>
        <color rgb="FFFF00FF"/>
        <sz val="9.0"/>
      </rPr>
      <t xml:space="preserve">Charge </t>
    </r>
    <r>
      <rPr>
        <rFont val="Arial"/>
        <color rgb="FF00FF00"/>
        <sz val="9.0"/>
      </rPr>
      <t>Rupture</t>
    </r>
  </si>
  <si>
    <r>
      <rPr>
        <rFont val="Arial"/>
        <color rgb="FF00FF00"/>
        <sz val="9.0"/>
      </rPr>
      <t xml:space="preserve">Rupture </t>
    </r>
    <r>
      <rPr>
        <rFont val="Arial"/>
        <color rgb="FF00FFFF"/>
        <sz val="9.0"/>
      </rPr>
      <t>Sinking</t>
    </r>
  </si>
  <si>
    <r>
      <rPr>
        <rFont val="Arial"/>
        <color rgb="FFCC0000"/>
        <sz val="9.0"/>
      </rPr>
      <t>Non</t>
    </r>
    <r>
      <rPr>
        <rFont val="Arial"/>
        <color rgb="FFE06666"/>
        <sz val="9.0"/>
      </rPr>
      <t>-BP</t>
    </r>
    <r>
      <rPr>
        <rFont val="Arial"/>
        <color rgb="FF000000"/>
        <sz val="8.0"/>
      </rPr>
      <t xml:space="preserve"> EGOs</t>
    </r>
  </si>
  <si>
    <t>ID: 2, EGO: 0</t>
  </si>
  <si>
    <r>
      <rPr>
        <rFont val="Arial"/>
        <color rgb="FFFF0000"/>
        <sz val="9.0"/>
      </rPr>
      <t>Burn</t>
    </r>
    <r>
      <rPr>
        <rFont val="Arial"/>
        <color rgb="FFFF9900"/>
        <sz val="9.0"/>
      </rPr>
      <t xml:space="preserve"> Bleed</t>
    </r>
  </si>
  <si>
    <r>
      <rPr>
        <rFont val="Arial"/>
        <color rgb="FF0000FF"/>
        <sz val="9.0"/>
      </rPr>
      <t xml:space="preserve">Poise </t>
    </r>
    <r>
      <rPr>
        <rFont val="Arial"/>
        <color rgb="FFFF00FF"/>
        <sz val="9.0"/>
      </rPr>
      <t>Charge</t>
    </r>
  </si>
  <si>
    <r>
      <rPr>
        <rFont val="Arial"/>
        <color rgb="FF0000FF"/>
        <sz val="9.0"/>
      </rPr>
      <t xml:space="preserve">Poise </t>
    </r>
    <r>
      <rPr>
        <rFont val="Arial"/>
        <color rgb="FF00FFFF"/>
        <sz val="9.0"/>
      </rPr>
      <t>Sinking</t>
    </r>
  </si>
  <si>
    <t>N Corp</t>
  </si>
  <si>
    <r>
      <rPr>
        <rFont val="Arial"/>
        <color rgb="FF00FFFF"/>
        <sz val="9.0"/>
      </rPr>
      <t xml:space="preserve">Sinking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</si>
  <si>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 xml:space="preserve">Tremor </t>
    </r>
    <r>
      <rPr>
        <rFont val="Arial"/>
        <color rgb="FFFF0000"/>
        <sz val="9.0"/>
      </rPr>
      <t>Burn</t>
    </r>
  </si>
  <si>
    <r>
      <rPr>
        <rFont val="Arial"/>
        <color rgb="FFFF00FF"/>
        <sz val="9.0"/>
      </rPr>
      <t xml:space="preserve">Charge </t>
    </r>
    <r>
      <rPr>
        <rFont val="Arial"/>
        <color rgb="FF00FFFF"/>
        <sz val="9.0"/>
      </rPr>
      <t>Sinking</t>
    </r>
  </si>
  <si>
    <r>
      <rPr>
        <rFont val="Arial"/>
        <color theme="1"/>
        <sz val="9.0"/>
      </rPr>
      <t xml:space="preserve">Total </t>
    </r>
    <r>
      <rPr>
        <rFont val="Arial"/>
        <color theme="1"/>
        <sz val="8.0"/>
      </rPr>
      <t>ID</t>
    </r>
    <r>
      <rPr>
        <rFont val="Arial"/>
        <color theme="1"/>
        <sz val="9.0"/>
      </rPr>
      <t>s</t>
    </r>
  </si>
  <si>
    <t>ID: 3, EGO: 0</t>
  </si>
  <si>
    <r>
      <rPr>
        <rFont val="Arial"/>
        <color rgb="FFFFFF00"/>
        <sz val="9.0"/>
      </rPr>
      <t xml:space="preserve">Tremor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</si>
  <si>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 xml:space="preserve">Tremor </t>
    </r>
    <r>
      <rPr>
        <rFont val="Arial"/>
        <color rgb="FF00FFFF"/>
        <sz val="9.0"/>
      </rPr>
      <t>Sinking</t>
    </r>
  </si>
  <si>
    <r>
      <rPr>
        <rFont val="Arial"/>
        <color rgb="FFFF0000"/>
        <sz val="9.0"/>
      </rPr>
      <t>Burn</t>
    </r>
    <r>
      <rPr>
        <rFont val="Arial"/>
        <color rgb="FF00FFFF"/>
        <sz val="9.0"/>
      </rPr>
      <t xml:space="preserve"> Sinking</t>
    </r>
  </si>
  <si>
    <r>
      <rPr>
        <rFont val="Arial"/>
        <color theme="1"/>
        <sz val="9.0"/>
      </rPr>
      <t xml:space="preserve">Total </t>
    </r>
    <r>
      <rPr>
        <rFont val="Arial"/>
        <color theme="1"/>
        <sz val="8.0"/>
      </rPr>
      <t>EGO</t>
    </r>
    <r>
      <rPr>
        <rFont val="Arial"/>
        <color theme="1"/>
        <sz val="9.0"/>
      </rPr>
      <t>s</t>
    </r>
  </si>
  <si>
    <r>
      <rPr>
        <rFont val="Arial"/>
        <color rgb="FF00FF00"/>
        <sz val="9.0"/>
      </rPr>
      <t xml:space="preserve">Rupture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</si>
  <si>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>Tremor</t>
    </r>
    <r>
      <rPr>
        <rFont val="Arial"/>
        <color rgb="FF00FF00"/>
        <sz val="9.0"/>
      </rPr>
      <t xml:space="preserve"> Rupture</t>
    </r>
  </si>
  <si>
    <r>
      <rPr>
        <rFont val="Arial"/>
        <color rgb="FFFF0000"/>
        <sz val="9.0"/>
      </rPr>
      <t>Burn</t>
    </r>
    <r>
      <rPr>
        <rFont val="Arial"/>
        <color rgb="FF00FF00"/>
        <sz val="9.0"/>
      </rPr>
      <t xml:space="preserve"> Rupture</t>
    </r>
  </si>
  <si>
    <r>
      <rPr>
        <rFont val="Arial"/>
        <color rgb="FFFF00FF"/>
        <sz val="9.0"/>
      </rPr>
      <t xml:space="preserve">Charge </t>
    </r>
    <r>
      <rPr>
        <rFont val="Arial"/>
        <color rgb="FFFF9900"/>
        <sz val="9.0"/>
      </rPr>
      <t>Bleed</t>
    </r>
  </si>
  <si>
    <r>
      <rPr>
        <rFont val="Arial"/>
        <color rgb="FFFFFF00"/>
        <sz val="9.0"/>
      </rPr>
      <t>Tremor</t>
    </r>
    <r>
      <rPr>
        <rFont val="Arial"/>
        <color rgb="FFFF00FF"/>
        <sz val="9.0"/>
      </rPr>
      <t xml:space="preserve"> Charge</t>
    </r>
  </si>
  <si>
    <r>
      <rPr>
        <rFont val="Arial"/>
        <color rgb="FFFF00FF"/>
        <sz val="9.0"/>
      </rPr>
      <t xml:space="preserve">Charge </t>
    </r>
    <r>
      <rPr>
        <rFont val="Arial"/>
        <color rgb="FFFF0000"/>
        <sz val="9.0"/>
      </rPr>
      <t>Burn</t>
    </r>
  </si>
  <si>
    <r>
      <rPr>
        <rFont val="Arial"/>
        <color theme="1"/>
        <sz val="7.0"/>
      </rPr>
      <t>Intervallos</t>
    </r>
    <r>
      <rPr>
        <rFont val="Arial"/>
        <color theme="1"/>
        <sz val="6.0"/>
      </rPr>
      <t xml:space="preserve"> &amp; </t>
    </r>
    <r>
      <rPr>
        <rFont val="Arial"/>
        <color theme="1"/>
        <sz val="7.0"/>
      </rPr>
      <t>Bokgaks</t>
    </r>
  </si>
  <si>
    <r>
      <rPr>
        <rFont val="Arial"/>
        <color rgb="FF0000FF"/>
        <sz val="9.0"/>
      </rPr>
      <t xml:space="preserve">Poise </t>
    </r>
    <r>
      <rPr>
        <rFont val="Arial"/>
        <color rgb="FFFF9900"/>
        <sz val="9.0"/>
      </rPr>
      <t>Bleed</t>
    </r>
  </si>
  <si>
    <r>
      <rPr>
        <rFont val="Arial"/>
        <color rgb="FF0000FF"/>
        <sz val="9.0"/>
      </rPr>
      <t xml:space="preserve">Poise </t>
    </r>
    <r>
      <rPr>
        <rFont val="Arial"/>
        <color rgb="FFFFFF00"/>
        <sz val="9.0"/>
      </rPr>
      <t>Tremor</t>
    </r>
  </si>
  <si>
    <r>
      <rPr>
        <rFont val="Arial"/>
        <color rgb="FF0000FF"/>
        <sz val="9.0"/>
      </rPr>
      <t xml:space="preserve">Poise </t>
    </r>
    <r>
      <rPr>
        <rFont val="Arial"/>
        <color rgb="FFFF0000"/>
        <sz val="9.0"/>
      </rPr>
      <t>Burn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</si>
  <si>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</si>
  <si>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</si>
  <si>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Cinq 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</si>
  <si>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</si>
  <si>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</si>
  <si>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</si>
  <si>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</si>
  <si>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</si>
  <si>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</si>
  <si>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</si>
  <si>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</si>
  <si>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</si>
  <si>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</si>
  <si>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</si>
  <si>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</si>
  <si>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Dawn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</si>
  <si>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</si>
  <si>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</si>
  <si>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</si>
  <si>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</si>
  <si>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</si>
  <si>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</si>
  <si>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</si>
  <si>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</si>
  <si>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</si>
  <si>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</si>
  <si>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</si>
  <si>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</si>
  <si>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</si>
  <si>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</si>
  <si>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</si>
  <si>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</si>
  <si>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</si>
  <si>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</si>
  <si>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</si>
  <si>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</si>
  <si>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</si>
  <si>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</si>
  <si>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</si>
  <si>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</si>
  <si>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</si>
  <si>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Priest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</si>
  <si>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</si>
  <si>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KK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</si>
  <si>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</si>
  <si>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</si>
  <si>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</si>
  <si>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</si>
  <si>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r>
      <rPr>
        <rFont val="Arial"/>
        <color rgb="FF5B0F00"/>
        <sz val="9.0"/>
      </rPr>
      <t>T</t>
    </r>
    <r>
      <rPr>
        <rFont val="Arial"/>
        <color rgb="FF980000"/>
        <sz val="9.0"/>
      </rPr>
      <t>r</t>
    </r>
    <r>
      <rPr>
        <rFont val="Arial"/>
        <color rgb="FFFF0000"/>
        <sz val="9.0"/>
      </rPr>
      <t>e</t>
    </r>
    <r>
      <rPr>
        <rFont val="Arial"/>
        <color rgb="FFFF9900"/>
        <sz val="9.0"/>
      </rPr>
      <t>m</t>
    </r>
    <r>
      <rPr>
        <rFont val="Arial"/>
        <color rgb="FFFFFF00"/>
        <sz val="9.0"/>
      </rPr>
      <t>o</t>
    </r>
    <r>
      <rPr>
        <rFont val="Arial"/>
        <color rgb="FF00FF00"/>
        <sz val="9.0"/>
      </rPr>
      <t>r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</t>
    </r>
    <r>
      <rPr>
        <rFont val="Arial"/>
        <color rgb="FF4A86E8"/>
        <sz val="9.0"/>
      </rPr>
      <t>o</t>
    </r>
    <r>
      <rPr>
        <rFont val="Arial"/>
        <color rgb="FF0000FF"/>
        <sz val="9.0"/>
      </rPr>
      <t>u</t>
    </r>
    <r>
      <rPr>
        <rFont val="Arial"/>
        <color rgb="FF9900FF"/>
        <sz val="9.0"/>
      </rPr>
      <t>l</t>
    </r>
    <r>
      <rPr>
        <rFont val="Arial"/>
        <color rgb="FFFF00FF"/>
        <sz val="9.0"/>
      </rPr>
      <t>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</si>
  <si>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</si>
  <si>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Regret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</si>
  <si>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</si>
  <si>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</si>
  <si>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</si>
  <si>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</si>
  <si>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</si>
  <si>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Regret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</si>
  <si>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</si>
  <si>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</si>
  <si>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</si>
  <si>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</si>
  <si>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Oufi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</si>
  <si>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Zwei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</si>
  <si>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</si>
  <si>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</si>
  <si>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</si>
  <si>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</si>
  <si>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</si>
  <si>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</si>
  <si>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</si>
  <si>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</si>
  <si>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</si>
  <si>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</si>
  <si>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</si>
  <si>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</si>
  <si>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Lantern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</si>
  <si>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</si>
  <si>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</si>
  <si>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</si>
  <si>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</si>
  <si>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</si>
  <si>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</si>
  <si>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</si>
  <si>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</si>
  <si>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</si>
  <si>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7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</si>
  <si>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</si>
  <si>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Devyat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</si>
  <si>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Devyat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</si>
  <si>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</si>
  <si>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</si>
  <si>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</si>
  <si>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</si>
  <si>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</si>
  <si>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</si>
  <si>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</si>
  <si>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</si>
  <si>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TLA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</si>
  <si>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</si>
  <si>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</si>
  <si>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</si>
  <si>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</si>
  <si>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</si>
  <si>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Solemn Lament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</si>
  <si>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</si>
  <si>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</si>
  <si>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</si>
  <si>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</si>
  <si>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Dieci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</si>
  <si>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</si>
  <si>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Molar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</si>
  <si>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</si>
  <si>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</si>
  <si>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</si>
  <si>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</si>
  <si>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</si>
  <si>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</si>
  <si>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</si>
  <si>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</si>
  <si>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</si>
  <si>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Lamp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</si>
  <si>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</si>
  <si>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</si>
  <si>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</si>
  <si>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</si>
  <si>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</si>
  <si>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</si>
  <si>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</si>
  <si>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</si>
  <si>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</si>
  <si>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</si>
  <si>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</si>
  <si>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</si>
  <si>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</si>
  <si>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</si>
  <si>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</si>
  <si>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</si>
  <si>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</si>
  <si>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</si>
  <si>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FS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</si>
  <si>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</si>
  <si>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</si>
  <si>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Pinky/Yan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</si>
  <si>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</si>
  <si>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WH/Lamp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</si>
  <si>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</si>
  <si>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</si>
  <si>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</si>
  <si>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</si>
  <si>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</si>
  <si>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</si>
  <si>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</si>
  <si>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</si>
  <si>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</si>
  <si>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</si>
  <si>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</si>
  <si>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</si>
  <si>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</si>
  <si>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</si>
  <si>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</si>
  <si>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Base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</si>
  <si>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</si>
  <si>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</si>
  <si>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</si>
  <si>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</si>
  <si>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</si>
  <si>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</si>
  <si>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</si>
  <si>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</si>
  <si>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Pointilist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</si>
  <si>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Corporist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</si>
  <si>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</si>
  <si>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Corporist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</si>
  <si>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Liu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</si>
  <si>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</si>
  <si>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</si>
  <si>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RE&amp;P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</si>
  <si>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</si>
  <si>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</si>
  <si>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</si>
  <si>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Pointilist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</si>
  <si>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</si>
  <si>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</si>
  <si>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</si>
  <si>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</si>
  <si>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</si>
  <si>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Firefist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</si>
  <si>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</si>
  <si>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</si>
  <si>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</si>
  <si>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</si>
  <si>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</si>
  <si>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</si>
  <si>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</si>
  <si>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Index Yan </t>
    </r>
    <r>
      <rPr>
        <rFont val="Arial"/>
        <color theme="1"/>
        <sz val="8.0"/>
      </rPr>
      <t>SC?</t>
    </r>
  </si>
  <si>
    <r>
      <rPr>
        <rFont val="Arial"/>
        <color theme="1"/>
        <sz val="9.0"/>
      </rPr>
      <t xml:space="preserve">Index Weaver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</si>
  <si>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</si>
  <si>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</si>
  <si>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</si>
  <si>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</si>
  <si>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</si>
  <si>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</si>
  <si>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</si>
  <si>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</si>
  <si>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</si>
  <si>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</si>
  <si>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</si>
  <si>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</si>
  <si>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</si>
  <si>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</si>
  <si>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</si>
  <si>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</si>
  <si>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</si>
  <si>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LCD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</si>
  <si>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</si>
  <si>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</si>
  <si>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</si>
  <si>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Priest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</si>
  <si>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Fell Bullet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</si>
  <si>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</si>
  <si>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</si>
  <si>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</si>
  <si>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</si>
  <si>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</si>
  <si>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</si>
  <si>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</si>
  <si>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QoH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</si>
  <si>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</si>
  <si>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</si>
  <si>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Base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</si>
  <si>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</si>
  <si>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</si>
  <si>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</si>
  <si>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</si>
  <si>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Sunshower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</si>
  <si>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</si>
  <si>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</si>
  <si>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Red Sheet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</si>
  <si>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</si>
  <si>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</si>
  <si>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</si>
  <si>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MC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</si>
  <si>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QoH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</si>
  <si>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</si>
  <si>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RSP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</si>
  <si>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</si>
  <si>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Fell Bullet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</si>
  <si>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</si>
  <si>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QoH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</si>
  <si>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</si>
  <si>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</si>
  <si>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</si>
  <si>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</si>
  <si>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</si>
  <si>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</si>
  <si>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</si>
  <si>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</si>
  <si>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Fauvist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</si>
  <si>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</si>
  <si>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</si>
  <si>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Pirate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</si>
  <si>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</si>
  <si>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</si>
  <si>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</si>
  <si>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N Fell Bullet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</si>
  <si>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</si>
  <si>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Cinq 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</si>
  <si>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</si>
  <si>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</si>
  <si>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</si>
  <si>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</si>
  <si>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</si>
  <si>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</si>
  <si>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</si>
  <si>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Pequod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</si>
  <si>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</si>
  <si>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</si>
  <si>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t>ID Name</t>
  </si>
  <si>
    <t>ID Tier</t>
  </si>
  <si>
    <t>Season</t>
  </si>
  <si>
    <t>Keyword</t>
  </si>
  <si>
    <t>Internal ID</t>
  </si>
  <si>
    <t>Release Date</t>
  </si>
  <si>
    <t>Acquisition</t>
  </si>
  <si>
    <t>Level</t>
  </si>
  <si>
    <t>Level Extra</t>
  </si>
  <si>
    <t>Uptie</t>
  </si>
  <si>
    <t>Extra Keyword</t>
  </si>
  <si>
    <t>Uptie Contender</t>
  </si>
  <si>
    <t>Shard Contender</t>
  </si>
  <si>
    <t>LCB Sinner</t>
  </si>
  <si>
    <t>Ø</t>
  </si>
  <si>
    <t>Fragile, Damage Up</t>
  </si>
  <si>
    <t>Maybe?</t>
  </si>
  <si>
    <t>No Keyword</t>
  </si>
  <si>
    <t>Paralyze, Offense Level Down, Attack Power Down</t>
  </si>
  <si>
    <t>Haste, Attack Power Up</t>
  </si>
  <si>
    <t>Attack Type DMG/Power Up</t>
  </si>
  <si>
    <t>Defense Power Up, Protection, Tremor Burst</t>
  </si>
  <si>
    <t>Sinking, Rupture</t>
  </si>
  <si>
    <t>Attack Power Down</t>
  </si>
  <si>
    <t>Attack Power Up, Damage Up, Tremor Burst</t>
  </si>
  <si>
    <t>Defense Power Down, Attack Type Fragility, Tremor Burst</t>
  </si>
  <si>
    <t>Attack Power Up</t>
  </si>
  <si>
    <t>Attack Type Fragility</t>
  </si>
  <si>
    <t>Seven Assoc. South Section 6</t>
  </si>
  <si>
    <t>ØØ</t>
  </si>
  <si>
    <t>Paralyze, Fragile, Attack Type Fragility</t>
  </si>
  <si>
    <t>Blade Lineage Salsu</t>
  </si>
  <si>
    <t>ØØØ</t>
  </si>
  <si>
    <t>W Corp. L2 Cleanup Agent</t>
  </si>
  <si>
    <t>Bind, Attack Power Down, Paralyze</t>
  </si>
  <si>
    <t>Lobotomy Corp. Remnant</t>
  </si>
  <si>
    <t>Season, 1</t>
  </si>
  <si>
    <t>Poise, Rupture</t>
  </si>
  <si>
    <t>Haste</t>
  </si>
  <si>
    <t>W Corp. L3 Cleanup Agent</t>
  </si>
  <si>
    <t>Charge, Rupture</t>
  </si>
  <si>
    <t>Fragile</t>
  </si>
  <si>
    <t>Shi Assoc. South Section 5 Director</t>
  </si>
  <si>
    <t>Attack Type Fragility, Attack Power Up, Defense Level Down</t>
  </si>
  <si>
    <t>Kurokumo Clan Wakashu</t>
  </si>
  <si>
    <t>Paralyze, Damage Down, Offense Level Down</t>
  </si>
  <si>
    <t>Liu Assoc. South Section 6</t>
  </si>
  <si>
    <t>Attack Type Protection, Defense Level Down</t>
  </si>
  <si>
    <t>Paralyze</t>
  </si>
  <si>
    <t>Tingtang Gang Gangleader</t>
  </si>
  <si>
    <t>Shi Assoc. South Section 5</t>
  </si>
  <si>
    <t>R Corp. 4th Pack Rabbit</t>
  </si>
  <si>
    <t>Charge, Bleed, Rupture</t>
  </si>
  <si>
    <t>Ammo, Fragile, Haste, Attack Power Up</t>
  </si>
  <si>
    <t>LCCB Assistant Manager</t>
  </si>
  <si>
    <t>Tremor, Rupture</t>
  </si>
  <si>
    <t>Aggro, Paralyze, Attack Power Down, Ammo, Fragile, Tremor Burst</t>
  </si>
  <si>
    <t>R Corp. 4th Pack Reindeer</t>
  </si>
  <si>
    <t>Charge, Sinking</t>
  </si>
  <si>
    <t>Paralyze, Defense Power Down, Defense Level Down</t>
  </si>
  <si>
    <t>Poise, Bleed</t>
  </si>
  <si>
    <t>Protection</t>
  </si>
  <si>
    <t>Zwei Assoc. South Section 6</t>
  </si>
  <si>
    <t>Protection, Aggro, Damage Down, Attack Type Fragility, Defense Power Down, Tremor Burst</t>
  </si>
  <si>
    <t>Los Mariachis Jefe</t>
  </si>
  <si>
    <t>Sinking, Poise</t>
  </si>
  <si>
    <t>Attack Power Up, Paralyze, Damage Up</t>
  </si>
  <si>
    <t>G Corp. Head Manager</t>
  </si>
  <si>
    <t>Protection, Attack Power Up, Damage Up, Attack Power Down, Haste, Defense Power Up</t>
  </si>
  <si>
    <t>G Corp. Manager Corporal</t>
  </si>
  <si>
    <t>N Corp. Großhammer</t>
  </si>
  <si>
    <t>Aggro, Bind, Attack Power Down, Protection, Attack Power Up, Nail</t>
  </si>
  <si>
    <t>N Corp. Mittelhammer</t>
  </si>
  <si>
    <t>Paralyze, Haste, Damage Up, Nail</t>
  </si>
  <si>
    <t>The One Who Grips</t>
  </si>
  <si>
    <t>Paralyze, Attack Type DMG/Power Up, Nail</t>
  </si>
  <si>
    <t>N Corp. Kleinhammer</t>
  </si>
  <si>
    <t>Plus Coin Drop, Attack Type DMG/Power Up, Nail</t>
  </si>
  <si>
    <t>Liu Assoc. South Section 5</t>
  </si>
  <si>
    <t>Seven Assoc. South Section 6 Director</t>
  </si>
  <si>
    <t>Paralyze, Defense Level Down, Offense Level Down, Haste, Defense Power Up</t>
  </si>
  <si>
    <t>R.B. Chef de Cuisine</t>
  </si>
  <si>
    <t>Season, 1, Event</t>
  </si>
  <si>
    <t>Bind, Haste, HP Healing Down</t>
  </si>
  <si>
    <t>R.B. Sous-chef</t>
  </si>
  <si>
    <t>Season, 1, Event, Reward</t>
  </si>
  <si>
    <t>Bind, Paralyze</t>
  </si>
  <si>
    <t>Attack Power Down, Paralyze, Tremor Burst, Nail</t>
  </si>
  <si>
    <t>The One Who Shall Grip</t>
  </si>
  <si>
    <t>Burn, Bleed</t>
  </si>
  <si>
    <t>Attack Type DMG/Power Up, Nail</t>
  </si>
  <si>
    <t>Rosespanner Workshop Fixer</t>
  </si>
  <si>
    <t>Season, 2</t>
  </si>
  <si>
    <t>Tremor, Charge</t>
  </si>
  <si>
    <t>Attack Power Down, Tremor Burst</t>
  </si>
  <si>
    <t>Rosespanner Workshop Rep</t>
  </si>
  <si>
    <t>Charge, Tremor</t>
  </si>
  <si>
    <t>Haste, Attack Type DMG/Power Up, Tremor Burst</t>
  </si>
  <si>
    <t>Lobotomy E.G.O::Sunshower</t>
  </si>
  <si>
    <t>Paralyze, Fragile, Protection, Attack Type DMG/Power Up, Tremor Burst</t>
  </si>
  <si>
    <t>Charge, Rupture, Tremor</t>
  </si>
  <si>
    <t>Tremor Burst</t>
  </si>
  <si>
    <t>Effloresced E.G.O::Spicebush</t>
  </si>
  <si>
    <t>Tremor, Sinking</t>
  </si>
  <si>
    <t>Lobotomy E.G.O::Sloshing</t>
  </si>
  <si>
    <t>Aggro, Tremor Burst</t>
  </si>
  <si>
    <t>K Corp. Class 3 Excision Staff</t>
  </si>
  <si>
    <t>Aggro, Fragile</t>
  </si>
  <si>
    <t>Lobotomy E.G.O::Red Sheet</t>
  </si>
  <si>
    <t>Liu Assoc. South Section 4</t>
  </si>
  <si>
    <t>Plus Coin Boost</t>
  </si>
  <si>
    <t>R Corp. 4th Pack Rhino</t>
  </si>
  <si>
    <t>Charge, Bleed</t>
  </si>
  <si>
    <t>Aggro</t>
  </si>
  <si>
    <t>Zwei Assoc. South Section 5</t>
  </si>
  <si>
    <t>Cinq Assoc. South Section 5 Director</t>
  </si>
  <si>
    <t>Haste, Bind</t>
  </si>
  <si>
    <t>Molar Boatworks Fixer</t>
  </si>
  <si>
    <t>Season, 2, Event</t>
  </si>
  <si>
    <t>Defense Level Down, Fragile, Keyword Protection, Tremor Burst</t>
  </si>
  <si>
    <t>Season, 2, Event, Reward</t>
  </si>
  <si>
    <t>Keyword Protection, Tremor Burst</t>
  </si>
  <si>
    <t>Zwei Assoc. South Section 4</t>
  </si>
  <si>
    <t>Aggro, Defense Level Up, Haste</t>
  </si>
  <si>
    <t>Defense Level Up, Haste, Aggro, Defense Power Up</t>
  </si>
  <si>
    <t>Attack Type Fragility, Haste</t>
  </si>
  <si>
    <t>Seven Assoc. South Section 4</t>
  </si>
  <si>
    <t>Haste, Attack Type DMG/Power Up</t>
  </si>
  <si>
    <t>Defense Level Down</t>
  </si>
  <si>
    <t>Molar Office Fixer</t>
  </si>
  <si>
    <t>Discard, Defense Level Down, Tremor Burst</t>
  </si>
  <si>
    <t>Dieci Assoc. South Section 4</t>
  </si>
  <si>
    <t>Discard, Aggro, Attack Type DMG/Power Up</t>
  </si>
  <si>
    <t>Offense Level Up, Discard, Tremor Burst</t>
  </si>
  <si>
    <t>Lobotomy E.G.O::Regret</t>
  </si>
  <si>
    <t>Walpurgisnaught, 1</t>
  </si>
  <si>
    <t>Offense Level Down, Plus Coin Drop, Defense Level Down, Bind, Attack Type DMG/Power Up, Tremor Burst</t>
  </si>
  <si>
    <t>Hook Office Fixer</t>
  </si>
  <si>
    <t>Bind, Dimensional Rift, Haste</t>
  </si>
  <si>
    <t>Twinhook Pirates First Mate</t>
  </si>
  <si>
    <t>Season, 3</t>
  </si>
  <si>
    <t>Ammo, Plus Coin Boost, Attack Type DMG/Power Up</t>
  </si>
  <si>
    <t>Poise, Tremor, Rupture</t>
  </si>
  <si>
    <t>Offense Level Down, Ammo, Tremor Burst</t>
  </si>
  <si>
    <t>The Middle Little Sister</t>
  </si>
  <si>
    <t>Damage Down, Sin DMG/Power Up, Attack Type DMG/Power Up</t>
  </si>
  <si>
    <t>The Middle Little Brother</t>
  </si>
  <si>
    <t>Sin DMG/Power Up, Plus Coin Drop, Attack Type Fragility</t>
  </si>
  <si>
    <t>The Pequod Harpooneer</t>
  </si>
  <si>
    <t>Aggro, Defense Level Up, Offense Level Up</t>
  </si>
  <si>
    <t>The Pequod First Mate</t>
  </si>
  <si>
    <t>Bind</t>
  </si>
  <si>
    <t>Cinq Assoc. South Section 4</t>
  </si>
  <si>
    <t>Haste, Aggro, Bind</t>
  </si>
  <si>
    <t>Cinq Assoc.South Section 4 Director</t>
  </si>
  <si>
    <t>Haste, Fragile, Attack Type DMG/Power Up</t>
  </si>
  <si>
    <t>Lobotomy E.G.O::Lantern</t>
  </si>
  <si>
    <t>Walpurgisnaught, 2</t>
  </si>
  <si>
    <t>Lobotomy E.G.O::Magic Bullet</t>
  </si>
  <si>
    <t>Discard, Aggro</t>
  </si>
  <si>
    <t>Discard, Damage Up</t>
  </si>
  <si>
    <t>The Pequod Captain</t>
  </si>
  <si>
    <t>Bleed, Burn, Poise</t>
  </si>
  <si>
    <t>Defense Level Up, Aggro, Protection, Offense Level Up, Assist Attack, Damage Up, Sin DMG/Power Up, Attack Type DMG/Power Up</t>
  </si>
  <si>
    <t>Blade Lineage Mentor</t>
  </si>
  <si>
    <t>Season, 3, Event</t>
  </si>
  <si>
    <t>Attack Type DMG/Power Up, Aggro, Paralyze</t>
  </si>
  <si>
    <t>Bind, Attack Type Fragility, Defense Level Down</t>
  </si>
  <si>
    <t>Season, 3, Event, Reward</t>
  </si>
  <si>
    <t>Kurokumo Clan Captain</t>
  </si>
  <si>
    <t>Offense Level Down, Attack Power Down, Plus Coin Drop</t>
  </si>
  <si>
    <t>Liu Assoc. South Section 4 Director</t>
  </si>
  <si>
    <t>Sin DMG/Power Up, Attack Power Up</t>
  </si>
  <si>
    <t>Öufi South Section 3</t>
  </si>
  <si>
    <t>Amplitude Conversion, Tremor - Decay, Tremor Burst</t>
  </si>
  <si>
    <t>Wuthering Heights Chief Butler</t>
  </si>
  <si>
    <t>Season, 4</t>
  </si>
  <si>
    <t>Offense Level Up</t>
  </si>
  <si>
    <t>Dead Rabbits Boss</t>
  </si>
  <si>
    <t>Offense Level Down</t>
  </si>
  <si>
    <t>Wuthering Heights Butler</t>
  </si>
  <si>
    <t>Edgar Family Heir</t>
  </si>
  <si>
    <t>Haste, Plus Coin Boost, Damage Up, Fragile, Sin DMG/Power Up</t>
  </si>
  <si>
    <t>Edgar Family Butler</t>
  </si>
  <si>
    <t>Poise, Sinking</t>
  </si>
  <si>
    <t>Haste, Bind, Defense Level Down, Attack Type Fragility</t>
  </si>
  <si>
    <t>Edgar Family Chief Butler</t>
  </si>
  <si>
    <t>Bind, Haste</t>
  </si>
  <si>
    <t>Dawn Office Fixer</t>
  </si>
  <si>
    <t>Walpurgisnaught, 3</t>
  </si>
  <si>
    <t>The Ring Pointillist Student</t>
  </si>
  <si>
    <t>District 20 Yurodivy</t>
  </si>
  <si>
    <t>Season, 4, Event, Reward</t>
  </si>
  <si>
    <t>Season, 4, Event</t>
  </si>
  <si>
    <t>Amplitude Entanglement, Tremor - Reverb, Damage Up, Tremor Burst, Tremor - Superposition</t>
  </si>
  <si>
    <t>T Corp. Class 2 Collection Staff</t>
  </si>
  <si>
    <t>Bind, Tremor Burst</t>
  </si>
  <si>
    <t>T Corp. Class 3 Collection Staff</t>
  </si>
  <si>
    <t>Aggro, Bind, Amplitude Conversion, Tremor - Decay, Tremor Burst</t>
  </si>
  <si>
    <t>Dieci Assoc. South Section 4 Director</t>
  </si>
  <si>
    <t>W Corp. L3 Cleanup Captain</t>
  </si>
  <si>
    <t>Bind, Load, Clash Power Up</t>
  </si>
  <si>
    <t>MultiCrack Office Rep</t>
  </si>
  <si>
    <t>Shard</t>
  </si>
  <si>
    <t>Sin Fragility</t>
  </si>
  <si>
    <t>MultiCrack Office Fixer</t>
  </si>
  <si>
    <t>Defense Level Down, Photoelectricity, Attack Type Fragility, Haste, Clash Power Up, HP Healing Down</t>
  </si>
  <si>
    <t>Wild Hunt</t>
  </si>
  <si>
    <t>Offense Level Up, Damage Up, Attack Power Up</t>
  </si>
  <si>
    <t>Lobotomy E.G.O:: Red Eyes &amp; Penitence</t>
  </si>
  <si>
    <t>Walpurgisnaught, 4</t>
  </si>
  <si>
    <t>Bleed, Charge</t>
  </si>
  <si>
    <t>Haste, Bind, Attack Power Down</t>
  </si>
  <si>
    <t>Lobotomy E.G.O::Solemn Lament</t>
  </si>
  <si>
    <t>Ammo, Reload, Haste</t>
  </si>
  <si>
    <t>Devyat' Assoc. North Section 3</t>
  </si>
  <si>
    <t>Haste, Defense Level Down, Retreat, Clash Power Up</t>
  </si>
  <si>
    <t>Zwei Assoc. West Section 3</t>
  </si>
  <si>
    <t>Aggro, Defense Level Up, Attack Power Down, Clashable Guard, Unbreakable Coin, Tremor Burst</t>
  </si>
  <si>
    <t>Cinq Assoc. West Section 3</t>
  </si>
  <si>
    <t>Season, 5</t>
  </si>
  <si>
    <t>Rupture, Poise</t>
  </si>
  <si>
    <t>Aggro, Defense Level Up, Offense Level Up, Clashable Guard, Unbreakable Coin, Haste, Tremor Burst</t>
  </si>
  <si>
    <t>The Barber of La Manchaland</t>
  </si>
  <si>
    <t>Bloodfeast</t>
  </si>
  <si>
    <t>Fanghunt Office Fixer</t>
  </si>
  <si>
    <t>Defense Level Down, HP Healing Down</t>
  </si>
  <si>
    <t>The Priest of La Manchaland</t>
  </si>
  <si>
    <t>Bleed, Rupture</t>
  </si>
  <si>
    <t>Aggro, Bloodfeast</t>
  </si>
  <si>
    <t>The Princess of La Manchaland</t>
  </si>
  <si>
    <t>Bloodfeast, Attack Power Up</t>
  </si>
  <si>
    <t>Defense Level Down, Haste, Retreat, Clash Power Up</t>
  </si>
  <si>
    <t>The Manager of La Manchaland</t>
  </si>
  <si>
    <t>Bloodfeast, Unbreakable Coin, Damage Up</t>
  </si>
  <si>
    <t>Full-Stop Office Fixer</t>
  </si>
  <si>
    <t>Walpurgisnaught, 5</t>
  </si>
  <si>
    <t>Haste, Ammo, Attack Type Fragility, Clashable Guard, Attack Type Resist Down, Unbreakable Coin, Attack Type DMG/Power Up, Retreat, Reload</t>
  </si>
  <si>
    <t>Full-Stop Office Rep</t>
  </si>
  <si>
    <t>Ammo, Bind, Attack Power Down, Attack Type Fragility, Unbreakable Coin, Reload, Retreat</t>
  </si>
  <si>
    <t>LCE E.G.O::Lantern</t>
  </si>
  <si>
    <t>Season, 5, Event, Reward</t>
  </si>
  <si>
    <t>Aggro, Unbreakable Coin, Bind</t>
  </si>
  <si>
    <t>LCE E.G.O::Ardor Blossom Star</t>
  </si>
  <si>
    <t>Season, 5, Event</t>
  </si>
  <si>
    <t>Unbreakable Coin, Offense Level Up</t>
  </si>
  <si>
    <t>Season, 5, Bokgak, Reward</t>
  </si>
  <si>
    <t>Defense Power Up, Offense Level Up, Attack Type Fragility, Attack Power Down, Unbreakable Coin, Attack Type DMG/Power Up</t>
  </si>
  <si>
    <t>Season, 5, Bokgak</t>
  </si>
  <si>
    <t>Offense Level Down, Damage Up, Attack Type Fragility, Fragile, Attack Type DMG/Power Up, Protection, Defense Power Up</t>
  </si>
  <si>
    <t>Liu Assoc. South Section 3</t>
  </si>
  <si>
    <t>Firefist Office Survivor</t>
  </si>
  <si>
    <t>Cinq East Section 3</t>
  </si>
  <si>
    <t>Poise, Burn</t>
  </si>
  <si>
    <t>Defense Level Down, Haste</t>
  </si>
  <si>
    <t>Heishou Pack - Mao Branch</t>
  </si>
  <si>
    <t>Haste, Deathrite</t>
  </si>
  <si>
    <t>Aggro, Defense Level Up, Offense Level Up, Attack Type DMG/Power Up</t>
  </si>
  <si>
    <t>Unfocused Volley</t>
  </si>
  <si>
    <t>Heishou Pack - Si Branch</t>
  </si>
  <si>
    <t>Season, 6</t>
  </si>
  <si>
    <t>Deathrite, Unfocused Volley, Clashable Guard, Unbreakable Coin, Offense Level Down, Defense Level Down</t>
  </si>
  <si>
    <t>Deathrite, Clashable Guard, Unbreakable Coin, Attack Type DMG/Power Up</t>
  </si>
  <si>
    <t>Heishou Pack - Mao Branch Adept</t>
  </si>
  <si>
    <t>Deathrite, Haste, Assist Defense, Clashable Guard, Protection, Unbreakable Coin, Offense Level Up</t>
  </si>
  <si>
    <t>Family Hierarch Candidate</t>
  </si>
  <si>
    <t>Offense Level Up, Defense Level Down, Unbreakable Coin, Retreat</t>
  </si>
  <si>
    <t>The Thumb East Soldato ||</t>
  </si>
  <si>
    <t>Burn, Tremor</t>
  </si>
  <si>
    <t>Tremor - Scorch, Ammo, Unbreakable Coin, Amplitude Conversion, Damage Up, Tremor Burst</t>
  </si>
  <si>
    <t>The Thumb East Capo ||||</t>
  </si>
  <si>
    <t>Ammo, Amplitude Conversion, Tremor - Scorch, Shin, Unbreakable Coin, Protection, Tremor Burst</t>
  </si>
  <si>
    <t>N Corp. E.G.O::Fell Bullet</t>
  </si>
  <si>
    <t>Unbreakable Coin, Damage Up, Ammo</t>
  </si>
  <si>
    <t>Lobotomy E.G.O::In the Name of Love and Hate</t>
  </si>
  <si>
    <t>Walpurgisnaught, 6</t>
  </si>
  <si>
    <t>Rupture, Sinking, Charge</t>
  </si>
  <si>
    <t>Unbreakable Coin, Clashable Guard</t>
  </si>
  <si>
    <t>Lobotomy E.G.O:: The Sword Sharpened with Tears</t>
  </si>
  <si>
    <t>Sinking, Charge</t>
  </si>
  <si>
    <t>Clashable Guard, Unbreakable Coin, Protection, Clash Power Up, Damage Up, Power Up, Aggro</t>
  </si>
  <si>
    <t>T Corp. Class 3 VDCU Staff</t>
  </si>
  <si>
    <t>Season, 6, Bokgak</t>
  </si>
  <si>
    <t>Amplitude Conversion, Tremor - Chain, Bind, Unbreakable Coin, Tremor Burst</t>
  </si>
  <si>
    <t>The Lord of Hongyuan</t>
  </si>
  <si>
    <t>Defense Power Up, Assist Defense, Sin DMG/Power Up, Unbreakable Coin, Offense Level Down, Defense Level Down, Attack Type Resist Down, Attack Power Up, Attack Type DMG/Power Up, Retreat, Clashable Guard, Damage Up</t>
  </si>
  <si>
    <t>Heishou Pack - You Branch Adept</t>
  </si>
  <si>
    <t>Season, 6, Event, Reward</t>
  </si>
  <si>
    <t>Burn, Rupture</t>
  </si>
  <si>
    <t>Unfocused Volley, Unbreakable Coin, Sin DMG/Power Up, Offense Level Up, Defense Level Up</t>
  </si>
  <si>
    <t>Heishou Pack - Wu Branch Adept</t>
  </si>
  <si>
    <t>Season, 6, Event</t>
  </si>
  <si>
    <t>Rupture, Tremor</t>
  </si>
  <si>
    <t>Bind, Haste, Unbreakable Coin, Clashable Guard, Attack Power Up, Offense Level Up, Aggro, Tremor Burst</t>
  </si>
  <si>
    <t>N Corp. E.G.O:: Contempt, Awe</t>
  </si>
  <si>
    <t>Bleed, Tremor</t>
  </si>
  <si>
    <t>Unbreakable Coin, Amplitude Conversion, Tremor - Hemorrhage, Protection, Bind, Attack Type DMG/Power Up, Tremor Burst</t>
  </si>
  <si>
    <t>Shi East Section 3</t>
  </si>
  <si>
    <t>W Corp. L4 Cleanup Agent - CCA</t>
  </si>
  <si>
    <t>Unbreakable Coin, Clashable Guard, Defense Level Up</t>
  </si>
  <si>
    <t>The Prince of La Manchaland</t>
  </si>
  <si>
    <t>Bloodfeast, Sin Fragility, Unbreakable Coin, Offense Level Up, Defense Level Up, Haste</t>
  </si>
  <si>
    <t>Jeong's Office Rep</t>
  </si>
  <si>
    <t>Walpurgisnaught, 7</t>
  </si>
  <si>
    <t>Discard, Amplitude Conversion, Tremor - Decay, Attack Power Up, Defense Level Down, Tremor Burst</t>
  </si>
  <si>
    <t>Night Awl Capitano</t>
  </si>
  <si>
    <t>Haste, Amplitude Conversion, Tremor - Hemorrhage, Bind, Defense Level Down, Unbreakable Coin, Clashable Guard, Attack Type DMG/Power Up, Defense Power Down, Tremor Burst</t>
  </si>
  <si>
    <t>Heishou Pack - Wei Branch</t>
  </si>
  <si>
    <t>Rupture, Sinking</t>
  </si>
  <si>
    <t>Unbreakable Coin, Clashable Guard, Defense Level Down</t>
  </si>
  <si>
    <t>Unfocused Volley, Unbreakable Coin, Offense Level Up, Defense Level Up</t>
  </si>
  <si>
    <t>Drifting Blade of Hongyuan</t>
  </si>
  <si>
    <t>Clashable Guard, Unbreakable Coin</t>
  </si>
  <si>
    <t>Attack Type Fragility, Unfocused Volley</t>
  </si>
  <si>
    <t>The Index Proselyte: 【Paper Slip】</t>
  </si>
  <si>
    <t>Season, 7</t>
  </si>
  <si>
    <t>Unbreakable Coin</t>
  </si>
  <si>
    <t>LCA Udjat Vanguard Team 3 Leader</t>
  </si>
  <si>
    <t>Sinking, Tremor</t>
  </si>
  <si>
    <t>Aggro, Protection, Ammo, Reload, Sin Resist Down, Sin Fragility, Tremor Burst</t>
  </si>
  <si>
    <t>The Index Proxy - Effloresced E.G.O::Procuration</t>
  </si>
  <si>
    <t>Unbreakable Coin, Shin, Damage Up</t>
  </si>
  <si>
    <t>The House of Spiders: The Middle Apprentice</t>
  </si>
  <si>
    <t>Aggro, Paralyze, Bind, Attack Type DMG/Power Up</t>
  </si>
  <si>
    <t>The House of Spiders: The Pinky Apprentice</t>
  </si>
  <si>
    <t>Haste, Unfocused Volley, Unbreakable Coin, Clashable Guard, Crit DMG Up, Attack Type DMG/Power Up</t>
  </si>
  <si>
    <t>Lobotomy E.G.O::Lamp</t>
  </si>
  <si>
    <t>Sinking, Burn</t>
  </si>
  <si>
    <t>Bind, Unbreakable Coin, Plus Coin Boost, Clashable Guard, Haste, Clash Power Up, Defense Level Up, Attack Type DMG/Power Up, Aggro</t>
  </si>
  <si>
    <t>The House of Spiders: The Index Nursefather</t>
  </si>
  <si>
    <t>Poise, Sinking, Burn</t>
  </si>
  <si>
    <t>Unbreakable Coin, Unfocused Volley, Bind, Fragile, Shin</t>
  </si>
  <si>
    <t>Lobotomy E.G.O:: Hornet 【Alteration】</t>
  </si>
  <si>
    <t>Walpurgisnaught, 8</t>
  </si>
  <si>
    <t>Ammo, Attack Type Fragility, Unbreakable Coin, Reload</t>
  </si>
  <si>
    <t>Lobotomy E.G.O::Faint Aroma &amp; Solitude</t>
  </si>
  <si>
    <t>Ammo, Unfocused Volley, Fragile, Attack Power Up, Reload, Tremor Burst</t>
  </si>
  <si>
    <t>LCE E.G.O::AEDD</t>
  </si>
  <si>
    <t>Season, 7, Bokgak</t>
  </si>
  <si>
    <t>Unbreakable Coin, Photoelectricity, Aggro, Offense Level Up</t>
  </si>
  <si>
    <t>The House of Spiders: The Ring Apprentice</t>
  </si>
  <si>
    <t>Defense Level Down, Defense Level Up, Unbreakable Coin, Bind, Damage Down, Haste, Attack Type DMG/Power Up, Clashable Guard, Assist Defense, Clashable Counter</t>
  </si>
  <si>
    <t>The House of Spiders: The Ring Nursefather</t>
  </si>
  <si>
    <t>Bleed, Charge, Burn</t>
  </si>
  <si>
    <t>Defense Level Down, Defense Level Up, Unbreakable Coin, Bind, Haste, Damage Down, Attack Type DMG/Power Up, Offense Level Up, Assist Defense, Offense Level Down, Clashable Counter</t>
  </si>
  <si>
    <t>The Ring Fauvist Student</t>
  </si>
  <si>
    <t>Season, 7, Event, Reward</t>
  </si>
  <si>
    <t>Bleed, Sinking</t>
  </si>
  <si>
    <t>Unbreakable Coin, Attack Type DMG/Power Up, Defense Level Down, Clashable Counter</t>
  </si>
  <si>
    <t>The Ring Fauvist Docent</t>
  </si>
  <si>
    <t>Season, 7, Event</t>
  </si>
  <si>
    <t>Unfocused Volley, Unbreakable Coin, Clash Power Up, Offense Level Up, Defense Level Up, Clashable Counter</t>
  </si>
  <si>
    <t>The Middle Big Brother</t>
  </si>
  <si>
    <t>Aggro, Offense Level Up, Paralyze, Unbreakable Coin, Attack Power Up, Defense Level Up, Tremor Burst</t>
  </si>
  <si>
    <t>Blade of The House of Spiders</t>
  </si>
  <si>
    <t>Burn, Poise, Bleed</t>
  </si>
  <si>
    <t>Attack Type Fragility, Shin, Unbreakable Coin, Crit DMG Up</t>
  </si>
  <si>
    <t>The House of Spiders: The Middle Nursefather</t>
  </si>
  <si>
    <t>Unbreakable Coin, Bind, Aggro, Paralyze, Attack Type DMG/Power Up, Sin Fragility, Offense Level Up, Sin DMG/Power Up, Damage Up, Protection</t>
  </si>
  <si>
    <t>S Corp. Ch'unokkun</t>
  </si>
  <si>
    <t>Bind, Haste, Unbreakable Coin, Attack Power Down, Sin Fragility, Clashable Counter</t>
  </si>
  <si>
    <t>LCD Osir Team</t>
  </si>
  <si>
    <t>Haste, Attack Type Fragility, Assist Defense, Unbreakable Coin, Clashable Guard, Paralyze</t>
  </si>
  <si>
    <t>The House of Spiders: The Thumb Apprentice</t>
  </si>
  <si>
    <t>Tremor Burst, Unbreakable Coin, Amplitude Conversion, Tremor - Scorch, Clashable Guard, Clashable Counter, Assist Defense, Protection</t>
  </si>
  <si>
    <t>The House of Spiders: The Thumb Nursefather</t>
  </si>
  <si>
    <t>Burn, Tremor, Poise</t>
  </si>
  <si>
    <t>Tremor Burst, Amplitude Conversion, Tremor - Scorch, Unbreakable Coin, Reload, Shin, Offense Level Up, Haste, Clashable Counter, Ammo</t>
  </si>
  <si>
    <t>Yuna Dawn Office</t>
  </si>
  <si>
    <t>Walpurgisnaught, 9</t>
  </si>
  <si>
    <t>Gacha</t>
  </si>
  <si>
    <t>Salvador Dawn Office</t>
  </si>
  <si>
    <t>Wayfarer Doorbreach Team 4 Leader</t>
  </si>
  <si>
    <t>N Corp E.G.O:: Hex Nail</t>
  </si>
  <si>
    <t>Season, 8</t>
  </si>
  <si>
    <t>Nail, Curse</t>
  </si>
  <si>
    <t>N Corp E.G.O:: Lantern</t>
  </si>
  <si>
    <t>N Corp E.G.O:: Indicant's Trial</t>
  </si>
  <si>
    <t>N Corp E.G.O:: King of Binds</t>
  </si>
  <si>
    <t>N Corp E.G.O:: Carvenous Wailings</t>
  </si>
  <si>
    <t>Tremor - Reverb, Amplitude Conversion</t>
  </si>
  <si>
    <t>N Corp E.G.O:: Dimension Shredder</t>
  </si>
  <si>
    <t>Dimensional Rift</t>
  </si>
  <si>
    <t>N Corp E.G.O:: Blind Obsession</t>
  </si>
  <si>
    <t>Poise, Charge, Rupture</t>
  </si>
  <si>
    <t>Walpurgisnaught, 10</t>
  </si>
  <si>
    <t>The Night Drifter of Hongyuan</t>
  </si>
  <si>
    <t>Season, 8, Bokgak</t>
  </si>
  <si>
    <t>Bleed, Poise</t>
  </si>
  <si>
    <t>Season, 8, Event</t>
  </si>
  <si>
    <t>Season, 8, Event, Reward</t>
  </si>
  <si>
    <t>The Death Row Prisoner - Effloresced E.G.O::Guillotine</t>
  </si>
  <si>
    <t>Walpurgisnaught, 11</t>
  </si>
  <si>
    <t>Season, 9</t>
  </si>
  <si>
    <t>Walpurgisnaught, 12</t>
  </si>
  <si>
    <t>The Ring Fauvist Maestro</t>
  </si>
  <si>
    <t>Season, 9, Bokgak</t>
  </si>
  <si>
    <t>Season, 9, Event, Reward</t>
  </si>
  <si>
    <t>Season, 9, Event</t>
  </si>
  <si>
    <t>The Index Weaver - Effloresced E.G.O::Caduceus</t>
  </si>
  <si>
    <t>Walpurgisnaught, 13</t>
  </si>
  <si>
    <t>Season, 10</t>
  </si>
  <si>
    <t>Walpurgisnaught, 14</t>
  </si>
  <si>
    <t>Season, 10, Bokgak</t>
  </si>
  <si>
    <t>Season, 10, Event, Reward</t>
  </si>
  <si>
    <t>Season, 10, Event</t>
  </si>
  <si>
    <t>Walpurgisnaught, 15</t>
  </si>
  <si>
    <t>Sin</t>
  </si>
  <si>
    <t>EGO Tier</t>
  </si>
  <si>
    <t>Threadspin</t>
  </si>
  <si>
    <t>Crow’s Eye View</t>
  </si>
  <si>
    <t>Sloth</t>
  </si>
  <si>
    <t>Attack Power Down, Haste, Bind, Weak-resist DMG Boost</t>
  </si>
  <si>
    <t>Representation Emitter</t>
  </si>
  <si>
    <t>Pride</t>
  </si>
  <si>
    <t>SP Healing Efficiency</t>
  </si>
  <si>
    <t>La Sangre de Sancho</t>
  </si>
  <si>
    <t>Forest for the Flames</t>
  </si>
  <si>
    <t>Chains of Others</t>
  </si>
  <si>
    <t>Bind, Attack Power Up, Protection</t>
  </si>
  <si>
    <t>Land of Illusion</t>
  </si>
  <si>
    <t>SP Loss Efficiency</t>
  </si>
  <si>
    <t>Bodysack</t>
  </si>
  <si>
    <t>Attack Power Up, Haste</t>
  </si>
  <si>
    <t>Snagharpoon</t>
  </si>
  <si>
    <t>What is Cast</t>
  </si>
  <si>
    <t>SP Healing Efficiency, SP Loss Efficiency</t>
  </si>
  <si>
    <t>Branch of Knowledge</t>
  </si>
  <si>
    <t>Gluttony</t>
  </si>
  <si>
    <t>Attack Power Up, Protection, Damage Up</t>
  </si>
  <si>
    <t>To Páthos Máthos</t>
  </si>
  <si>
    <t>Attack Power Up, Damage Up</t>
  </si>
  <si>
    <t>Suddenly, One Day</t>
  </si>
  <si>
    <t>Burn, Bleed, Tremor, Rupture, Sinking</t>
  </si>
  <si>
    <t>Protection, SP Loss Efficiency</t>
  </si>
  <si>
    <t>4th Match Flame</t>
  </si>
  <si>
    <t>Season, 1, BP</t>
  </si>
  <si>
    <t>Wishing Cairn</t>
  </si>
  <si>
    <t>Sin Fragility, Paralyze, Bind, Attack Type Protection, Sin Protection</t>
  </si>
  <si>
    <t>Attack Power Down, Protection</t>
  </si>
  <si>
    <t>Attack Type Fragility, Sin Fragility, Nail, Curse</t>
  </si>
  <si>
    <t>Attack Power Up, Unbreakable Coin</t>
  </si>
  <si>
    <t>Screwloose Wallop</t>
  </si>
  <si>
    <t>Protection, Paralyze, Attack Power Up, Defense Power Up, Haste</t>
  </si>
  <si>
    <t>Pursuance</t>
  </si>
  <si>
    <t>Protection, Fragile, Damage Up, Attack Power Up, Defense Power Up, Tremor Burst</t>
  </si>
  <si>
    <t>Roseate Desire</t>
  </si>
  <si>
    <t>Defense Power Down, Defense Level Down, Bind, Sin Fragility</t>
  </si>
  <si>
    <t>Telepole</t>
  </si>
  <si>
    <t>Offense Level Down, Paralyze, Bind</t>
  </si>
  <si>
    <t>Ardor Blossom Star</t>
  </si>
  <si>
    <t>Rime Shank</t>
  </si>
  <si>
    <t>Bind, Attack Power Down, Tremor Burst</t>
  </si>
  <si>
    <t>Impending Day</t>
  </si>
  <si>
    <t>Ebony Stem</t>
  </si>
  <si>
    <t>Rupture, Bleed</t>
  </si>
  <si>
    <t>Sin Fragility, Attack Type DMG/Power Up, Bind</t>
  </si>
  <si>
    <t>Ya Śūnyatā Tad Rūpam</t>
  </si>
  <si>
    <t>Attack Power Up, Sin Fragility, Fragile, Sin DMG/Power Up</t>
  </si>
  <si>
    <t>Legerdemain</t>
  </si>
  <si>
    <t>Tremor, Bleed</t>
  </si>
  <si>
    <t>Paralyze, Tremor Burst</t>
  </si>
  <si>
    <t>Paralyze, Sin DMG/Power Up, Haste, Bind</t>
  </si>
  <si>
    <t>Lifetime Stew</t>
  </si>
  <si>
    <t>Haste, E.G.O Resource Amp</t>
  </si>
  <si>
    <t>Haste, Fragile, Dimensional Rift</t>
  </si>
  <si>
    <t>Capote</t>
  </si>
  <si>
    <t>Season, 2, BP</t>
  </si>
  <si>
    <t>Haste, Sin DMG/Power Up, Attack Type DMG/Power Up, Tremor Burst</t>
  </si>
  <si>
    <t>Sin DMG/Power Up, Sin Fragility, Tremor Burst</t>
  </si>
  <si>
    <t>AEDD</t>
  </si>
  <si>
    <t>Haste, Paralyze, Sin Fragility</t>
  </si>
  <si>
    <t>Sunshower</t>
  </si>
  <si>
    <t>Poise, Sinking, Rupture</t>
  </si>
  <si>
    <t>Protection, Tremor Burst</t>
  </si>
  <si>
    <t>Sin DMG/Power Up, Protection, Sin Fragility, Attack Type Fragility</t>
  </si>
  <si>
    <t>Red Eyes</t>
  </si>
  <si>
    <t>Bind, Plus Coin Drop, Attack Type Fragility</t>
  </si>
  <si>
    <t>Red Eyes (Open)</t>
  </si>
  <si>
    <t>Bind, Attack Type DMG/Power Up</t>
  </si>
  <si>
    <t>Soda</t>
  </si>
  <si>
    <t>E.G.O Resource Amp, Haste, Defense Power Down</t>
  </si>
  <si>
    <t>Attack Power Down, Defense Level Down, Defense Level Up, Damage Up, Fragile</t>
  </si>
  <si>
    <t>Regret</t>
  </si>
  <si>
    <t>Bind, Attack Type DMG/Power Up, Tremor Burst</t>
  </si>
  <si>
    <t>Effervescent Corrosion</t>
  </si>
  <si>
    <t>Season, 3, BP</t>
  </si>
  <si>
    <t>Sin Fragility, Bind</t>
  </si>
  <si>
    <t>9:2</t>
  </si>
  <si>
    <t>Defense Level Down, Bind</t>
  </si>
  <si>
    <t>Bind, Defense Level Down, Tremor Burst</t>
  </si>
  <si>
    <t>Attack Power Up, Defense Power Down, Sin Fragility</t>
  </si>
  <si>
    <t>Poise, Charge</t>
  </si>
  <si>
    <t>Charge, Poise, Sinking</t>
  </si>
  <si>
    <t>Attack Type DMG/Power Up, Damage Up, Sin Fragility, Haste, Offense Level Up</t>
  </si>
  <si>
    <t>Sin Fragility, Tremor Burst</t>
  </si>
  <si>
    <t>Holiday</t>
  </si>
  <si>
    <t>Burn, Bleed, Tremor, Rupture, Sinking, Poise, Charge</t>
  </si>
  <si>
    <t>Haste, Offense Level Up, Defense Power Up</t>
  </si>
  <si>
    <t>Bleed, Tremor, Poise</t>
  </si>
  <si>
    <t>Garden of Thorns</t>
  </si>
  <si>
    <t>Season, 3, Extraction</t>
  </si>
  <si>
    <t>Damage Down, Bind</t>
  </si>
  <si>
    <t>Bygone Days</t>
  </si>
  <si>
    <t>Season, 4, BP</t>
  </si>
  <si>
    <t>Sin Fragility, Curse</t>
  </si>
  <si>
    <t>Binds</t>
  </si>
  <si>
    <t>Amplitude Conversion, Tremor - Fracture, Tremor Burst</t>
  </si>
  <si>
    <t>Bind, Attack Power Up, Sin DMG/Power Up, Offense Level Up, Defense Level Up, Tremor Burst</t>
  </si>
  <si>
    <t>Electric Screaming</t>
  </si>
  <si>
    <t>Sin DMG/Power Up, Paralyze, Offense Level Up, Defense Level Up</t>
  </si>
  <si>
    <t>Sanguine Desire</t>
  </si>
  <si>
    <t>Wingbeat</t>
  </si>
  <si>
    <t>Sin Fragility, Attack Type DMG/Power Up, Haste, Offense Level Up</t>
  </si>
  <si>
    <t>Cavernous Wailing</t>
  </si>
  <si>
    <t>Aggro, Protection</t>
  </si>
  <si>
    <t>Amplitude Conversion, Tremor - Reverb, Offense Level Down, Defense Level Down, Tremor Burst</t>
  </si>
  <si>
    <t>Amplitude Entanglement, Tremor - Everlasting, Haste, Tremor Burst, Tremor - Superposition</t>
  </si>
  <si>
    <t>Fell Bullet</t>
  </si>
  <si>
    <t>Poise, Bleed, Sinking</t>
  </si>
  <si>
    <t>Dimensional Rift, Haste, Load</t>
  </si>
  <si>
    <t>Solemn Lament</t>
  </si>
  <si>
    <t>Contempt, Awe</t>
  </si>
  <si>
    <t>Season, 4, Extraction</t>
  </si>
  <si>
    <t>Lasso</t>
  </si>
  <si>
    <t>Season, 5, BP</t>
  </si>
  <si>
    <t>Haste, Sin DMG/Power Up</t>
  </si>
  <si>
    <t>Offense Level Up, Defense Level Down, Nail, Curse</t>
  </si>
  <si>
    <t>Clash Power Down, Bind, Defense Level Down, Clash Power Up, Defense Power Up, Protection, Nail, Curse</t>
  </si>
  <si>
    <t>Yearning-Mircalla</t>
  </si>
  <si>
    <t>Bloodfeast, Unbreakable Coin</t>
  </si>
  <si>
    <t>Season, 5, Extraction</t>
  </si>
  <si>
    <t>Asymmetrical Inertia</t>
  </si>
  <si>
    <t>Amplitude Conversion, Tremor - Clockwinding, Sin Fragility, Fragile, Tremor Burst</t>
  </si>
  <si>
    <t>Christmas Nightmare</t>
  </si>
  <si>
    <t>Attack Power Up, Attack Power Down, Offense Level Down, Defense Level Down, Tremor Burst</t>
  </si>
  <si>
    <t>Magic Bullet</t>
  </si>
  <si>
    <t>Thoracalgia</t>
  </si>
  <si>
    <t>Sin DMG/Power Up</t>
  </si>
  <si>
    <t>Unbreakable Coin, Sin DMG/Power Up</t>
  </si>
  <si>
    <t>Red Sheet</t>
  </si>
  <si>
    <t>Season, 6, BP</t>
  </si>
  <si>
    <t>Hundred-Footed Death Maggot 【螂蛆殺】</t>
  </si>
  <si>
    <t>Tears of the Tarnished Blood 【汚血泣淚】</t>
  </si>
  <si>
    <t>Unbreakable Coin, Haste, Attack Power Down, Sin DMG/Power Up, Attack Type DMG/Power Up</t>
  </si>
  <si>
    <t>In the name of Love and Hate</t>
  </si>
  <si>
    <t>Charge, Rupture, Sinking</t>
  </si>
  <si>
    <t>Amplitude Entanglement, Damage Up, Protection, Tremor Burst, Tremor - Superposition</t>
  </si>
  <si>
    <t>Tidal Elegy</t>
  </si>
  <si>
    <t>Unbreakable Coin, Bind, Attack Type DMG/Power Up, Sin DMG/Power Up, Sin Fragility, Tremor Burst</t>
  </si>
  <si>
    <t>To Remain Oneself 【宁作吾】</t>
  </si>
  <si>
    <t>Season, 6, Event, Extraction</t>
  </si>
  <si>
    <t>Command: Meltdown</t>
  </si>
  <si>
    <t>Rupture, Burn</t>
  </si>
  <si>
    <t>Damage Up, Unbreakable Coin</t>
  </si>
  <si>
    <t>Offense Level Up, Damage Up, Defense Level Up, Protection, Aggro, Unbreakable Coin, Tremor Burst</t>
  </si>
  <si>
    <t>I'll Go fer Scissors. How 'Bout You?</t>
  </si>
  <si>
    <t>Season, 7, BP</t>
  </si>
  <si>
    <t>Unbreakable Coin, Power Down, Nail, Curse</t>
  </si>
  <si>
    <t>Move-in Reg.</t>
  </si>
  <si>
    <t>Burn, Charge</t>
  </si>
  <si>
    <t>Great Trichiliocosm 【三千大世界】</t>
  </si>
  <si>
    <t>Burn, Sinking, Poise</t>
  </si>
  <si>
    <t>Poise, Burn, Bleed</t>
  </si>
  <si>
    <t>Unbreakable Coin, Bind, Crit DMG Up</t>
  </si>
  <si>
    <t>Harmony</t>
  </si>
  <si>
    <t>Bleed, Burn</t>
  </si>
  <si>
    <t>Sin DMG/Power Up, Fragile, Unbreakable Coin</t>
  </si>
  <si>
    <t>Sin DMG/Power Up, Attack Type DMG/Power Up</t>
  </si>
  <si>
    <t>Into The Sunset</t>
  </si>
  <si>
    <t>Sin Fragility, Sin DMG/Power Up, Unbreakable Coin</t>
  </si>
  <si>
    <t>Shadow-Vested Bladesinger【着影揮刀】</t>
  </si>
  <si>
    <t>Attack Type DMG/Power Up, Attack Type Fragility, Unbreakable Coin</t>
  </si>
  <si>
    <t>The Life and Death of Lament</t>
  </si>
  <si>
    <t>Funeral of a Dying Butterfly</t>
  </si>
  <si>
    <t>Season, 8, BP</t>
  </si>
  <si>
    <t>Schadenfreude</t>
  </si>
  <si>
    <t>Hole in the Man</t>
  </si>
  <si>
    <t>Season, 9, BP</t>
  </si>
  <si>
    <t>Season, 10, BP</t>
  </si>
  <si>
    <t>ALEPH</t>
  </si>
  <si>
    <t>T0</t>
  </si>
  <si>
    <t>T1</t>
  </si>
  <si>
    <t>T2</t>
  </si>
  <si>
    <t>T3</t>
  </si>
  <si>
    <t>T4</t>
  </si>
  <si>
    <t>Walpurgisnaught</t>
  </si>
  <si>
    <r>
      <rPr>
        <rFont val="Arial"/>
        <color theme="1"/>
        <sz val="7.0"/>
      </rPr>
      <t>Bygone Days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</si>
  <si>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4th Match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</si>
  <si>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Fell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</si>
  <si>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7.0"/>
      </rPr>
      <t>Crow's Eye View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</si>
  <si>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Wishing Cairn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</si>
  <si>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6.0"/>
      </rPr>
      <t>Dimension Shredder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</si>
  <si>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6.0"/>
      </rPr>
      <t>Great Trichiliocosm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</si>
  <si>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Sunshower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YS</t>
    </r>
  </si>
  <si>
    <r>
      <rPr>
        <rFont val="Arial"/>
        <color theme="1"/>
        <sz val="8.0"/>
      </rPr>
      <t>Hex Nail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</si>
  <si>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Thoracalgia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</si>
  <si>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Representation</t>
    </r>
    <r>
      <rPr>
        <rFont val="Arial"/>
        <color theme="1"/>
        <sz val="5.0"/>
      </rPr>
      <t xml:space="preserve"> Emitter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</si>
  <si>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Ardor Blossom Star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</si>
  <si>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6.0"/>
      </rPr>
      <t>Command: Meltdown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</si>
  <si>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t>Season 1</t>
  </si>
  <si>
    <r>
      <rPr>
        <rFont val="Arial"/>
        <color theme="1"/>
        <sz val="9.0"/>
      </rPr>
      <t xml:space="preserve">Lasso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</si>
  <si>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Fluid Sac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</si>
  <si>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Everlasting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</si>
  <si>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t>Season 2</t>
  </si>
  <si>
    <r>
      <rPr>
        <rFont val="Arial"/>
        <color theme="1"/>
        <sz val="9.0"/>
      </rPr>
      <t xml:space="preserve">9:2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</si>
  <si>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Fluid Sac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</si>
  <si>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 xml:space="preserve">Queen </t>
    </r>
    <r>
      <rPr>
        <rFont val="Arial"/>
        <color theme="1"/>
        <sz val="7.0"/>
      </rPr>
      <t>of</t>
    </r>
    <r>
      <rPr>
        <rFont val="Arial"/>
        <color theme="1"/>
        <sz val="8.0"/>
      </rPr>
      <t xml:space="preserve"> Hatred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</si>
  <si>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7.0"/>
      </rPr>
      <t>Yearning-Mircalla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</si>
  <si>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6.0"/>
      </rPr>
      <t>La Sangre de Sancho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</si>
  <si>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Wishing Cairn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</si>
  <si>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Telepole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FT</t>
    </r>
  </si>
  <si>
    <r>
      <rPr>
        <rFont val="Arial"/>
        <color theme="1"/>
        <sz val="8.0"/>
      </rPr>
      <t>Telepole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</si>
  <si>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t>Season 3</t>
  </si>
  <si>
    <r>
      <rPr>
        <rFont val="Arial"/>
        <color theme="1"/>
        <sz val="9.0"/>
      </rPr>
      <t xml:space="preserve">Soda </t>
    </r>
    <r>
      <rPr>
        <rFont val="Arial"/>
        <color theme="1"/>
        <sz val="8.0"/>
      </rPr>
      <t>RS</t>
    </r>
  </si>
  <si>
    <r>
      <rPr>
        <rFont val="Arial"/>
        <color theme="1"/>
        <sz val="6.0"/>
      </rPr>
      <t>Electric Screaming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</si>
  <si>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8.0"/>
      </rPr>
      <t>Contempt, Awe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</si>
  <si>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8.0"/>
      </rPr>
      <t>Red Sheet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</si>
  <si>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6.0"/>
      </rPr>
      <t>Forest for the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</si>
  <si>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Lifetime Stew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DQ</t>
    </r>
  </si>
  <si>
    <r>
      <rPr>
        <rFont val="Arial"/>
        <color theme="1"/>
        <sz val="7.0"/>
      </rPr>
      <t>Red Eyes (Open)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</si>
  <si>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6.0"/>
      </rPr>
      <t>Great Trichiliocosm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</si>
  <si>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t>Season 4</t>
  </si>
  <si>
    <r>
      <rPr>
        <rFont val="Arial"/>
        <color theme="1"/>
        <sz val="7.0"/>
      </rPr>
      <t>4th Match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</si>
  <si>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Yearning-Mircalla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</si>
  <si>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7.0"/>
      </rPr>
      <t>Chains of Others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</si>
  <si>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Regret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</si>
  <si>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Thoracalgia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</si>
  <si>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Blind Obsession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</si>
  <si>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7.0"/>
      </rPr>
      <t>Crushbound Past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</si>
  <si>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t>Season 5</t>
  </si>
  <si>
    <r>
      <rPr>
        <rFont val="Arial"/>
        <color theme="1"/>
        <sz val="7.0"/>
      </rPr>
      <t>Red Eyes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RS</t>
    </r>
  </si>
  <si>
    <r>
      <rPr>
        <rFont val="Arial"/>
        <color theme="1"/>
        <sz val="8.0"/>
      </rPr>
      <t>Pursuance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</si>
  <si>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Land of Illusion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</si>
  <si>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Cavernous Wailing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</si>
  <si>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6.0"/>
      </rPr>
      <t>To Remain Oneself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</si>
  <si>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7.0"/>
      </rPr>
      <t>Tarnished Blood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</si>
  <si>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Capote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</si>
  <si>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t>Season 6</t>
  </si>
  <si>
    <r>
      <rPr>
        <rFont val="Arial"/>
        <color theme="1"/>
        <sz val="8.0"/>
      </rPr>
      <t>Holiday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</si>
  <si>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7.0"/>
      </rPr>
      <t>Screwloose Wallop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</si>
  <si>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8.0"/>
      </rPr>
      <t>Bodysack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</si>
  <si>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Move-in Reg.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</si>
  <si>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6.0"/>
      </rPr>
      <t>Asymmetrical Inertia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</si>
  <si>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6.0"/>
      </rPr>
      <t>Electric Screaming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MS</t>
    </r>
  </si>
  <si>
    <r>
      <rPr>
        <rFont val="Arial"/>
        <color theme="1"/>
        <sz val="6.0"/>
      </rPr>
      <t>Dimension Shredder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</si>
  <si>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Fell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</si>
  <si>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Binds </t>
    </r>
    <r>
      <rPr>
        <rFont val="Arial"/>
        <color theme="1"/>
        <sz val="8.0"/>
      </rPr>
      <t>HC</t>
    </r>
  </si>
  <si>
    <t>Season 7</t>
  </si>
  <si>
    <r>
      <rPr>
        <rFont val="Arial"/>
        <color theme="1"/>
        <sz val="5.0"/>
      </rPr>
      <t>Effervescent Corrosion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</si>
  <si>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5.0"/>
      </rPr>
      <t xml:space="preserve">Hundred-Footed </t>
    </r>
    <r>
      <rPr>
        <rFont val="Arial"/>
        <color theme="1"/>
        <sz val="4.0"/>
      </rPr>
      <t>Death Maggot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</si>
  <si>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>Roseate Desire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</si>
  <si>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Snagharpoon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</si>
  <si>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>Blind Obsession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</si>
  <si>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t>Season 8</t>
  </si>
  <si>
    <r>
      <rPr>
        <rFont val="Arial"/>
        <color theme="1"/>
        <sz val="9.0"/>
      </rPr>
      <t xml:space="preserve">Lasso </t>
    </r>
    <r>
      <rPr>
        <rFont val="Arial"/>
        <color theme="1"/>
        <sz val="8.0"/>
      </rPr>
      <t>HL</t>
    </r>
  </si>
  <si>
    <r>
      <rPr>
        <rFont val="Arial"/>
        <color theme="1"/>
        <sz val="5.0"/>
      </rPr>
      <t>Ya Śūnyatā Tad Rūpam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</si>
  <si>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6.0"/>
      </rPr>
      <t>Ardor Blossom Star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</si>
  <si>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Soda </t>
    </r>
    <r>
      <rPr>
        <rFont val="Arial"/>
        <color theme="1"/>
        <sz val="8.0"/>
      </rPr>
      <t>HL</t>
    </r>
  </si>
  <si>
    <r>
      <rPr>
        <rFont val="Arial"/>
        <color theme="1"/>
        <sz val="8.0"/>
      </rPr>
      <t>Telepole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</si>
  <si>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What is Cast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</si>
  <si>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>Rime Shank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</si>
  <si>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6.0"/>
      </rPr>
      <t>Christmas Nightmare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</si>
  <si>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>Sanguine Desire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</si>
  <si>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t>Season 9</t>
  </si>
  <si>
    <r>
      <rPr>
        <rFont val="Arial"/>
        <color theme="1"/>
        <sz val="7.0"/>
      </rPr>
      <t>Cavernous Wailing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</si>
  <si>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Tidal Elegy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</si>
  <si>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Indicant's Trial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</si>
  <si>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8.0"/>
      </rPr>
      <t>AEDD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HC</t>
    </r>
  </si>
  <si>
    <r>
      <rPr>
        <rFont val="Arial"/>
        <color theme="1"/>
        <sz val="8.0"/>
      </rPr>
      <t>Wingbeat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</si>
  <si>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6.0"/>
      </rPr>
      <t xml:space="preserve">Branch </t>
    </r>
    <r>
      <rPr>
        <rFont val="Arial"/>
        <color theme="1"/>
        <sz val="5.0"/>
      </rPr>
      <t>of</t>
    </r>
    <r>
      <rPr>
        <rFont val="Arial"/>
        <color theme="1"/>
        <sz val="6.0"/>
      </rPr>
      <t xml:space="preserve"> Knowledge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</si>
  <si>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t>Season 10</t>
  </si>
  <si>
    <r>
      <rPr>
        <rFont val="Arial"/>
        <color theme="1"/>
        <sz val="8.0"/>
      </rPr>
      <t>Hex Nail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</si>
  <si>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7.0"/>
      </rPr>
      <t>Tarnished Blood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</si>
  <si>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7.0"/>
      </rPr>
      <t>Roseate Desire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</si>
  <si>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7.0"/>
      </rPr>
      <t>4th Match Flame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</si>
  <si>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7.0"/>
      </rPr>
      <t>To Páthos Máthos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</si>
  <si>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5.0"/>
      </rPr>
      <t>Ya Śūnyatā Tad Rūpam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</si>
  <si>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t>Season 11</t>
  </si>
  <si>
    <r>
      <rPr>
        <rFont val="Arial"/>
        <color theme="1"/>
        <sz val="7.0"/>
      </rPr>
      <t>Legerdemain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</si>
  <si>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>Bygone Days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</si>
  <si>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Pursuance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</si>
  <si>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7.0"/>
      </rPr>
      <t>Garden of Thorns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</si>
  <si>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 xml:space="preserve">I'll Go </t>
    </r>
    <r>
      <rPr>
        <rFont val="Arial"/>
        <color theme="1"/>
        <sz val="6.0"/>
      </rPr>
      <t>fer</t>
    </r>
    <r>
      <rPr>
        <rFont val="Arial"/>
        <color theme="1"/>
        <sz val="7.0"/>
      </rPr>
      <t xml:space="preserve"> Scissors.</t>
    </r>
    <r>
      <rPr>
        <rFont val="Arial"/>
        <color theme="1"/>
        <sz val="4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</si>
  <si>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Harmony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</si>
  <si>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Binds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</si>
  <si>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Capote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IS</t>
    </r>
  </si>
  <si>
    <r>
      <rPr>
        <rFont val="Arial"/>
        <color theme="1"/>
        <sz val="8.0"/>
      </rPr>
      <t>Lantern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</si>
  <si>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t>Season 12</t>
  </si>
  <si>
    <r>
      <rPr>
        <rFont val="Arial"/>
        <color theme="1"/>
        <sz val="8.0"/>
      </rPr>
      <t>Lantern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</si>
  <si>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6.0"/>
      </rPr>
      <t>Suddenly, One 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</si>
  <si>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Magic Bullet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</si>
  <si>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7.0"/>
      </rPr>
      <t>Unbrilliant Glory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</si>
  <si>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5.0"/>
      </rPr>
      <t>Effervescent Corrosion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</si>
  <si>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9:2 </t>
    </r>
    <r>
      <rPr>
        <rFont val="Arial"/>
        <color theme="1"/>
        <sz val="8.0"/>
      </rPr>
      <t>SC</t>
    </r>
  </si>
  <si>
    <t>ZAYIN TS3, TS4</t>
  </si>
  <si>
    <r>
      <rPr>
        <rFont val="Arial"/>
        <color theme="1"/>
        <sz val="8.0"/>
      </rPr>
      <t>AEDD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</si>
  <si>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8.0"/>
      </rPr>
      <t>Impending 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</si>
  <si>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6.0"/>
      </rPr>
      <t>Dimension Shredder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</si>
  <si>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7.0"/>
      </rPr>
      <t>Lifetime Stew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</si>
  <si>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Ebony Stem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</si>
  <si>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t>TETH TS3, TS4</t>
  </si>
  <si>
    <r>
      <rPr>
        <rFont val="Arial"/>
        <color theme="1"/>
        <sz val="8.0"/>
      </rPr>
      <t>Hex Nail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SC</t>
    </r>
  </si>
  <si>
    <r>
      <rPr>
        <rFont val="Arial"/>
        <color theme="1"/>
        <sz val="8.0"/>
      </rPr>
      <t>Holiday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</si>
  <si>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8.0"/>
      </rPr>
      <t>Sunshower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OT</t>
    </r>
  </si>
  <si>
    <r>
      <rPr>
        <rFont val="Arial"/>
        <color theme="1"/>
        <sz val="6.0"/>
      </rPr>
      <t>Christmas Nightmare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</si>
  <si>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t>HE TS3, TS4</t>
  </si>
  <si>
    <r>
      <rPr>
        <rFont val="Arial"/>
        <color theme="1"/>
        <sz val="7.0"/>
      </rPr>
      <t>Solemn Lament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</si>
  <si>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r>
      <rPr>
        <rFont val="Arial"/>
        <color theme="1"/>
        <sz val="7.0"/>
      </rPr>
      <t>Bygone Days</t>
    </r>
    <r>
      <rPr>
        <rFont val="Arial"/>
        <color theme="1"/>
        <sz val="9.0"/>
      </rPr>
      <t xml:space="preserve"> </t>
    </r>
    <r>
      <rPr>
        <rFont val="Arial"/>
        <color theme="1"/>
        <sz val="8.0"/>
      </rPr>
      <t>GG</t>
    </r>
  </si>
  <si>
    <t>WAW TS3, TS4</t>
  </si>
  <si>
    <t>Exp</t>
  </si>
  <si>
    <t>Total Exp</t>
  </si>
  <si>
    <t>ID Level</t>
  </si>
  <si>
    <t>Exp Requirement Per ID Level</t>
  </si>
  <si>
    <t>Total XP Requirement for Each ID Level</t>
  </si>
  <si>
    <t>Exp Requirement for each Manager Level</t>
  </si>
  <si>
    <t>Max Enkephalin per Manager Level</t>
  </si>
  <si>
    <t>Max Enkephalin Increased per Manager Level</t>
  </si>
  <si>
    <t>Regular Check Up</t>
  </si>
  <si>
    <t>Field Team</t>
  </si>
  <si>
    <t>Support Team</t>
  </si>
  <si>
    <t>7.5-6</t>
  </si>
  <si>
    <r>
      <rPr>
        <rFont val="Arial"/>
        <color theme="1"/>
        <sz val="9.0"/>
      </rPr>
      <t xml:space="preserve">Full-Stop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</si>
  <si>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</si>
  <si>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</si>
  <si>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</si>
  <si>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</si>
  <si>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</si>
  <si>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 Support</t>
    </r>
  </si>
  <si>
    <r>
      <rPr>
        <rFont val="Arial"/>
        <color theme="1"/>
        <sz val="9.0"/>
      </rPr>
      <t xml:space="preserve">Wild Hunt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</si>
  <si>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</si>
  <si>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Princess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</si>
  <si>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</si>
  <si>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</si>
  <si>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t>7.5-7</t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</si>
  <si>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</si>
  <si>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</si>
  <si>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</si>
  <si>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</si>
  <si>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</si>
  <si>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</si>
  <si>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t>Firefist GG Support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</si>
  <si>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</si>
  <si>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</si>
  <si>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</si>
  <si>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</si>
  <si>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</si>
  <si>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t>7.5-8</t>
  </si>
  <si>
    <r>
      <rPr>
        <rFont val="Arial"/>
        <color theme="1"/>
        <sz val="9.0"/>
      </rPr>
      <t xml:space="preserve">Solemn Lament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</si>
  <si>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</si>
  <si>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</si>
  <si>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</si>
  <si>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</si>
  <si>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Tingtang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</si>
  <si>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Wild Hunt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</si>
  <si>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</si>
  <si>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</si>
  <si>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</si>
  <si>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</si>
  <si>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Lamp </t>
    </r>
    <r>
      <rPr>
        <rFont val="Arial"/>
        <color theme="1"/>
        <sz val="8.0"/>
      </rPr>
      <t>GG</t>
    </r>
  </si>
  <si>
    <t>7.5-9</t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</si>
  <si>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</si>
  <si>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Solemn Lament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</si>
  <si>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</si>
  <si>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T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</si>
  <si>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</si>
  <si>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D20 </t>
    </r>
    <r>
      <rPr>
        <rFont val="Arial"/>
        <color theme="1"/>
        <sz val="8.0"/>
      </rPr>
      <t>HL</t>
    </r>
  </si>
  <si>
    <r>
      <rPr>
        <rFont val="Arial"/>
        <color rgb="FFFFFF00"/>
        <sz val="9.0"/>
      </rPr>
      <t>Tremor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Sinking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</si>
  <si>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</si>
  <si>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Wild Hunt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</si>
  <si>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</si>
  <si>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Thumb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</si>
  <si>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</si>
  <si>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</si>
  <si>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t>7.5-10</t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</si>
  <si>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</si>
  <si>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</si>
  <si>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</si>
  <si>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</si>
  <si>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</si>
  <si>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Tingtang </t>
    </r>
    <r>
      <rPr>
        <rFont val="Arial"/>
        <color theme="1"/>
        <sz val="8.0"/>
      </rPr>
      <t>HL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</si>
  <si>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FF"/>
        <sz val="9.0"/>
      </rPr>
      <t>Sinking</t>
    </r>
  </si>
  <si>
    <r>
      <rPr>
        <rFont val="Arial"/>
        <color theme="1"/>
        <sz val="9.0"/>
      </rPr>
      <t xml:space="preserve">Wild Hunt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</si>
  <si>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</si>
  <si>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</si>
  <si>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</si>
  <si>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</si>
  <si>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Lamp </t>
    </r>
    <r>
      <rPr>
        <rFont val="Arial"/>
        <color theme="1"/>
        <sz val="8.0"/>
      </rPr>
      <t>GG</t>
    </r>
  </si>
  <si>
    <t>7.5-11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</si>
  <si>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</si>
  <si>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</si>
  <si>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t>M.I.A</t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</si>
  <si>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</si>
  <si>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</si>
  <si>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</si>
  <si>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00"/>
        <sz val="9.0"/>
      </rPr>
      <t>Rupture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</si>
  <si>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</si>
  <si>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</si>
  <si>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</si>
  <si>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</si>
  <si>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</si>
  <si>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</si>
  <si>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t>7.5-Bokgak</t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</si>
  <si>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</si>
  <si>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</si>
  <si>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</si>
  <si>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</si>
  <si>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</si>
  <si>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Full-Stop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</si>
  <si>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Wild Hunt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</si>
  <si>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</si>
  <si>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</si>
  <si>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 Support</t>
    </r>
  </si>
  <si>
    <r>
      <rPr>
        <rFont val="Arial"/>
        <color theme="1"/>
        <sz val="9.0"/>
      </rPr>
      <t xml:space="preserve">Udjat </t>
    </r>
    <r>
      <rPr>
        <rFont val="Arial"/>
        <color theme="1"/>
        <sz val="8.0"/>
      </rPr>
      <t>OT</t>
    </r>
  </si>
  <si>
    <t>Nocturnal Sweeping</t>
  </si>
  <si>
    <t>7.5-16, 18, 19, 24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</si>
  <si>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</si>
  <si>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</si>
  <si>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</si>
  <si>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</si>
  <si>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</si>
  <si>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MS</t>
    </r>
  </si>
  <si>
    <r>
      <rPr>
        <rFont val="Arial"/>
        <color rgb="FF00FF00"/>
        <sz val="9.0"/>
      </rPr>
      <t>Rupture</t>
    </r>
    <r>
      <rPr>
        <rFont val="Arial"/>
        <color rgb="FF000000"/>
        <sz val="9.0"/>
      </rPr>
      <t xml:space="preserve"> - </t>
    </r>
    <r>
      <rPr>
        <rFont val="Arial"/>
        <color rgb="FF9900FF"/>
        <sz val="9.0"/>
      </rPr>
      <t>Middle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</si>
  <si>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</si>
  <si>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</si>
  <si>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</si>
  <si>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</si>
  <si>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</si>
  <si>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</si>
  <si>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t>7.5-22, 23</t>
  </si>
  <si>
    <t>Dead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</si>
  <si>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</si>
  <si>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</si>
  <si>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</si>
  <si>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</si>
  <si>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</si>
  <si>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</si>
  <si>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</si>
  <si>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</si>
  <si>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</si>
  <si>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</si>
  <si>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</si>
  <si>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</si>
  <si>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t>7.5-2-Bokgak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</si>
  <si>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</si>
  <si>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</si>
  <si>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</si>
  <si>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</si>
  <si>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</si>
  <si>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</si>
  <si>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rgb="FF00FF00"/>
        <sz val="9.0"/>
      </rPr>
      <t>Rupture</t>
    </r>
    <r>
      <rPr>
        <rFont val="Arial"/>
        <color rgb="FF000000"/>
        <sz val="9.0"/>
      </rPr>
      <t xml:space="preserve"> - </t>
    </r>
    <r>
      <rPr>
        <rFont val="Arial"/>
        <color rgb="FF9900FF"/>
        <sz val="9.0"/>
      </rPr>
      <t>Middle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</si>
  <si>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</si>
  <si>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</si>
  <si>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</si>
  <si>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</si>
  <si>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</si>
  <si>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</si>
  <si>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t>Ricardo Reflectrials</t>
  </si>
  <si>
    <t>Phase 1</t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</si>
  <si>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</si>
  <si>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</si>
  <si>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</si>
  <si>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Base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</si>
  <si>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</si>
  <si>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</si>
  <si>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</si>
  <si>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</si>
  <si>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</si>
  <si>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</si>
  <si>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</si>
  <si>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LCCB </t>
    </r>
    <r>
      <rPr>
        <rFont val="Arial"/>
        <color theme="1"/>
        <sz val="8.0"/>
      </rPr>
      <t>RD</t>
    </r>
  </si>
  <si>
    <t>Phase 2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</si>
  <si>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</si>
  <si>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</si>
  <si>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</si>
  <si>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</si>
  <si>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</si>
  <si>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</si>
  <si>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</si>
  <si>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</si>
  <si>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</si>
  <si>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</si>
  <si>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</si>
  <si>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</si>
  <si>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t>Spring Cultivation</t>
  </si>
  <si>
    <t>8.5-Stages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</si>
  <si>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</si>
  <si>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</si>
  <si>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</si>
  <si>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</si>
  <si>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</si>
  <si>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Night Drifter </t>
    </r>
    <r>
      <rPr>
        <rFont val="Arial"/>
        <color theme="1"/>
        <sz val="8.0"/>
      </rPr>
      <t>MS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</si>
  <si>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00"/>
        <sz val="9.0"/>
      </rPr>
      <t>Rupture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</si>
  <si>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</si>
  <si>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</si>
  <si>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</si>
  <si>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</si>
  <si>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</si>
  <si>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</si>
  <si>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t>8.5-Bokgak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</si>
  <si>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</si>
  <si>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</si>
  <si>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</si>
  <si>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</si>
  <si>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Night Drifter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</si>
  <si>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</si>
  <si>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00"/>
        <sz val="9.0"/>
      </rPr>
      <t>Rupture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</si>
  <si>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</si>
  <si>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</si>
  <si>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</si>
  <si>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</si>
  <si>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</si>
  <si>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</si>
  <si>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t>Twining Threads</t>
  </si>
  <si>
    <t>9.5-Stages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</si>
  <si>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</si>
  <si>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</si>
  <si>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</si>
  <si>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</si>
  <si>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</si>
  <si>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</si>
  <si>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rgb="FFFF9900"/>
        <sz val="9.0"/>
      </rPr>
      <t>Bleed</t>
    </r>
    <r>
      <rPr>
        <rFont val="Arial"/>
        <color theme="1"/>
        <sz val="9.0"/>
      </rPr>
      <t xml:space="preserve"> </t>
    </r>
    <r>
      <rPr>
        <rFont val="Arial"/>
        <color rgb="FFB45F06"/>
        <sz val="9.0"/>
      </rPr>
      <t>Ring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</si>
  <si>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</si>
  <si>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</si>
  <si>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Kurokumo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</si>
  <si>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Kurokumo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</si>
  <si>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</si>
  <si>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OT</t>
    </r>
  </si>
  <si>
    <t>9.5-Bokgak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</si>
  <si>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</si>
  <si>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</si>
  <si>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</si>
  <si>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</si>
  <si>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</si>
  <si>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</si>
  <si>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rgb="FFFF9900"/>
        <sz val="9.0"/>
      </rPr>
      <t>Bleed</t>
    </r>
    <r>
      <rPr>
        <rFont val="Arial"/>
        <color theme="1"/>
        <sz val="9.0"/>
      </rPr>
      <t xml:space="preserve"> </t>
    </r>
    <r>
      <rPr>
        <rFont val="Arial"/>
        <color rgb="FFB45F06"/>
        <sz val="9.0"/>
      </rPr>
      <t>Ring</t>
    </r>
  </si>
  <si>
    <r>
      <rPr>
        <rFont val="Arial"/>
        <color theme="1"/>
        <sz val="9.0"/>
      </rPr>
      <t xml:space="preserve">Kurokumo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</si>
  <si>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Kurokumo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</si>
  <si>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</si>
  <si>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</si>
  <si>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</si>
  <si>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GG</t>
    </r>
  </si>
  <si>
    <t>Rufo Reflectrials</t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</si>
  <si>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</si>
  <si>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</si>
  <si>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</si>
  <si>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</si>
  <si>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</si>
  <si>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Awe </t>
    </r>
    <r>
      <rPr>
        <rFont val="Arial"/>
        <color theme="1"/>
        <sz val="8.0"/>
      </rPr>
      <t>RS</t>
    </r>
  </si>
  <si>
    <r>
      <rPr>
        <rFont val="Arial"/>
        <color rgb="FFFF9900"/>
        <sz val="9.0"/>
      </rPr>
      <t>Bleed</t>
    </r>
    <r>
      <rPr>
        <rFont val="Arial"/>
        <color rgb="FF000000"/>
        <sz val="9.0"/>
      </rPr>
      <t xml:space="preserve"> </t>
    </r>
    <r>
      <rPr>
        <rFont val="Arial"/>
        <color rgb="FFE69138"/>
        <sz val="9.0"/>
      </rPr>
      <t>Ring</t>
    </r>
  </si>
  <si>
    <r>
      <rPr>
        <rFont val="Arial"/>
        <color theme="1"/>
        <sz val="9.0"/>
      </rPr>
      <t xml:space="preserve">Kurokumo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</si>
  <si>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Kurokumo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</si>
  <si>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</si>
  <si>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</si>
  <si>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</si>
  <si>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</si>
  <si>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</si>
  <si>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Index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</si>
  <si>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FA&amp;S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</si>
  <si>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</si>
  <si>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Cinq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</si>
  <si>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R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</si>
  <si>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</si>
  <si>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Hanafuda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</si>
  <si>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KoD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</si>
  <si>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AEDD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</si>
  <si>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Mariachi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</si>
  <si>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WH </t>
    </r>
    <r>
      <rPr>
        <rFont val="Arial"/>
        <color theme="1"/>
        <sz val="8.0"/>
      </rPr>
      <t>OT</t>
    </r>
  </si>
  <si>
    <t>Mnestic Experience</t>
  </si>
  <si>
    <t>9.5-2-Stages</t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</si>
  <si>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</si>
  <si>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</si>
  <si>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</si>
  <si>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</si>
  <si>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</si>
  <si>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</si>
  <si>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</si>
  <si>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LCD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</si>
  <si>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</si>
  <si>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</si>
  <si>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</si>
  <si>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OT</t>
    </r>
  </si>
  <si>
    <t>9.5-2-Bokgak</t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</si>
  <si>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</si>
  <si>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</si>
  <si>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</si>
  <si>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</si>
  <si>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</si>
  <si>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</si>
  <si>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</si>
  <si>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LCD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</si>
  <si>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</si>
  <si>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</si>
  <si>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BL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</si>
  <si>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</si>
  <si>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t>??? Reflectrials</t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</si>
  <si>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</si>
  <si>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</si>
  <si>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Lord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</si>
  <si>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DQ</t>
    </r>
  </si>
  <si>
    <r>
      <rPr>
        <rFont val="Arial"/>
        <color theme="1"/>
        <sz val="9.0"/>
      </rPr>
      <t xml:space="preserve">Daiyu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</si>
  <si>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Night Drifter </t>
    </r>
    <r>
      <rPr>
        <rFont val="Arial"/>
        <color theme="1"/>
        <sz val="8.0"/>
      </rPr>
      <t>MS</t>
    </r>
  </si>
  <si>
    <r>
      <rPr>
        <rFont val="Arial"/>
        <color rgb="FF0000FF"/>
        <sz val="9.0"/>
      </rPr>
      <t>Poise</t>
    </r>
    <r>
      <rPr>
        <rFont val="Arial"/>
        <color theme="1"/>
        <sz val="9.0"/>
      </rPr>
      <t xml:space="preserve"> </t>
    </r>
    <r>
      <rPr>
        <rFont val="Arial"/>
        <color rgb="FF00FF00"/>
        <sz val="9.0"/>
      </rPr>
      <t>Rupture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</si>
  <si>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</si>
  <si>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Xichun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</si>
  <si>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</si>
  <si>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GG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</si>
  <si>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</si>
  <si>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Heishou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</si>
  <si>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LCE </t>
    </r>
    <r>
      <rPr>
        <rFont val="Arial"/>
        <color theme="1"/>
        <sz val="8.0"/>
      </rPr>
      <t>FT</t>
    </r>
  </si>
  <si>
    <r>
      <rPr>
        <rFont val="Arial"/>
        <color theme="1"/>
        <sz val="9.0"/>
      </rPr>
      <t xml:space="preserve">Araya </t>
    </r>
    <r>
      <rPr>
        <rFont val="Arial"/>
        <color theme="1"/>
        <sz val="8.0"/>
      </rPr>
      <t>RS</t>
    </r>
  </si>
  <si>
    <r>
      <rPr>
        <rFont val="Arial"/>
        <color theme="1"/>
        <sz val="9.0"/>
      </rPr>
      <t xml:space="preserve">Hornet </t>
    </r>
    <r>
      <rPr>
        <rFont val="Arial"/>
        <color theme="1"/>
        <sz val="8.0"/>
      </rPr>
      <t>MS</t>
    </r>
  </si>
  <si>
    <r>
      <rPr>
        <rFont val="Arial"/>
        <color theme="1"/>
        <sz val="9.0"/>
      </rPr>
      <t xml:space="preserve">S Corp </t>
    </r>
    <r>
      <rPr>
        <rFont val="Arial"/>
        <color theme="1"/>
        <sz val="8.0"/>
      </rPr>
      <t>HL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</si>
  <si>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YS</t>
    </r>
  </si>
  <si>
    <r>
      <rPr>
        <rFont val="Arial"/>
        <color theme="1"/>
        <sz val="9.0"/>
      </rPr>
      <t xml:space="preserve">Mancha </t>
    </r>
    <r>
      <rPr>
        <rFont val="Arial"/>
        <color theme="1"/>
        <sz val="8.0"/>
      </rPr>
      <t>DQ</t>
    </r>
  </si>
  <si>
    <r>
      <rPr>
        <rFont val="Arial"/>
        <color rgb="FFFF0000"/>
        <sz val="9.0"/>
      </rPr>
      <t>Burn</t>
    </r>
    <r>
      <rPr>
        <rFont val="Arial"/>
        <color theme="1"/>
        <sz val="9.0"/>
      </rPr>
      <t xml:space="preserve"> </t>
    </r>
    <r>
      <rPr>
        <rFont val="Arial"/>
        <color rgb="FFFF9900"/>
        <sz val="9.0"/>
      </rPr>
      <t>Bleed</t>
    </r>
    <r>
      <rPr>
        <rFont val="Arial"/>
        <color theme="1"/>
        <sz val="9.0"/>
      </rPr>
      <t>?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</si>
  <si>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HC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</si>
  <si>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IS</t>
    </r>
  </si>
  <si>
    <r>
      <rPr>
        <rFont val="Arial"/>
        <color theme="1"/>
        <sz val="9.0"/>
      </rPr>
      <t xml:space="preserve">Middle </t>
    </r>
    <r>
      <rPr>
        <rFont val="Arial"/>
        <color theme="1"/>
        <sz val="8.0"/>
      </rPr>
      <t>OT</t>
    </r>
  </si>
  <si>
    <r>
      <rPr>
        <rFont val="Arial"/>
        <color theme="1"/>
        <sz val="9.0"/>
      </rPr>
      <t xml:space="preserve">Ring </t>
    </r>
    <r>
      <rPr>
        <rFont val="Arial"/>
        <color theme="1"/>
        <sz val="8.0"/>
      </rPr>
      <t>RD</t>
    </r>
  </si>
  <si>
    <r>
      <rPr>
        <rFont val="Arial"/>
        <color theme="1"/>
        <sz val="9.0"/>
      </rPr>
      <t xml:space="preserve">Pinky </t>
    </r>
    <r>
      <rPr>
        <rFont val="Arial"/>
        <color theme="1"/>
        <sz val="8.0"/>
      </rPr>
      <t>SC</t>
    </r>
  </si>
  <si>
    <r>
      <rPr>
        <rFont val="Arial"/>
        <color theme="1"/>
        <sz val="9.0"/>
      </rPr>
      <t xml:space="preserve">Night Awl </t>
    </r>
    <r>
      <rPr>
        <rFont val="Arial"/>
        <color theme="1"/>
        <sz val="8.0"/>
      </rPr>
      <t>GG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</si>
</sst>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???/51"/>
    <numFmt numFmtId="166" formatCode="???/118"/>
    <numFmt numFmtId="167" formatCode="???/169"/>
    <numFmt numFmtId="168" formatCode="???/109"/>
    <numFmt numFmtId="169" formatCode="dd&quot;/&quot;mm&quot;/&quot;yyyy"/>
  </numFmts>
  <fonts count="95">
    <font>
      <sz val="10.0"/>
      <color rgb="FF000000"/>
      <name val="Arial"/>
      <scheme val="minor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  <scheme val="minor"/>
    </font>
    <font>
      <sz val="5.0"/>
      <color theme="1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  <font>
      <b/>
      <sz val="9.0"/>
      <color rgb="FF76A5AF"/>
      <name val="Arial"/>
      <scheme val="minor"/>
    </font>
    <font>
      <b/>
      <sz val="9.0"/>
      <color rgb="FFCFE2F3"/>
      <name val="Arial"/>
      <scheme val="minor"/>
    </font>
    <font>
      <b/>
      <sz val="9.0"/>
      <color rgb="FFFFFF00"/>
      <name val="Arial"/>
      <scheme val="minor"/>
    </font>
    <font>
      <b/>
      <sz val="9.0"/>
      <color rgb="FFFF0000"/>
      <name val="Arial"/>
      <scheme val="minor"/>
    </font>
    <font>
      <b/>
      <sz val="9.0"/>
      <color rgb="FF00FFFF"/>
      <name val="Arial"/>
      <scheme val="minor"/>
    </font>
    <font>
      <sz val="9.0"/>
      <color rgb="FF00FFFF"/>
      <name val="Arial"/>
      <scheme val="minor"/>
    </font>
    <font>
      <sz val="9.0"/>
      <color rgb="FFFF9900"/>
      <name val="Arial"/>
      <scheme val="minor"/>
    </font>
    <font>
      <b/>
      <sz val="9.0"/>
      <color rgb="FFFF9900"/>
      <name val="Arial"/>
      <scheme val="minor"/>
    </font>
    <font>
      <sz val="9.0"/>
      <color rgb="FFF3F3F3"/>
      <name val="Arial"/>
      <scheme val="minor"/>
    </font>
    <font>
      <b/>
      <sz val="9.0"/>
      <color rgb="FF9900FF"/>
      <name val="Arial"/>
      <scheme val="minor"/>
    </font>
    <font>
      <sz val="9.0"/>
      <color rgb="FFFFFF00"/>
      <name val="Arial"/>
      <scheme val="minor"/>
    </font>
    <font>
      <sz val="9.0"/>
      <color rgb="FFFF0000"/>
      <name val="Arial"/>
      <scheme val="minor"/>
    </font>
    <font>
      <sz val="9.0"/>
      <color rgb="FF9900FF"/>
      <name val="Arial"/>
      <scheme val="minor"/>
    </font>
    <font>
      <sz val="9.0"/>
      <color rgb="FFFFFFFF"/>
      <name val="Arial"/>
      <scheme val="minor"/>
    </font>
    <font>
      <sz val="10.0"/>
      <color rgb="FFD92A2A"/>
      <name val="Arial"/>
      <scheme val="minor"/>
    </font>
    <font>
      <sz val="10.0"/>
      <color rgb="FFF4CCCC"/>
      <name val="Arial"/>
      <scheme val="minor"/>
    </font>
    <font>
      <sz val="10.0"/>
      <color rgb="FF1C4587"/>
      <name val="Arial"/>
      <scheme val="minor"/>
    </font>
    <font>
      <sz val="10.0"/>
      <color rgb="FF073763"/>
      <name val="Arial"/>
      <scheme val="minor"/>
    </font>
    <font>
      <sz val="10.0"/>
      <color rgb="FF351C75"/>
      <name val="Arial"/>
      <scheme val="minor"/>
    </font>
    <font>
      <sz val="10.0"/>
      <color rgb="FF20124D"/>
      <name val="Arial"/>
      <scheme val="minor"/>
    </font>
    <font>
      <sz val="10.0"/>
      <color rgb="FFFFFFFF"/>
      <name val="Arial"/>
      <scheme val="minor"/>
    </font>
    <font>
      <sz val="10.0"/>
      <color rgb="FF134F5C"/>
      <name val="Arial"/>
      <scheme val="minor"/>
    </font>
    <font>
      <sz val="10.0"/>
      <color rgb="FFF3F3F3"/>
      <name val="Arial"/>
      <scheme val="minor"/>
    </font>
    <font>
      <sz val="10.0"/>
      <color rgb="FFFCE5CD"/>
      <name val="Arial"/>
      <scheme val="minor"/>
    </font>
    <font>
      <sz val="9.0"/>
      <color rgb="FFD92A2A"/>
      <name val="Arial"/>
      <scheme val="minor"/>
    </font>
    <font>
      <sz val="9.0"/>
      <color rgb="FFF4CCCC"/>
      <name val="Arial"/>
      <scheme val="minor"/>
    </font>
    <font>
      <sz val="9.0"/>
      <color rgb="FF1C4587"/>
      <name val="Arial"/>
      <scheme val="minor"/>
    </font>
    <font>
      <sz val="9.0"/>
      <color rgb="FF073763"/>
      <name val="Arial"/>
      <scheme val="minor"/>
    </font>
    <font>
      <sz val="9.0"/>
      <color rgb="FF351C75"/>
      <name val="Arial"/>
      <scheme val="minor"/>
    </font>
    <font>
      <sz val="9.0"/>
      <color rgb="FF20124D"/>
      <name val="Arial"/>
      <scheme val="minor"/>
    </font>
    <font>
      <sz val="9.0"/>
      <color rgb="FF134F5C"/>
      <name val="Arial"/>
      <scheme val="minor"/>
    </font>
    <font>
      <sz val="9.0"/>
      <color rgb="FFEFEFEF"/>
      <name val="Arial"/>
      <scheme val="minor"/>
    </font>
    <font>
      <sz val="9.0"/>
      <color rgb="FFFCE5CD"/>
      <name val="Arial"/>
      <scheme val="minor"/>
    </font>
    <font>
      <i/>
      <sz val="8.0"/>
      <color theme="1"/>
      <name val="Arial"/>
      <scheme val="minor"/>
    </font>
    <font>
      <i/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7.0"/>
      <color theme="1"/>
      <name val="Arial"/>
      <scheme val="minor"/>
    </font>
    <font>
      <b/>
      <sz val="8.0"/>
      <color theme="1"/>
      <name val="Arial"/>
      <scheme val="minor"/>
    </font>
    <font>
      <sz val="6.0"/>
      <color theme="1"/>
      <name val="Arial"/>
      <scheme val="minor"/>
    </font>
    <font>
      <sz val="9.0"/>
      <color rgb="FF00FF00"/>
      <name val="Arial"/>
      <scheme val="minor"/>
    </font>
    <font>
      <sz val="9.0"/>
      <color rgb="FF0000FF"/>
      <name val="Arial"/>
      <scheme val="minor"/>
    </font>
    <font>
      <sz val="9.0"/>
      <color rgb="FFFF00FF"/>
      <name val="Arial"/>
      <scheme val="minor"/>
    </font>
    <font>
      <sz val="9.0"/>
      <color rgb="FF980000"/>
      <name val="Arial"/>
      <scheme val="minor"/>
    </font>
    <font>
      <sz val="7.0"/>
      <color rgb="FFD92A2A"/>
      <name val="Arial"/>
      <scheme val="minor"/>
    </font>
    <font>
      <sz val="9.0"/>
      <color rgb="FFF1C232"/>
      <name val="Arial"/>
      <scheme val="minor"/>
    </font>
    <font>
      <sz val="7.0"/>
      <color rgb="FFFFFFFF"/>
      <name val="Arial"/>
      <scheme val="minor"/>
    </font>
    <font>
      <sz val="7.0"/>
      <color rgb="FFF4CCCC"/>
      <name val="Arial"/>
      <scheme val="minor"/>
    </font>
    <font>
      <sz val="7.0"/>
      <color rgb="FF1C4587"/>
      <name val="Arial"/>
      <scheme val="minor"/>
    </font>
    <font>
      <sz val="9.0"/>
      <color rgb="FF7F6000"/>
      <name val="Arial"/>
      <scheme val="minor"/>
    </font>
    <font>
      <sz val="7.0"/>
      <color rgb="FF073763"/>
      <name val="Arial"/>
      <scheme val="minor"/>
    </font>
    <font>
      <sz val="7.0"/>
      <color rgb="FF351C75"/>
      <name val="Arial"/>
      <scheme val="minor"/>
    </font>
    <font>
      <sz val="9.0"/>
      <color rgb="FF274E13"/>
      <name val="Arial"/>
      <scheme val="minor"/>
    </font>
    <font>
      <sz val="7.0"/>
      <color rgb="FF20124D"/>
      <name val="Arial"/>
      <scheme val="minor"/>
    </font>
    <font>
      <b/>
      <sz val="9.0"/>
      <color rgb="FF980000"/>
      <name val="Arial"/>
      <scheme val="minor"/>
    </font>
    <font>
      <sz val="7.0"/>
      <color rgb="FF134F5C"/>
      <name val="Arial"/>
      <scheme val="minor"/>
    </font>
    <font>
      <b/>
      <i/>
      <sz val="9.0"/>
      <color rgb="FF980000"/>
      <name val="Arial"/>
      <scheme val="minor"/>
    </font>
    <font>
      <sz val="7.0"/>
      <color rgb="FFF3F3F3"/>
      <name val="Arial"/>
      <scheme val="minor"/>
    </font>
    <font>
      <b/>
      <sz val="9.0"/>
      <color rgb="FFF1C232"/>
      <name val="Arial"/>
      <scheme val="minor"/>
    </font>
    <font>
      <sz val="8.0"/>
      <color rgb="FFFFFFFF"/>
      <name val="Arial"/>
      <scheme val="minor"/>
    </font>
    <font>
      <sz val="7.0"/>
      <color rgb="FFFCE5CD"/>
      <name val="Arial"/>
      <scheme val="minor"/>
    </font>
    <font>
      <b/>
      <i/>
      <sz val="9.0"/>
      <color rgb="FFF1C232"/>
      <name val="Arial"/>
      <scheme val="minor"/>
    </font>
    <font>
      <b/>
      <sz val="9.0"/>
      <color rgb="FF7F6000"/>
      <name val="Arial"/>
      <scheme val="minor"/>
    </font>
    <font>
      <b/>
      <i/>
      <sz val="9.0"/>
      <color rgb="FF7F6000"/>
      <name val="Arial"/>
      <scheme val="minor"/>
    </font>
    <font>
      <b/>
      <sz val="9.0"/>
      <color rgb="FF274E13"/>
      <name val="Arial"/>
      <scheme val="minor"/>
    </font>
    <font>
      <b/>
      <i/>
      <sz val="9.0"/>
      <color rgb="FF274E13"/>
      <name val="Arial"/>
      <scheme val="minor"/>
    </font>
    <font>
      <i/>
      <sz val="9.0"/>
      <color rgb="FF980000"/>
      <name val="Arial"/>
    </font>
    <font>
      <i/>
      <sz val="9.0"/>
      <color rgb="FF980000"/>
      <name val="Arial"/>
      <scheme val="minor"/>
    </font>
    <font>
      <i/>
      <sz val="9.0"/>
      <color rgb="FFF1C232"/>
      <name val="Arial"/>
    </font>
    <font>
      <i/>
      <sz val="9.0"/>
      <color rgb="FFF1C232"/>
      <name val="Arial"/>
      <scheme val="minor"/>
    </font>
    <font>
      <i/>
      <sz val="9.0"/>
      <color rgb="FF7F6000"/>
      <name val="Arial"/>
    </font>
    <font>
      <i/>
      <sz val="9.0"/>
      <color rgb="FF7F6000"/>
      <name val="Arial"/>
      <scheme val="minor"/>
    </font>
    <font>
      <i/>
      <sz val="9.0"/>
      <color rgb="FF274E13"/>
      <name val="Arial"/>
    </font>
    <font>
      <i/>
      <sz val="9.0"/>
      <color rgb="FF274E13"/>
      <name val="Arial"/>
      <scheme val="minor"/>
    </font>
    <font>
      <i/>
      <sz val="9.0"/>
      <color rgb="FF0000FF"/>
      <name val="Arial"/>
      <scheme val="minor"/>
    </font>
    <font>
      <sz val="8.0"/>
      <color rgb="FFFF00FF"/>
      <name val="Arial"/>
      <scheme val="minor"/>
    </font>
    <font>
      <i/>
      <sz val="9.0"/>
      <color rgb="FFFF00FF"/>
      <name val="Arial"/>
      <scheme val="minor"/>
    </font>
    <font>
      <sz val="9.0"/>
      <color rgb="FF38761D"/>
      <name val="Arial"/>
      <scheme val="minor"/>
    </font>
    <font>
      <sz val="9.0"/>
      <color rgb="FF4A86E8"/>
      <name val="Arial"/>
      <scheme val="minor"/>
    </font>
    <font>
      <sz val="8.0"/>
      <color rgb="FF00FF00"/>
      <name val="Arial"/>
      <scheme val="minor"/>
    </font>
    <font>
      <sz val="9.0"/>
      <color rgb="FFC9DAF8"/>
      <name val="Arial"/>
      <scheme val="minor"/>
    </font>
    <font>
      <sz val="9.0"/>
      <color rgb="FF0C343D"/>
      <name val="Arial"/>
      <scheme val="minor"/>
    </font>
    <font>
      <sz val="9.0"/>
      <color rgb="FFD9D9D9"/>
      <name val="Arial"/>
      <scheme val="minor"/>
    </font>
    <font>
      <sz val="8.0"/>
      <color rgb="FFFFFF00"/>
      <name val="Arial"/>
      <scheme val="minor"/>
    </font>
    <font>
      <sz val="9.0"/>
      <color theme="1"/>
      <name val="Arial"/>
    </font>
    <font>
      <color rgb="FFFFFFFF"/>
      <name val="Arial"/>
      <scheme val="minor"/>
    </font>
    <font>
      <sz val="9.0"/>
      <color rgb="FF6AA84F"/>
      <name val="Arial"/>
      <scheme val="minor"/>
    </font>
    <font>
      <sz val="9.0"/>
      <color rgb="FFE69138"/>
      <name val="Arial"/>
      <scheme val="minor"/>
    </font>
  </fonts>
  <fills count="5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43"/>
        <bgColor rgb="FFFFF24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2CFCB"/>
        <bgColor rgb="FF02CFCB"/>
      </patternFill>
    </fill>
    <fill>
      <patternFill patternType="solid">
        <fgColor rgb="FFFFC000"/>
        <bgColor rgb="FFFFC000"/>
      </patternFill>
    </fill>
    <fill>
      <patternFill patternType="solid">
        <fgColor rgb="FFBDBDBD"/>
        <bgColor rgb="FFBDBDBD"/>
      </patternFill>
    </fill>
    <fill>
      <patternFill patternType="solid">
        <fgColor rgb="FFC87329"/>
        <bgColor rgb="FFC87329"/>
      </patternFill>
    </fill>
    <fill>
      <patternFill patternType="solid">
        <fgColor rgb="FFA61C00"/>
        <bgColor rgb="FFA61C00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8EAED"/>
        <bgColor rgb="FFE8EAED"/>
      </patternFill>
    </fill>
    <fill>
      <patternFill patternType="solid">
        <fgColor rgb="FFFFCFC9"/>
        <bgColor rgb="FFFFCFC9"/>
      </patternFill>
    </fill>
    <fill>
      <patternFill patternType="solid">
        <fgColor rgb="FFFFE5A0"/>
        <bgColor rgb="FFFFE5A0"/>
      </patternFill>
    </fill>
    <fill>
      <patternFill patternType="solid">
        <fgColor rgb="FFD82E2E"/>
        <bgColor rgb="FFD82E2E"/>
      </patternFill>
    </fill>
    <fill>
      <patternFill patternType="solid">
        <fgColor rgb="FFBFE1F6"/>
        <bgColor rgb="FFBFE1F6"/>
      </patternFill>
    </fill>
    <fill>
      <patternFill patternType="solid">
        <fgColor rgb="FFC6DBE1"/>
        <bgColor rgb="FFC6DBE1"/>
      </patternFill>
    </fill>
    <fill>
      <patternFill patternType="solid">
        <fgColor rgb="FFE6CFF2"/>
        <bgColor rgb="FFE6CFF2"/>
      </patternFill>
    </fill>
    <fill>
      <patternFill patternType="solid">
        <fgColor rgb="FFFFC076"/>
        <bgColor rgb="FFFFC076"/>
      </patternFill>
    </fill>
    <fill>
      <patternFill patternType="solid">
        <fgColor rgb="FFA22323"/>
        <bgColor rgb="FFA22323"/>
      </patternFill>
    </fill>
    <fill>
      <patternFill patternType="solid">
        <fgColor rgb="FFD4EDBC"/>
        <bgColor rgb="FFD4EDBC"/>
      </patternFill>
    </fill>
    <fill>
      <patternFill patternType="solid">
        <fgColor rgb="FF85CAB1"/>
        <bgColor rgb="FF85CAB1"/>
      </patternFill>
    </fill>
    <fill>
      <patternFill patternType="solid">
        <fgColor rgb="FFDAA473"/>
        <bgColor rgb="FFDAA473"/>
      </patternFill>
    </fill>
    <fill>
      <patternFill patternType="solid">
        <fgColor rgb="FFFF9E00"/>
        <bgColor rgb="FFFF9E00"/>
      </patternFill>
    </fill>
    <fill>
      <patternFill patternType="solid">
        <fgColor rgb="FFB10202"/>
        <bgColor rgb="FFB10202"/>
      </patternFill>
    </fill>
    <fill>
      <patternFill patternType="solid">
        <fgColor rgb="FFFFE400"/>
        <bgColor rgb="FFFFE400"/>
      </patternFill>
    </fill>
    <fill>
      <patternFill patternType="solid">
        <fgColor rgb="FFEFEFEF"/>
        <bgColor rgb="FFEFEFEF"/>
      </patternFill>
    </fill>
    <fill>
      <patternFill patternType="solid">
        <fgColor rgb="FFFFD666"/>
        <bgColor rgb="FFFFD666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7F6000"/>
        <bgColor rgb="FF7F6000"/>
      </patternFill>
    </fill>
  </fills>
  <borders count="40">
    <border/>
    <border>
      <left style="thick">
        <color rgb="FFE06666"/>
      </left>
      <top style="thick">
        <color rgb="FFE06666"/>
      </top>
    </border>
    <border>
      <top style="thick">
        <color rgb="FFE06666"/>
      </top>
    </border>
    <border>
      <left style="thick">
        <color rgb="FFE69138"/>
      </left>
      <top style="thick">
        <color rgb="FFE69138"/>
      </top>
    </border>
    <border>
      <top style="thick">
        <color rgb="FFE69138"/>
      </top>
    </border>
    <border>
      <left style="thick">
        <color rgb="FFFCE5CD"/>
      </left>
      <right style="thick">
        <color rgb="FFFCE5CD"/>
      </right>
      <top style="thick">
        <color rgb="FFFCE5CD"/>
      </top>
    </border>
    <border>
      <left style="thick">
        <color rgb="FFE06666"/>
      </left>
      <bottom style="thick">
        <color rgb="FFE06666"/>
      </bottom>
    </border>
    <border>
      <bottom style="thick">
        <color rgb="FFE06666"/>
      </bottom>
    </border>
    <border>
      <left style="thick">
        <color rgb="FFE69138"/>
      </left>
      <bottom style="thick">
        <color rgb="FFE69138"/>
      </bottom>
    </border>
    <border>
      <bottom style="thick">
        <color rgb="FFE69138"/>
      </bottom>
    </border>
    <border>
      <left style="thick">
        <color rgb="FFFCE5CD"/>
      </left>
      <right style="thick">
        <color rgb="FFFCE5CD"/>
      </right>
      <bottom style="thick">
        <color rgb="FFFCE5CD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FFC9EF"/>
      </left>
      <right style="thin">
        <color rgb="FFFFC9EF"/>
      </right>
      <top style="thin">
        <color rgb="FFFFC9EF"/>
      </top>
      <bottom style="thin">
        <color rgb="FFFFC9EF"/>
      </bottom>
    </border>
  </borders>
  <cellStyleXfs count="1">
    <xf borderId="0" fillId="0" fontId="0" numFmtId="0" applyAlignment="1" applyFont="1"/>
  </cellStyleXfs>
  <cellXfs count="4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readingOrder="0" shrinkToFit="0" wrapText="1"/>
    </xf>
    <xf borderId="3" fillId="3" fontId="1" numFmtId="0" xfId="0" applyAlignment="1" applyBorder="1" applyFill="1" applyFont="1">
      <alignment readingOrder="0" shrinkToFit="0" wrapText="1"/>
    </xf>
    <xf borderId="4" fillId="3" fontId="2" numFmtId="0" xfId="0" applyAlignment="1" applyBorder="1" applyFont="1">
      <alignment readingOrder="0" shrinkToFit="0" wrapText="1"/>
    </xf>
    <xf borderId="5" fillId="4" fontId="1" numFmtId="0" xfId="0" applyAlignment="1" applyBorder="1" applyFill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1"/>
    </xf>
    <xf borderId="6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10" fillId="4" fontId="3" numFmtId="0" xfId="0" applyBorder="1" applyFont="1"/>
    <xf borderId="0" fillId="0" fontId="3" numFmtId="164" xfId="0" applyAlignment="1" applyFont="1" applyNumberFormat="1">
      <alignment shrinkToFit="0" wrapText="1"/>
    </xf>
    <xf borderId="0" fillId="0" fontId="3" numFmtId="164" xfId="0" applyFont="1" applyNumberForma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1" fillId="0" fontId="1" numFmtId="0" xfId="0" applyAlignment="1" applyBorder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12" fillId="0" fontId="3" numFmtId="0" xfId="0" applyBorder="1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13" fillId="5" fontId="3" numFmtId="0" xfId="0" applyAlignment="1" applyBorder="1" applyFont="1">
      <alignment readingOrder="0"/>
    </xf>
    <xf borderId="13" fillId="6" fontId="3" numFmtId="0" xfId="0" applyAlignment="1" applyBorder="1" applyFont="1">
      <alignment readingOrder="0" shrinkToFit="0" wrapText="1"/>
    </xf>
    <xf borderId="13" fillId="7" fontId="3" numFmtId="0" xfId="0" applyAlignment="1" applyBorder="1" applyFont="1">
      <alignment readingOrder="0" shrinkToFit="0" wrapText="1"/>
    </xf>
    <xf borderId="13" fillId="3" fontId="3" numFmtId="0" xfId="0" applyAlignment="1" applyBorder="1" applyFont="1">
      <alignment readingOrder="0" shrinkToFit="0" wrapText="1"/>
    </xf>
    <xf borderId="13" fillId="8" fontId="3" numFmtId="0" xfId="0" applyAlignment="1" applyBorder="1" applyFont="1">
      <alignment readingOrder="0" shrinkToFit="0" wrapText="1"/>
    </xf>
    <xf borderId="13" fillId="9" fontId="3" numFmtId="0" xfId="0" applyAlignment="1" applyBorder="1" applyFont="1">
      <alignment readingOrder="0" shrinkToFit="0" wrapText="1"/>
    </xf>
    <xf borderId="13" fillId="1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5" numFmtId="0" xfId="0" applyBorder="1" applyFont="1"/>
    <xf borderId="17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14" fillId="16" fontId="3" numFmtId="0" xfId="0" applyAlignment="1" applyBorder="1" applyFont="1">
      <alignment readingOrder="0"/>
    </xf>
    <xf borderId="14" fillId="0" fontId="3" numFmtId="0" xfId="0" applyBorder="1" applyFont="1"/>
    <xf borderId="0" fillId="0" fontId="6" numFmtId="0" xfId="0" applyAlignment="1" applyFont="1">
      <alignment readingOrder="0"/>
    </xf>
    <xf borderId="13" fillId="11" fontId="3" numFmtId="0" xfId="0" applyAlignment="1" applyBorder="1" applyFont="1">
      <alignment readingOrder="0"/>
    </xf>
    <xf borderId="13" fillId="12" fontId="3" numFmtId="0" xfId="0" applyAlignment="1" applyBorder="1" applyFont="1">
      <alignment readingOrder="0"/>
    </xf>
    <xf borderId="13" fillId="13" fontId="3" numFmtId="0" xfId="0" applyAlignment="1" applyBorder="1" applyFont="1">
      <alignment readingOrder="0"/>
    </xf>
    <xf borderId="13" fillId="14" fontId="3" numFmtId="0" xfId="0" applyAlignment="1" applyBorder="1" applyFont="1">
      <alignment readingOrder="0"/>
    </xf>
    <xf borderId="13" fillId="15" fontId="3" numFmtId="0" xfId="0" applyAlignment="1" applyBorder="1" applyFont="1">
      <alignment readingOrder="0"/>
    </xf>
    <xf borderId="13" fillId="16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8" fillId="0" fontId="3" numFmtId="0" xfId="0" applyBorder="1" applyFont="1"/>
    <xf borderId="13" fillId="0" fontId="3" numFmtId="0" xfId="0" applyAlignment="1" applyBorder="1" applyFont="1">
      <alignment horizontal="right"/>
    </xf>
    <xf borderId="18" fillId="0" fontId="3" numFmtId="0" xfId="0" applyAlignment="1" applyBorder="1" applyFont="1">
      <alignment horizontal="right"/>
    </xf>
    <xf borderId="13" fillId="17" fontId="3" numFmtId="0" xfId="0" applyAlignment="1" applyBorder="1" applyFill="1" applyFont="1">
      <alignment readingOrder="0" vertical="bottom"/>
    </xf>
    <xf borderId="13" fillId="17" fontId="3" numFmtId="0" xfId="0" applyBorder="1" applyFont="1"/>
    <xf borderId="0" fillId="0" fontId="3" numFmtId="0" xfId="0" applyAlignment="1" applyFont="1">
      <alignment horizontal="left" readingOrder="0"/>
    </xf>
    <xf borderId="13" fillId="0" fontId="3" numFmtId="0" xfId="0" applyAlignment="1" applyBorder="1" applyFont="1">
      <alignment readingOrder="0" shrinkToFit="0" vertical="top" wrapText="1"/>
    </xf>
    <xf borderId="13" fillId="0" fontId="3" numFmtId="0" xfId="0" applyBorder="1" applyFont="1"/>
    <xf borderId="14" fillId="0" fontId="3" numFmtId="0" xfId="0" applyAlignment="1" applyBorder="1" applyFont="1">
      <alignment readingOrder="0" shrinkToFit="0" vertical="center" wrapText="1"/>
    </xf>
    <xf borderId="18" fillId="18" fontId="3" numFmtId="0" xfId="0" applyAlignment="1" applyBorder="1" applyFill="1" applyFont="1">
      <alignment readingOrder="0" vertical="bottom"/>
    </xf>
    <xf borderId="18" fillId="18" fontId="3" numFmtId="0" xfId="0" applyBorder="1" applyFont="1"/>
    <xf borderId="17" fillId="0" fontId="5" numFmtId="0" xfId="0" applyBorder="1" applyFont="1"/>
    <xf borderId="17" fillId="0" fontId="3" numFmtId="0" xfId="0" applyBorder="1" applyFont="1"/>
    <xf borderId="19" fillId="0" fontId="3" numFmtId="0" xfId="0" applyAlignment="1" applyBorder="1" applyFont="1">
      <alignment readingOrder="0"/>
    </xf>
    <xf borderId="18" fillId="19" fontId="3" numFmtId="0" xfId="0" applyAlignment="1" applyBorder="1" applyFill="1" applyFont="1">
      <alignment readingOrder="0" vertical="bottom"/>
    </xf>
    <xf borderId="18" fillId="19" fontId="3" numFmtId="0" xfId="0" applyBorder="1" applyFont="1"/>
    <xf borderId="20" fillId="0" fontId="3" numFmtId="0" xfId="0" applyBorder="1" applyFont="1"/>
    <xf borderId="21" fillId="0" fontId="3" numFmtId="0" xfId="0" applyAlignment="1" applyBorder="1" applyFont="1">
      <alignment readingOrder="0"/>
    </xf>
    <xf borderId="17" fillId="20" fontId="3" numFmtId="0" xfId="0" applyAlignment="1" applyBorder="1" applyFill="1" applyFont="1">
      <alignment readingOrder="0" vertical="bottom"/>
    </xf>
    <xf borderId="17" fillId="20" fontId="3" numFmtId="0" xfId="0" applyBorder="1" applyFont="1"/>
    <xf borderId="22" fillId="0" fontId="7" numFmtId="0" xfId="0" applyAlignment="1" applyBorder="1" applyFont="1">
      <alignment horizontal="center" readingOrder="0"/>
    </xf>
    <xf borderId="21" fillId="0" fontId="5" numFmtId="0" xfId="0" applyBorder="1" applyFont="1"/>
    <xf borderId="15" fillId="0" fontId="6" numFmtId="0" xfId="0" applyAlignment="1" applyBorder="1" applyFont="1">
      <alignment horizontal="center" readingOrder="0"/>
    </xf>
    <xf borderId="11" fillId="0" fontId="3" numFmtId="0" xfId="0" applyBorder="1" applyFont="1"/>
    <xf borderId="17" fillId="0" fontId="3" numFmtId="0" xfId="0" applyAlignment="1" applyBorder="1" applyFont="1">
      <alignment horizontal="right"/>
    </xf>
    <xf borderId="14" fillId="0" fontId="3" numFmtId="0" xfId="0" applyAlignment="1" applyBorder="1" applyFont="1">
      <alignment horizontal="center" readingOrder="0"/>
    </xf>
    <xf borderId="18" fillId="21" fontId="8" numFmtId="0" xfId="0" applyAlignment="1" applyBorder="1" applyFill="1" applyFont="1">
      <alignment readingOrder="0"/>
    </xf>
    <xf borderId="18" fillId="21" fontId="6" numFmtId="0" xfId="0" applyAlignment="1" applyBorder="1" applyFont="1">
      <alignment readingOrder="0"/>
    </xf>
    <xf borderId="13" fillId="3" fontId="2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21" fillId="0" fontId="3" numFmtId="0" xfId="0" applyBorder="1" applyFont="1"/>
    <xf borderId="13" fillId="21" fontId="9" numFmtId="0" xfId="0" applyAlignment="1" applyBorder="1" applyFont="1">
      <alignment readingOrder="0"/>
    </xf>
    <xf borderId="13" fillId="21" fontId="6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/>
    </xf>
    <xf borderId="18" fillId="3" fontId="3" numFmtId="0" xfId="0" applyAlignment="1" applyBorder="1" applyFont="1">
      <alignment readingOrder="0"/>
    </xf>
    <xf borderId="13" fillId="8" fontId="3" numFmtId="0" xfId="0" applyAlignment="1" applyBorder="1" applyFont="1">
      <alignment readingOrder="0"/>
    </xf>
    <xf borderId="18" fillId="22" fontId="10" numFmtId="0" xfId="0" applyAlignment="1" applyBorder="1" applyFill="1" applyFont="1">
      <alignment readingOrder="0"/>
    </xf>
    <xf borderId="18" fillId="22" fontId="6" numFmtId="0" xfId="0" applyAlignment="1" applyBorder="1" applyFont="1">
      <alignment readingOrder="0"/>
    </xf>
    <xf borderId="19" fillId="3" fontId="3" numFmtId="0" xfId="0" applyAlignment="1" applyBorder="1" applyFont="1">
      <alignment readingOrder="0"/>
    </xf>
    <xf borderId="18" fillId="3" fontId="11" numFmtId="0" xfId="0" applyAlignment="1" applyBorder="1" applyFont="1">
      <alignment readingOrder="0"/>
    </xf>
    <xf borderId="18" fillId="8" fontId="3" numFmtId="0" xfId="0" applyAlignment="1" applyBorder="1" applyFont="1">
      <alignment readingOrder="0"/>
    </xf>
    <xf borderId="18" fillId="8" fontId="11" numFmtId="0" xfId="0" applyAlignment="1" applyBorder="1" applyFont="1">
      <alignment readingOrder="0"/>
    </xf>
    <xf borderId="18" fillId="21" fontId="12" numFmtId="0" xfId="0" applyAlignment="1" applyBorder="1" applyFont="1">
      <alignment readingOrder="0"/>
    </xf>
    <xf borderId="18" fillId="14" fontId="6" numFmtId="0" xfId="0" applyAlignment="1" applyBorder="1" applyFont="1">
      <alignment readingOrder="0"/>
    </xf>
    <xf borderId="18" fillId="23" fontId="6" numFmtId="0" xfId="0" applyAlignment="1" applyBorder="1" applyFill="1" applyFont="1">
      <alignment readingOrder="0"/>
    </xf>
    <xf borderId="18" fillId="7" fontId="6" numFmtId="0" xfId="0" applyAlignment="1" applyBorder="1" applyFont="1">
      <alignment readingOrder="0"/>
    </xf>
    <xf borderId="13" fillId="24" fontId="6" numFmtId="0" xfId="0" applyAlignment="1" applyBorder="1" applyFill="1" applyFont="1">
      <alignment readingOrder="0"/>
    </xf>
    <xf borderId="18" fillId="22" fontId="11" numFmtId="0" xfId="0" applyAlignment="1" applyBorder="1" applyFont="1">
      <alignment readingOrder="0"/>
    </xf>
    <xf borderId="12" fillId="3" fontId="3" numFmtId="0" xfId="0" applyBorder="1" applyFont="1"/>
    <xf borderId="18" fillId="8" fontId="1" numFmtId="0" xfId="0" applyAlignment="1" applyBorder="1" applyFont="1">
      <alignment readingOrder="0"/>
    </xf>
    <xf borderId="17" fillId="0" fontId="13" numFmtId="0" xfId="0" applyAlignment="1" applyBorder="1" applyFont="1">
      <alignment readingOrder="0"/>
    </xf>
    <xf borderId="17" fillId="0" fontId="14" numFmtId="0" xfId="0" applyAlignment="1" applyBorder="1" applyFont="1">
      <alignment readingOrder="0"/>
    </xf>
    <xf borderId="18" fillId="21" fontId="15" numFmtId="0" xfId="0" applyAlignment="1" applyBorder="1" applyFont="1">
      <alignment readingOrder="0"/>
    </xf>
    <xf borderId="15" fillId="0" fontId="3" numFmtId="0" xfId="0" applyBorder="1" applyFont="1"/>
    <xf borderId="18" fillId="3" fontId="1" numFmtId="0" xfId="0" applyAlignment="1" applyBorder="1" applyFont="1">
      <alignment readingOrder="0"/>
    </xf>
    <xf borderId="18" fillId="3" fontId="3" numFmtId="0" xfId="0" applyBorder="1" applyFont="1"/>
    <xf borderId="19" fillId="8" fontId="3" numFmtId="0" xfId="0" applyAlignment="1" applyBorder="1" applyFont="1">
      <alignment readingOrder="0"/>
    </xf>
    <xf borderId="18" fillId="16" fontId="6" numFmtId="0" xfId="0" applyAlignment="1" applyBorder="1" applyFont="1">
      <alignment readingOrder="0"/>
    </xf>
    <xf borderId="18" fillId="2" fontId="6" numFmtId="0" xfId="0" applyAlignment="1" applyBorder="1" applyFont="1">
      <alignment readingOrder="0"/>
    </xf>
    <xf borderId="18" fillId="25" fontId="6" numFmtId="0" xfId="0" applyAlignment="1" applyBorder="1" applyFill="1" applyFont="1">
      <alignment readingOrder="0"/>
    </xf>
    <xf borderId="0" fillId="0" fontId="16" numFmtId="0" xfId="0" applyAlignment="1" applyFont="1">
      <alignment readingOrder="0"/>
    </xf>
    <xf borderId="17" fillId="22" fontId="17" numFmtId="0" xfId="0" applyAlignment="1" applyBorder="1" applyFont="1">
      <alignment readingOrder="0"/>
    </xf>
    <xf borderId="17" fillId="22" fontId="6" numFmtId="0" xfId="0" applyAlignment="1" applyBorder="1" applyFont="1">
      <alignment readingOrder="0"/>
    </xf>
    <xf borderId="17" fillId="3" fontId="1" numFmtId="0" xfId="0" applyAlignment="1" applyBorder="1" applyFont="1">
      <alignment readingOrder="0"/>
    </xf>
    <xf borderId="17" fillId="3" fontId="3" numFmtId="0" xfId="0" applyBorder="1" applyFont="1"/>
    <xf borderId="17" fillId="8" fontId="2" numFmtId="0" xfId="0" applyAlignment="1" applyBorder="1" applyFont="1">
      <alignment readingOrder="0"/>
    </xf>
    <xf borderId="17" fillId="8" fontId="3" numFmtId="0" xfId="0" applyAlignment="1" applyBorder="1" applyFont="1">
      <alignment horizontal="right"/>
    </xf>
    <xf borderId="18" fillId="0" fontId="18" numFmtId="0" xfId="0" applyAlignment="1" applyBorder="1" applyFont="1">
      <alignment readingOrder="0"/>
    </xf>
    <xf borderId="18" fillId="0" fontId="19" numFmtId="0" xfId="0" applyAlignment="1" applyBorder="1" applyFont="1">
      <alignment readingOrder="0"/>
    </xf>
    <xf borderId="17" fillId="0" fontId="20" numFmtId="0" xfId="0" applyAlignment="1" applyBorder="1" applyFont="1">
      <alignment readingOrder="0"/>
    </xf>
    <xf borderId="14" fillId="21" fontId="21" numFmtId="0" xfId="0" applyAlignment="1" applyBorder="1" applyFont="1">
      <alignment readingOrder="0"/>
    </xf>
    <xf borderId="14" fillId="22" fontId="21" numFmtId="0" xfId="0" applyAlignment="1" applyBorder="1" applyFont="1">
      <alignment readingOrder="0"/>
    </xf>
    <xf borderId="14" fillId="26" fontId="7" numFmtId="0" xfId="0" applyAlignment="1" applyBorder="1" applyFill="1" applyFont="1">
      <alignment readingOrder="0"/>
    </xf>
    <xf borderId="14" fillId="27" fontId="22" numFmtId="0" xfId="0" applyAlignment="1" applyBorder="1" applyFill="1" applyFont="1">
      <alignment readingOrder="0"/>
    </xf>
    <xf borderId="14" fillId="28" fontId="7" numFmtId="0" xfId="0" applyAlignment="1" applyBorder="1" applyFill="1" applyFont="1">
      <alignment readingOrder="0"/>
    </xf>
    <xf borderId="14" fillId="29" fontId="23" numFmtId="0" xfId="0" applyAlignment="1" applyBorder="1" applyFill="1" applyFont="1">
      <alignment readingOrder="0"/>
    </xf>
    <xf borderId="14" fillId="30" fontId="24" numFmtId="0" xfId="0" applyAlignment="1" applyBorder="1" applyFill="1" applyFont="1">
      <alignment readingOrder="0"/>
    </xf>
    <xf borderId="14" fillId="31" fontId="25" numFmtId="0" xfId="0" applyAlignment="1" applyBorder="1" applyFill="1" applyFont="1">
      <alignment readingOrder="0"/>
    </xf>
    <xf borderId="14" fillId="32" fontId="26" numFmtId="0" xfId="0" applyAlignment="1" applyBorder="1" applyFill="1" applyFont="1">
      <alignment readingOrder="0"/>
    </xf>
    <xf borderId="14" fillId="33" fontId="27" numFmtId="0" xfId="0" applyAlignment="1" applyBorder="1" applyFill="1" applyFont="1">
      <alignment readingOrder="0"/>
    </xf>
    <xf borderId="14" fillId="34" fontId="28" numFmtId="0" xfId="0" applyAlignment="1" applyBorder="1" applyFill="1" applyFont="1">
      <alignment readingOrder="0"/>
    </xf>
    <xf borderId="14" fillId="35" fontId="29" numFmtId="0" xfId="0" applyAlignment="1" applyBorder="1" applyFill="1" applyFont="1">
      <alignment readingOrder="0"/>
    </xf>
    <xf borderId="14" fillId="36" fontId="30" numFmtId="0" xfId="0" applyAlignment="1" applyBorder="1" applyFill="1" applyFont="1">
      <alignment readingOrder="0"/>
    </xf>
    <xf borderId="14" fillId="37" fontId="31" numFmtId="0" xfId="0" applyAlignment="1" applyBorder="1" applyFill="1" applyFont="1">
      <alignment readingOrder="0"/>
    </xf>
    <xf borderId="17" fillId="0" fontId="1" numFmtId="0" xfId="0" applyAlignment="1" applyBorder="1" applyFont="1">
      <alignment horizontal="center" readingOrder="0"/>
    </xf>
    <xf borderId="13" fillId="26" fontId="3" numFmtId="0" xfId="0" applyAlignment="1" applyBorder="1" applyFont="1">
      <alignment readingOrder="0"/>
    </xf>
    <xf borderId="13" fillId="27" fontId="32" numFmtId="0" xfId="0" applyAlignment="1" applyBorder="1" applyFont="1">
      <alignment readingOrder="0"/>
    </xf>
    <xf borderId="13" fillId="28" fontId="3" numFmtId="0" xfId="0" applyAlignment="1" applyBorder="1" applyFont="1">
      <alignment readingOrder="0"/>
    </xf>
    <xf borderId="13" fillId="29" fontId="33" numFmtId="0" xfId="0" applyAlignment="1" applyBorder="1" applyFont="1">
      <alignment readingOrder="0"/>
    </xf>
    <xf borderId="13" fillId="30" fontId="34" numFmtId="0" xfId="0" applyAlignment="1" applyBorder="1" applyFont="1">
      <alignment readingOrder="0"/>
    </xf>
    <xf borderId="13" fillId="31" fontId="35" numFmtId="0" xfId="0" applyAlignment="1" applyBorder="1" applyFont="1">
      <alignment readingOrder="0"/>
    </xf>
    <xf borderId="13" fillId="32" fontId="36" numFmtId="0" xfId="0" applyAlignment="1" applyBorder="1" applyFont="1">
      <alignment readingOrder="0"/>
    </xf>
    <xf borderId="13" fillId="33" fontId="37" numFmtId="0" xfId="0" applyAlignment="1" applyBorder="1" applyFont="1">
      <alignment readingOrder="0"/>
    </xf>
    <xf borderId="13" fillId="34" fontId="21" numFmtId="0" xfId="0" applyAlignment="1" applyBorder="1" applyFont="1">
      <alignment readingOrder="0"/>
    </xf>
    <xf borderId="13" fillId="35" fontId="38" numFmtId="0" xfId="0" applyAlignment="1" applyBorder="1" applyFont="1">
      <alignment readingOrder="0"/>
    </xf>
    <xf borderId="13" fillId="36" fontId="39" numFmtId="0" xfId="0" applyAlignment="1" applyBorder="1" applyFont="1">
      <alignment readingOrder="0"/>
    </xf>
    <xf borderId="13" fillId="37" fontId="40" numFmtId="0" xfId="0" applyAlignment="1" applyBorder="1" applyFont="1">
      <alignment readingOrder="0"/>
    </xf>
    <xf borderId="13" fillId="0" fontId="6" numFmtId="0" xfId="0" applyBorder="1" applyFont="1"/>
    <xf borderId="18" fillId="26" fontId="3" numFmtId="0" xfId="0" applyAlignment="1" applyBorder="1" applyFont="1">
      <alignment readingOrder="0"/>
    </xf>
    <xf borderId="18" fillId="27" fontId="32" numFmtId="0" xfId="0" applyAlignment="1" applyBorder="1" applyFont="1">
      <alignment readingOrder="0"/>
    </xf>
    <xf borderId="18" fillId="28" fontId="3" numFmtId="0" xfId="0" applyAlignment="1" applyBorder="1" applyFont="1">
      <alignment readingOrder="0"/>
    </xf>
    <xf borderId="18" fillId="29" fontId="33" numFmtId="0" xfId="0" applyAlignment="1" applyBorder="1" applyFont="1">
      <alignment readingOrder="0"/>
    </xf>
    <xf borderId="18" fillId="30" fontId="34" numFmtId="0" xfId="0" applyAlignment="1" applyBorder="1" applyFont="1">
      <alignment readingOrder="0"/>
    </xf>
    <xf borderId="18" fillId="31" fontId="35" numFmtId="0" xfId="0" applyAlignment="1" applyBorder="1" applyFont="1">
      <alignment readingOrder="0"/>
    </xf>
    <xf borderId="18" fillId="32" fontId="36" numFmtId="0" xfId="0" applyAlignment="1" applyBorder="1" applyFont="1">
      <alignment readingOrder="0"/>
    </xf>
    <xf borderId="18" fillId="33" fontId="37" numFmtId="0" xfId="0" applyAlignment="1" applyBorder="1" applyFont="1">
      <alignment readingOrder="0"/>
    </xf>
    <xf borderId="18" fillId="34" fontId="21" numFmtId="0" xfId="0" applyAlignment="1" applyBorder="1" applyFont="1">
      <alignment readingOrder="0"/>
    </xf>
    <xf borderId="18" fillId="35" fontId="38" numFmtId="0" xfId="0" applyAlignment="1" applyBorder="1" applyFont="1">
      <alignment readingOrder="0"/>
    </xf>
    <xf borderId="18" fillId="36" fontId="39" numFmtId="0" xfId="0" applyAlignment="1" applyBorder="1" applyFont="1">
      <alignment readingOrder="0"/>
    </xf>
    <xf borderId="18" fillId="37" fontId="40" numFmtId="0" xfId="0" applyAlignment="1" applyBorder="1" applyFont="1">
      <alignment readingOrder="0"/>
    </xf>
    <xf borderId="18" fillId="0" fontId="6" numFmtId="0" xfId="0" applyBorder="1" applyFont="1"/>
    <xf borderId="17" fillId="26" fontId="3" numFmtId="0" xfId="0" applyAlignment="1" applyBorder="1" applyFont="1">
      <alignment readingOrder="0"/>
    </xf>
    <xf borderId="17" fillId="27" fontId="32" numFmtId="0" xfId="0" applyAlignment="1" applyBorder="1" applyFont="1">
      <alignment readingOrder="0"/>
    </xf>
    <xf borderId="17" fillId="28" fontId="3" numFmtId="0" xfId="0" applyAlignment="1" applyBorder="1" applyFont="1">
      <alignment readingOrder="0"/>
    </xf>
    <xf borderId="17" fillId="29" fontId="33" numFmtId="0" xfId="0" applyAlignment="1" applyBorder="1" applyFont="1">
      <alignment readingOrder="0"/>
    </xf>
    <xf borderId="17" fillId="30" fontId="34" numFmtId="0" xfId="0" applyAlignment="1" applyBorder="1" applyFont="1">
      <alignment readingOrder="0"/>
    </xf>
    <xf borderId="17" fillId="31" fontId="35" numFmtId="0" xfId="0" applyAlignment="1" applyBorder="1" applyFont="1">
      <alignment readingOrder="0"/>
    </xf>
    <xf borderId="17" fillId="32" fontId="36" numFmtId="0" xfId="0" applyAlignment="1" applyBorder="1" applyFont="1">
      <alignment readingOrder="0"/>
    </xf>
    <xf borderId="17" fillId="33" fontId="37" numFmtId="0" xfId="0" applyAlignment="1" applyBorder="1" applyFont="1">
      <alignment readingOrder="0"/>
    </xf>
    <xf borderId="17" fillId="34" fontId="21" numFmtId="0" xfId="0" applyAlignment="1" applyBorder="1" applyFont="1">
      <alignment readingOrder="0"/>
    </xf>
    <xf borderId="17" fillId="35" fontId="38" numFmtId="0" xfId="0" applyAlignment="1" applyBorder="1" applyFont="1">
      <alignment readingOrder="0"/>
    </xf>
    <xf borderId="17" fillId="36" fontId="39" numFmtId="0" xfId="0" applyAlignment="1" applyBorder="1" applyFont="1">
      <alignment readingOrder="0"/>
    </xf>
    <xf borderId="17" fillId="37" fontId="40" numFmtId="0" xfId="0" applyAlignment="1" applyBorder="1" applyFont="1">
      <alignment readingOrder="0"/>
    </xf>
    <xf borderId="17" fillId="0" fontId="6" numFmtId="0" xfId="0" applyBorder="1" applyFont="1"/>
    <xf borderId="12" fillId="0" fontId="3" numFmtId="0" xfId="0" applyAlignment="1" applyBorder="1" applyFont="1">
      <alignment readingOrder="0"/>
    </xf>
    <xf borderId="18" fillId="0" fontId="41" numFmtId="0" xfId="0" applyAlignment="1" applyBorder="1" applyFont="1">
      <alignment readingOrder="0"/>
    </xf>
    <xf borderId="18" fillId="0" fontId="42" numFmtId="0" xfId="0" applyAlignment="1" applyBorder="1" applyFont="1">
      <alignment readingOrder="0"/>
    </xf>
    <xf borderId="23" fillId="0" fontId="3" numFmtId="0" xfId="0" applyAlignment="1" applyBorder="1" applyFont="1">
      <alignment readingOrder="0"/>
    </xf>
    <xf borderId="13" fillId="0" fontId="43" numFmtId="0" xfId="0" applyAlignment="1" applyBorder="1" applyFont="1">
      <alignment readingOrder="0"/>
    </xf>
    <xf borderId="13" fillId="0" fontId="44" numFmtId="0" xfId="0" applyAlignment="1" applyBorder="1" applyFont="1">
      <alignment readingOrder="0"/>
    </xf>
    <xf borderId="22" fillId="0" fontId="43" numFmtId="0" xfId="0" applyAlignment="1" applyBorder="1" applyFont="1">
      <alignment readingOrder="0"/>
    </xf>
    <xf borderId="22" fillId="0" fontId="3" numFmtId="0" xfId="0" applyAlignment="1" applyBorder="1" applyFont="1">
      <alignment readingOrder="0"/>
    </xf>
    <xf borderId="23" fillId="0" fontId="43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24" fillId="0" fontId="3" numFmtId="0" xfId="0" applyAlignment="1" applyBorder="1" applyFont="1">
      <alignment readingOrder="0"/>
    </xf>
    <xf borderId="18" fillId="0" fontId="45" numFmtId="0" xfId="0" applyAlignment="1" applyBorder="1" applyFont="1">
      <alignment readingOrder="0"/>
    </xf>
    <xf borderId="13" fillId="0" fontId="19" numFmtId="0" xfId="0" applyAlignment="1" applyBorder="1" applyFont="1">
      <alignment readingOrder="0"/>
    </xf>
    <xf borderId="0" fillId="0" fontId="46" numFmtId="0" xfId="0" applyAlignment="1" applyFont="1">
      <alignment readingOrder="0"/>
    </xf>
    <xf borderId="18" fillId="0" fontId="14" numFmtId="0" xfId="0" applyBorder="1" applyFont="1"/>
    <xf borderId="18" fillId="0" fontId="18" numFmtId="0" xfId="0" applyBorder="1" applyFont="1"/>
    <xf borderId="18" fillId="0" fontId="47" numFmtId="0" xfId="0" applyBorder="1" applyFont="1"/>
    <xf borderId="18" fillId="0" fontId="13" numFmtId="0" xfId="0" applyBorder="1" applyFont="1"/>
    <xf borderId="13" fillId="0" fontId="3" numFmtId="0" xfId="0" applyAlignment="1" applyBorder="1" applyFont="1">
      <alignment readingOrder="0" vertical="top"/>
    </xf>
    <xf borderId="18" fillId="0" fontId="48" numFmtId="0" xfId="0" applyBorder="1" applyFont="1"/>
    <xf borderId="18" fillId="0" fontId="5" numFmtId="0" xfId="0" applyBorder="1" applyFont="1"/>
    <xf borderId="17" fillId="0" fontId="49" numFmtId="0" xfId="0" applyBorder="1" applyFont="1"/>
    <xf borderId="18" fillId="0" fontId="1" numFmtId="0" xfId="0" applyAlignment="1" applyBorder="1" applyFont="1">
      <alignment readingOrder="0"/>
    </xf>
    <xf borderId="19" fillId="0" fontId="3" numFmtId="0" xfId="0" applyBorder="1" applyFont="1"/>
    <xf borderId="14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right" readingOrder="0"/>
    </xf>
    <xf borderId="14" fillId="26" fontId="3" numFmtId="0" xfId="0" applyAlignment="1" applyBorder="1" applyFont="1">
      <alignment readingOrder="0"/>
    </xf>
    <xf borderId="14" fillId="26" fontId="2" numFmtId="0" xfId="0" applyAlignment="1" applyBorder="1" applyFont="1">
      <alignment readingOrder="0"/>
    </xf>
    <xf borderId="13" fillId="0" fontId="50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3" fillId="38" fontId="2" numFmtId="0" xfId="0" applyAlignment="1" applyBorder="1" applyFill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14" fillId="0" fontId="3" numFmtId="0" xfId="0" applyAlignment="1" applyBorder="1" applyFont="1">
      <alignment horizontal="right" vertical="bottom"/>
    </xf>
    <xf borderId="14" fillId="27" fontId="32" numFmtId="0" xfId="0" applyAlignment="1" applyBorder="1" applyFont="1">
      <alignment readingOrder="0"/>
    </xf>
    <xf borderId="14" fillId="27" fontId="51" numFmtId="0" xfId="0" applyAlignment="1" applyBorder="1" applyFont="1">
      <alignment readingOrder="0"/>
    </xf>
    <xf borderId="18" fillId="0" fontId="50" numFmtId="0" xfId="0" applyAlignment="1" applyBorder="1" applyFont="1">
      <alignment readingOrder="0"/>
    </xf>
    <xf borderId="18" fillId="10" fontId="2" numFmtId="0" xfId="0" applyAlignment="1" applyBorder="1" applyFont="1">
      <alignment readingOrder="0"/>
    </xf>
    <xf borderId="25" fillId="0" fontId="3" numFmtId="0" xfId="0" applyAlignment="1" applyBorder="1" applyFont="1">
      <alignment readingOrder="0"/>
    </xf>
    <xf borderId="14" fillId="28" fontId="3" numFmtId="0" xfId="0" applyAlignment="1" applyBorder="1" applyFont="1">
      <alignment readingOrder="0"/>
    </xf>
    <xf borderId="14" fillId="28" fontId="2" numFmtId="0" xfId="0" applyAlignment="1" applyBorder="1" applyFont="1">
      <alignment readingOrder="0"/>
    </xf>
    <xf borderId="18" fillId="0" fontId="52" numFmtId="0" xfId="0" applyAlignment="1" applyBorder="1" applyFont="1">
      <alignment readingOrder="0"/>
    </xf>
    <xf borderId="18" fillId="0" fontId="21" numFmtId="0" xfId="0" applyAlignment="1" applyBorder="1" applyFont="1">
      <alignment readingOrder="0"/>
    </xf>
    <xf borderId="18" fillId="39" fontId="53" numFmtId="0" xfId="0" applyAlignment="1" applyBorder="1" applyFill="1" applyFont="1">
      <alignment readingOrder="0"/>
    </xf>
    <xf borderId="14" fillId="29" fontId="33" numFmtId="0" xfId="0" applyAlignment="1" applyBorder="1" applyFont="1">
      <alignment readingOrder="0"/>
    </xf>
    <xf borderId="14" fillId="29" fontId="54" numFmtId="0" xfId="0" applyAlignment="1" applyBorder="1" applyFont="1">
      <alignment readingOrder="0"/>
    </xf>
    <xf borderId="18" fillId="28" fontId="2" numFmtId="0" xfId="0" applyAlignment="1" applyBorder="1" applyFont="1">
      <alignment readingOrder="0"/>
    </xf>
    <xf borderId="14" fillId="30" fontId="34" numFmtId="0" xfId="0" applyAlignment="1" applyBorder="1" applyFont="1">
      <alignment readingOrder="0"/>
    </xf>
    <xf borderId="14" fillId="30" fontId="55" numFmtId="0" xfId="0" applyAlignment="1" applyBorder="1" applyFont="1">
      <alignment readingOrder="0"/>
    </xf>
    <xf borderId="18" fillId="0" fontId="56" numFmtId="0" xfId="0" applyAlignment="1" applyBorder="1" applyFont="1">
      <alignment readingOrder="0"/>
    </xf>
    <xf borderId="13" fillId="35" fontId="2" numFmtId="0" xfId="0" applyAlignment="1" applyBorder="1" applyFont="1">
      <alignment readingOrder="0"/>
    </xf>
    <xf borderId="14" fillId="31" fontId="35" numFmtId="0" xfId="0" applyAlignment="1" applyBorder="1" applyFont="1">
      <alignment readingOrder="0"/>
    </xf>
    <xf borderId="14" fillId="31" fontId="57" numFmtId="0" xfId="0" applyAlignment="1" applyBorder="1" applyFont="1">
      <alignment readingOrder="0"/>
    </xf>
    <xf borderId="18" fillId="30" fontId="2" numFmtId="0" xfId="0" applyAlignment="1" applyBorder="1" applyFont="1">
      <alignment readingOrder="0"/>
    </xf>
    <xf borderId="14" fillId="32" fontId="36" numFmtId="0" xfId="0" applyAlignment="1" applyBorder="1" applyFont="1">
      <alignment readingOrder="0"/>
    </xf>
    <xf borderId="14" fillId="32" fontId="58" numFmtId="0" xfId="0" applyAlignment="1" applyBorder="1" applyFont="1">
      <alignment readingOrder="0"/>
    </xf>
    <xf borderId="18" fillId="0" fontId="59" numFmtId="0" xfId="0" applyAlignment="1" applyBorder="1" applyFont="1">
      <alignment readingOrder="0"/>
    </xf>
    <xf borderId="18" fillId="31" fontId="2" numFmtId="0" xfId="0" applyAlignment="1" applyBorder="1" applyFont="1">
      <alignment readingOrder="0"/>
    </xf>
    <xf borderId="26" fillId="0" fontId="3" numFmtId="0" xfId="0" applyBorder="1" applyFont="1"/>
    <xf borderId="14" fillId="33" fontId="37" numFmtId="0" xfId="0" applyAlignment="1" applyBorder="1" applyFont="1">
      <alignment readingOrder="0"/>
    </xf>
    <xf borderId="14" fillId="33" fontId="60" numFmtId="0" xfId="0" applyAlignment="1" applyBorder="1" applyFont="1">
      <alignment readingOrder="0"/>
    </xf>
    <xf borderId="17" fillId="0" fontId="59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7" fillId="32" fontId="2" numFmtId="0" xfId="0" applyAlignment="1" applyBorder="1" applyFont="1">
      <alignment readingOrder="0"/>
    </xf>
    <xf borderId="14" fillId="34" fontId="21" numFmtId="0" xfId="0" applyAlignment="1" applyBorder="1" applyFont="1">
      <alignment readingOrder="0"/>
    </xf>
    <xf borderId="14" fillId="34" fontId="53" numFmtId="0" xfId="0" applyAlignment="1" applyBorder="1" applyFont="1">
      <alignment readingOrder="0"/>
    </xf>
    <xf borderId="13" fillId="0" fontId="61" numFmtId="0" xfId="0" applyAlignment="1" applyBorder="1" applyFont="1">
      <alignment horizontal="left" readingOrder="0"/>
    </xf>
    <xf borderId="18" fillId="26" fontId="2" numFmtId="0" xfId="0" applyAlignment="1" applyBorder="1" applyFont="1">
      <alignment readingOrder="0"/>
    </xf>
    <xf borderId="14" fillId="35" fontId="38" numFmtId="0" xfId="0" applyAlignment="1" applyBorder="1" applyFont="1">
      <alignment readingOrder="0"/>
    </xf>
    <xf borderId="14" fillId="35" fontId="62" numFmtId="0" xfId="0" applyAlignment="1" applyBorder="1" applyFont="1">
      <alignment readingOrder="0"/>
    </xf>
    <xf borderId="18" fillId="0" fontId="63" numFmtId="165" xfId="0" applyAlignment="1" applyBorder="1" applyFont="1" applyNumberFormat="1">
      <alignment readingOrder="0"/>
    </xf>
    <xf borderId="18" fillId="40" fontId="2" numFmtId="0" xfId="0" applyAlignment="1" applyBorder="1" applyFill="1" applyFont="1">
      <alignment readingOrder="0"/>
    </xf>
    <xf borderId="14" fillId="36" fontId="16" numFmtId="0" xfId="0" applyAlignment="1" applyBorder="1" applyFont="1">
      <alignment readingOrder="0"/>
    </xf>
    <xf borderId="14" fillId="36" fontId="64" numFmtId="0" xfId="0" applyAlignment="1" applyBorder="1" applyFont="1">
      <alignment readingOrder="0"/>
    </xf>
    <xf borderId="12" fillId="0" fontId="65" numFmtId="0" xfId="0" applyAlignment="1" applyBorder="1" applyFont="1">
      <alignment horizontal="left" readingOrder="0"/>
    </xf>
    <xf borderId="18" fillId="0" fontId="66" numFmtId="0" xfId="0" applyAlignment="1" applyBorder="1" applyFont="1">
      <alignment readingOrder="0"/>
    </xf>
    <xf borderId="14" fillId="37" fontId="40" numFmtId="0" xfId="0" applyAlignment="1" applyBorder="1" applyFont="1">
      <alignment readingOrder="0"/>
    </xf>
    <xf borderId="14" fillId="37" fontId="67" numFmtId="0" xfId="0" applyAlignment="1" applyBorder="1" applyFont="1">
      <alignment readingOrder="0"/>
    </xf>
    <xf borderId="18" fillId="0" fontId="68" numFmtId="166" xfId="0" applyAlignment="1" applyBorder="1" applyFont="1" applyNumberFormat="1">
      <alignment readingOrder="0"/>
    </xf>
    <xf borderId="17" fillId="10" fontId="2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14" fillId="3" fontId="2" numFmtId="0" xfId="0" applyAlignment="1" applyBorder="1" applyFont="1">
      <alignment readingOrder="0"/>
    </xf>
    <xf borderId="18" fillId="0" fontId="69" numFmtId="0" xfId="0" applyAlignment="1" applyBorder="1" applyFont="1">
      <alignment horizontal="left" readingOrder="0"/>
    </xf>
    <xf borderId="13" fillId="39" fontId="53" numFmtId="0" xfId="0" applyAlignment="1" applyBorder="1" applyFont="1">
      <alignment readingOrder="0"/>
    </xf>
    <xf borderId="14" fillId="8" fontId="3" numFmtId="0" xfId="0" applyAlignment="1" applyBorder="1" applyFont="1">
      <alignment readingOrder="0"/>
    </xf>
    <xf borderId="14" fillId="8" fontId="2" numFmtId="0" xfId="0" applyAlignment="1" applyBorder="1" applyFont="1">
      <alignment readingOrder="0"/>
    </xf>
    <xf borderId="18" fillId="0" fontId="70" numFmtId="167" xfId="0" applyAlignment="1" applyBorder="1" applyFont="1" applyNumberFormat="1">
      <alignment readingOrder="0"/>
    </xf>
    <xf borderId="14" fillId="41" fontId="3" numFmtId="0" xfId="0" applyAlignment="1" applyBorder="1" applyFill="1" applyFont="1">
      <alignment readingOrder="0"/>
    </xf>
    <xf borderId="14" fillId="41" fontId="2" numFmtId="0" xfId="0" applyAlignment="1" applyBorder="1" applyFont="1">
      <alignment readingOrder="0"/>
    </xf>
    <xf borderId="18" fillId="0" fontId="71" numFmtId="0" xfId="0" applyAlignment="1" applyBorder="1" applyFont="1">
      <alignment horizontal="left" readingOrder="0"/>
    </xf>
    <xf borderId="17" fillId="0" fontId="72" numFmtId="168" xfId="0" applyAlignment="1" applyBorder="1" applyFont="1" applyNumberFormat="1">
      <alignment readingOrder="0"/>
    </xf>
    <xf borderId="13" fillId="0" fontId="2" numFmtId="0" xfId="0" applyAlignment="1" applyBorder="1" applyFont="1">
      <alignment readingOrder="0"/>
    </xf>
    <xf borderId="13" fillId="0" fontId="73" numFmtId="0" xfId="0" applyAlignment="1" applyBorder="1" applyFont="1">
      <alignment horizontal="left" readingOrder="0" vertical="bottom"/>
    </xf>
    <xf borderId="18" fillId="0" fontId="74" numFmtId="10" xfId="0" applyAlignment="1" applyBorder="1" applyFont="1" applyNumberFormat="1">
      <alignment readingOrder="0"/>
    </xf>
    <xf borderId="18" fillId="0" fontId="2" numFmtId="0" xfId="0" applyAlignment="1" applyBorder="1" applyFont="1">
      <alignment readingOrder="0"/>
    </xf>
    <xf borderId="18" fillId="0" fontId="74" numFmtId="165" xfId="0" applyAlignment="1" applyBorder="1" applyFont="1" applyNumberFormat="1">
      <alignment horizontal="right" vertical="bottom"/>
    </xf>
    <xf borderId="17" fillId="40" fontId="2" numFmtId="0" xfId="0" applyAlignment="1" applyBorder="1" applyFont="1">
      <alignment readingOrder="0"/>
    </xf>
    <xf borderId="18" fillId="0" fontId="75" numFmtId="0" xfId="0" applyAlignment="1" applyBorder="1" applyFont="1">
      <alignment horizontal="left" readingOrder="0" vertical="bottom"/>
    </xf>
    <xf borderId="18" fillId="0" fontId="76" numFmtId="10" xfId="0" applyAlignment="1" applyBorder="1" applyFont="1" applyNumberFormat="1">
      <alignment readingOrder="0"/>
    </xf>
    <xf borderId="18" fillId="0" fontId="76" numFmtId="166" xfId="0" applyAlignment="1" applyBorder="1" applyFont="1" applyNumberFormat="1">
      <alignment horizontal="right" vertical="bottom"/>
    </xf>
    <xf borderId="13" fillId="38" fontId="2" numFmtId="0" xfId="0" applyBorder="1" applyFont="1"/>
    <xf borderId="18" fillId="0" fontId="77" numFmtId="0" xfId="0" applyAlignment="1" applyBorder="1" applyFont="1">
      <alignment horizontal="left" readingOrder="0" vertical="bottom"/>
    </xf>
    <xf borderId="18" fillId="39" fontId="53" numFmtId="0" xfId="0" applyBorder="1" applyFont="1"/>
    <xf borderId="27" fillId="0" fontId="3" numFmtId="0" xfId="0" applyAlignment="1" applyBorder="1" applyFont="1">
      <alignment readingOrder="0"/>
    </xf>
    <xf borderId="18" fillId="0" fontId="78" numFmtId="10" xfId="0" applyAlignment="1" applyBorder="1" applyFont="1" applyNumberFormat="1">
      <alignment readingOrder="0"/>
    </xf>
    <xf borderId="18" fillId="0" fontId="78" numFmtId="167" xfId="0" applyAlignment="1" applyBorder="1" applyFont="1" applyNumberFormat="1">
      <alignment horizontal="right" vertical="bottom"/>
    </xf>
    <xf borderId="18" fillId="40" fontId="2" numFmtId="0" xfId="0" applyBorder="1" applyFont="1"/>
    <xf borderId="18" fillId="0" fontId="79" numFmtId="0" xfId="0" applyAlignment="1" applyBorder="1" applyFont="1">
      <alignment horizontal="left" readingOrder="0" vertical="bottom"/>
    </xf>
    <xf borderId="17" fillId="0" fontId="80" numFmtId="10" xfId="0" applyAlignment="1" applyBorder="1" applyFont="1" applyNumberFormat="1">
      <alignment readingOrder="0"/>
    </xf>
    <xf borderId="17" fillId="0" fontId="80" numFmtId="168" xfId="0" applyAlignment="1" applyBorder="1" applyFont="1" applyNumberFormat="1">
      <alignment horizontal="right" vertical="bottom"/>
    </xf>
    <xf borderId="17" fillId="40" fontId="2" numFmtId="0" xfId="0" applyBorder="1" applyFont="1"/>
    <xf borderId="13" fillId="41" fontId="2" numFmtId="0" xfId="0" applyAlignment="1" applyBorder="1" applyFont="1">
      <alignment readingOrder="0"/>
    </xf>
    <xf borderId="13" fillId="41" fontId="2" numFmtId="0" xfId="0" applyBorder="1" applyFont="1"/>
    <xf borderId="13" fillId="41" fontId="3" numFmtId="0" xfId="0" applyAlignment="1" applyBorder="1" applyFont="1">
      <alignment readingOrder="0"/>
    </xf>
    <xf borderId="18" fillId="41" fontId="2" numFmtId="0" xfId="0" applyAlignment="1" applyBorder="1" applyFont="1">
      <alignment readingOrder="0"/>
    </xf>
    <xf borderId="18" fillId="41" fontId="2" numFmtId="0" xfId="0" applyBorder="1" applyFont="1"/>
    <xf borderId="17" fillId="41" fontId="3" numFmtId="0" xfId="0" applyAlignment="1" applyBorder="1" applyFont="1">
      <alignment readingOrder="0"/>
    </xf>
    <xf borderId="17" fillId="41" fontId="2" numFmtId="0" xfId="0" applyBorder="1" applyFont="1"/>
    <xf borderId="17" fillId="41" fontId="46" numFmtId="0" xfId="0" applyAlignment="1" applyBorder="1" applyFont="1">
      <alignment readingOrder="0"/>
    </xf>
    <xf borderId="13" fillId="20" fontId="1" numFmtId="0" xfId="0" applyAlignment="1" applyBorder="1" applyFont="1">
      <alignment readingOrder="0" vertical="bottom"/>
    </xf>
    <xf borderId="13" fillId="20" fontId="3" numFmtId="0" xfId="0" applyAlignment="1" applyBorder="1" applyFont="1">
      <alignment readingOrder="0" vertical="bottom"/>
    </xf>
    <xf borderId="23" fillId="20" fontId="2" numFmtId="0" xfId="0" applyAlignment="1" applyBorder="1" applyFont="1">
      <alignment readingOrder="0" vertical="bottom"/>
    </xf>
    <xf borderId="23" fillId="20" fontId="2" numFmtId="0" xfId="0" applyAlignment="1" applyBorder="1" applyFont="1">
      <alignment readingOrder="0"/>
    </xf>
    <xf borderId="18" fillId="19" fontId="1" numFmtId="0" xfId="0" applyAlignment="1" applyBorder="1" applyFont="1">
      <alignment readingOrder="0" vertical="bottom"/>
    </xf>
    <xf borderId="19" fillId="19" fontId="2" numFmtId="0" xfId="0" applyAlignment="1" applyBorder="1" applyFont="1">
      <alignment readingOrder="0" vertical="bottom"/>
    </xf>
    <xf borderId="19" fillId="19" fontId="2" numFmtId="0" xfId="0" applyAlignment="1" applyBorder="1" applyFont="1">
      <alignment readingOrder="0"/>
    </xf>
    <xf borderId="17" fillId="41" fontId="2" numFmtId="0" xfId="0" applyAlignment="1" applyBorder="1" applyFont="1">
      <alignment readingOrder="0"/>
    </xf>
    <xf borderId="18" fillId="18" fontId="1" numFmtId="0" xfId="0" applyAlignment="1" applyBorder="1" applyFont="1">
      <alignment readingOrder="0" vertical="bottom"/>
    </xf>
    <xf borderId="19" fillId="18" fontId="2" numFmtId="0" xfId="0" applyAlignment="1" applyBorder="1" applyFont="1">
      <alignment readingOrder="0" vertical="bottom"/>
    </xf>
    <xf borderId="19" fillId="18" fontId="2" numFmtId="0" xfId="0" applyAlignment="1" applyBorder="1" applyFont="1">
      <alignment readingOrder="0"/>
    </xf>
    <xf borderId="18" fillId="18" fontId="2" numFmtId="0" xfId="0" applyAlignment="1" applyBorder="1" applyFont="1">
      <alignment readingOrder="0"/>
    </xf>
    <xf borderId="17" fillId="17" fontId="1" numFmtId="0" xfId="0" applyAlignment="1" applyBorder="1" applyFont="1">
      <alignment readingOrder="0" vertical="bottom"/>
    </xf>
    <xf borderId="17" fillId="17" fontId="3" numFmtId="0" xfId="0" applyAlignment="1" applyBorder="1" applyFont="1">
      <alignment readingOrder="0" vertical="bottom"/>
    </xf>
    <xf borderId="24" fillId="17" fontId="2" numFmtId="0" xfId="0" applyAlignment="1" applyBorder="1" applyFont="1">
      <alignment readingOrder="0" vertical="bottom"/>
    </xf>
    <xf borderId="24" fillId="17" fontId="2" numFmtId="0" xfId="0" applyAlignment="1" applyBorder="1" applyFont="1">
      <alignment readingOrder="0"/>
    </xf>
    <xf borderId="17" fillId="17" fontId="2" numFmtId="0" xfId="0" applyAlignment="1" applyBorder="1" applyFont="1">
      <alignment readingOrder="0"/>
    </xf>
    <xf borderId="14" fillId="17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7" fillId="0" fontId="2" numFmtId="0" xfId="0" applyBorder="1" applyFont="1"/>
    <xf borderId="13" fillId="35" fontId="1" numFmtId="0" xfId="0" applyAlignment="1" applyBorder="1" applyFont="1">
      <alignment horizontal="right" readingOrder="0"/>
    </xf>
    <xf borderId="13" fillId="35" fontId="2" numFmtId="0" xfId="0" applyBorder="1" applyFont="1"/>
    <xf borderId="18" fillId="30" fontId="1" numFmtId="0" xfId="0" applyAlignment="1" applyBorder="1" applyFont="1">
      <alignment horizontal="right" readingOrder="0"/>
    </xf>
    <xf borderId="18" fillId="30" fontId="2" numFmtId="0" xfId="0" applyBorder="1" applyFont="1"/>
    <xf borderId="18" fillId="42" fontId="1" numFmtId="0" xfId="0" applyAlignment="1" applyBorder="1" applyFill="1" applyFont="1">
      <alignment horizontal="right" readingOrder="0"/>
    </xf>
    <xf borderId="18" fillId="42" fontId="2" numFmtId="0" xfId="0" applyAlignment="1" applyBorder="1" applyFont="1">
      <alignment readingOrder="0" shrinkToFit="0" wrapText="1"/>
    </xf>
    <xf borderId="17" fillId="32" fontId="1" numFmtId="0" xfId="0" applyAlignment="1" applyBorder="1" applyFont="1">
      <alignment horizontal="right" readingOrder="0"/>
    </xf>
    <xf borderId="17" fillId="32" fontId="2" numFmtId="0" xfId="0" applyBorder="1" applyFont="1"/>
    <xf borderId="14" fillId="0" fontId="2" numFmtId="0" xfId="0" applyBorder="1" applyFont="1"/>
    <xf borderId="27" fillId="0" fontId="3" numFmtId="0" xfId="0" applyBorder="1" applyFont="1"/>
    <xf borderId="11" fillId="0" fontId="3" numFmtId="0" xfId="0" applyAlignment="1" applyBorder="1" applyFont="1">
      <alignment readingOrder="0"/>
    </xf>
    <xf borderId="0" fillId="0" fontId="42" numFmtId="0" xfId="0" applyFont="1"/>
    <xf borderId="0" fillId="0" fontId="42" numFmtId="0" xfId="0" applyAlignment="1" applyFont="1">
      <alignment readingOrder="0"/>
    </xf>
    <xf borderId="18" fillId="0" fontId="13" numFmtId="0" xfId="0" applyAlignment="1" applyBorder="1" applyFont="1">
      <alignment readingOrder="0"/>
    </xf>
    <xf borderId="18" fillId="0" fontId="49" numFmtId="0" xfId="0" applyAlignment="1" applyBorder="1" applyFont="1">
      <alignment readingOrder="0"/>
    </xf>
    <xf borderId="12" fillId="0" fontId="6" numFmtId="0" xfId="0" applyBorder="1" applyFont="1"/>
    <xf borderId="18" fillId="0" fontId="48" numFmtId="0" xfId="0" applyAlignment="1" applyBorder="1" applyFont="1">
      <alignment readingOrder="0"/>
    </xf>
    <xf borderId="12" fillId="0" fontId="42" numFmtId="0" xfId="0" applyAlignment="1" applyBorder="1" applyFont="1">
      <alignment readingOrder="0"/>
    </xf>
    <xf borderId="18" fillId="0" fontId="14" numFmtId="0" xfId="0" applyAlignment="1" applyBorder="1" applyFont="1">
      <alignment readingOrder="0"/>
    </xf>
    <xf borderId="18" fillId="0" fontId="81" numFmtId="0" xfId="0" applyAlignment="1" applyBorder="1" applyFont="1">
      <alignment readingOrder="0"/>
    </xf>
    <xf borderId="18" fillId="0" fontId="82" numFmtId="0" xfId="0" applyAlignment="1" applyBorder="1" applyFont="1">
      <alignment readingOrder="0"/>
    </xf>
    <xf borderId="18" fillId="0" fontId="83" numFmtId="0" xfId="0" applyAlignment="1" applyBorder="1" applyFont="1">
      <alignment readingOrder="0"/>
    </xf>
    <xf borderId="17" fillId="0" fontId="49" numFmtId="0" xfId="0" applyAlignment="1" applyBorder="1" applyFont="1">
      <alignment readingOrder="0"/>
    </xf>
    <xf borderId="17" fillId="0" fontId="19" numFmtId="0" xfId="0" applyAlignment="1" applyBorder="1" applyFont="1">
      <alignment readingOrder="0"/>
    </xf>
    <xf borderId="13" fillId="0" fontId="84" numFmtId="0" xfId="0" applyAlignment="1" applyBorder="1" applyFont="1">
      <alignment readingOrder="0"/>
    </xf>
    <xf borderId="13" fillId="0" fontId="19" numFmtId="0" xfId="0" applyBorder="1" applyFont="1"/>
    <xf borderId="18" fillId="0" fontId="47" numFmtId="0" xfId="0" applyAlignment="1" applyBorder="1" applyFont="1">
      <alignment readingOrder="0"/>
    </xf>
    <xf borderId="0" fillId="0" fontId="47" numFmtId="0" xfId="0" applyAlignment="1" applyFont="1">
      <alignment readingOrder="0"/>
    </xf>
    <xf borderId="18" fillId="0" fontId="84" numFmtId="0" xfId="0" applyAlignment="1" applyBorder="1" applyFont="1">
      <alignment readingOrder="0"/>
    </xf>
    <xf borderId="0" fillId="0" fontId="48" numFmtId="0" xfId="0" applyAlignment="1" applyFont="1">
      <alignment readingOrder="0"/>
    </xf>
    <xf borderId="18" fillId="0" fontId="20" numFmtId="0" xfId="0" applyAlignment="1" applyBorder="1" applyFont="1">
      <alignment readingOrder="0"/>
    </xf>
    <xf borderId="0" fillId="0" fontId="49" numFmtId="0" xfId="0" applyAlignment="1" applyFont="1">
      <alignment readingOrder="0"/>
    </xf>
    <xf borderId="0" fillId="0" fontId="13" numFmtId="0" xfId="0" applyAlignment="1" applyFont="1">
      <alignment readingOrder="0"/>
    </xf>
    <xf borderId="18" fillId="0" fontId="85" numFmtId="0" xfId="0" applyAlignment="1" applyBorder="1" applyFont="1">
      <alignment readingOrder="0"/>
    </xf>
    <xf borderId="18" fillId="43" fontId="86" numFmtId="0" xfId="0" applyAlignment="1" applyBorder="1" applyFill="1" applyFont="1">
      <alignment readingOrder="0"/>
    </xf>
    <xf borderId="0" fillId="11" fontId="3" numFmtId="0" xfId="0" applyAlignment="1" applyFont="1">
      <alignment readingOrder="0"/>
    </xf>
    <xf borderId="0" fillId="15" fontId="3" numFmtId="0" xfId="0" applyAlignment="1" applyFont="1">
      <alignment readingOrder="0"/>
    </xf>
    <xf borderId="0" fillId="44" fontId="3" numFmtId="0" xfId="0" applyAlignment="1" applyFill="1" applyFont="1">
      <alignment readingOrder="0"/>
    </xf>
    <xf borderId="0" fillId="45" fontId="3" numFmtId="0" xfId="0" applyAlignment="1" applyFill="1" applyFont="1">
      <alignment readingOrder="0"/>
    </xf>
    <xf borderId="0" fillId="12" fontId="3" numFmtId="0" xfId="0" applyAlignment="1" applyFont="1">
      <alignment readingOrder="0"/>
    </xf>
    <xf borderId="0" fillId="13" fontId="3" numFmtId="0" xfId="0" applyAlignment="1" applyFont="1">
      <alignment readingOrder="0"/>
    </xf>
    <xf borderId="0" fillId="14" fontId="3" numFmtId="0" xfId="0" applyAlignment="1" applyFont="1">
      <alignment readingOrder="0"/>
    </xf>
    <xf borderId="0" fillId="46" fontId="87" numFmtId="0" xfId="0" applyAlignment="1" applyFill="1" applyFont="1">
      <alignment readingOrder="0"/>
    </xf>
    <xf borderId="28" fillId="0" fontId="3" numFmtId="0" xfId="0" applyAlignment="1" applyBorder="1" applyFont="1">
      <alignment readingOrder="0"/>
    </xf>
    <xf borderId="0" fillId="47" fontId="3" numFmtId="0" xfId="0" applyAlignment="1" applyFill="1" applyFont="1">
      <alignment readingOrder="0"/>
    </xf>
    <xf borderId="0" fillId="44" fontId="21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8" fontId="21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29" fillId="0" fontId="3" numFmtId="0" xfId="0" applyAlignment="1" applyBorder="1" applyFont="1">
      <alignment readingOrder="0"/>
    </xf>
    <xf borderId="0" fillId="11" fontId="21" numFmtId="0" xfId="0" applyAlignment="1" applyFont="1">
      <alignment readingOrder="0"/>
    </xf>
    <xf borderId="0" fillId="12" fontId="88" numFmtId="0" xfId="0" applyAlignment="1" applyFont="1">
      <alignment readingOrder="0"/>
    </xf>
    <xf borderId="0" fillId="49" fontId="3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6" fontId="3" numFmtId="0" xfId="0" applyAlignment="1" applyFont="1">
      <alignment readingOrder="0"/>
    </xf>
    <xf borderId="0" fillId="0" fontId="6" numFmtId="0" xfId="0" applyFont="1"/>
    <xf borderId="19" fillId="0" fontId="6" numFmtId="0" xfId="0" applyBorder="1" applyFont="1"/>
    <xf borderId="18" fillId="50" fontId="89" numFmtId="0" xfId="0" applyAlignment="1" applyBorder="1" applyFill="1" applyFont="1">
      <alignment readingOrder="0"/>
    </xf>
    <xf borderId="18" fillId="51" fontId="90" numFmtId="0" xfId="0" applyAlignment="1" applyBorder="1" applyFill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169" xfId="0" applyFont="1" applyNumberFormat="1"/>
    <xf borderId="0" fillId="0" fontId="91" numFmtId="0" xfId="0" applyAlignment="1" applyFont="1">
      <alignment horizontal="right" vertical="bottom"/>
    </xf>
    <xf borderId="0" fillId="0" fontId="91" numFmtId="169" xfId="0" applyAlignment="1" applyFont="1" applyNumberFormat="1">
      <alignment horizontal="right" vertical="bottom"/>
    </xf>
    <xf borderId="0" fillId="0" fontId="3" numFmtId="49" xfId="0" applyFont="1" applyNumberFormat="1"/>
    <xf borderId="15" fillId="0" fontId="6" numFmtId="0" xfId="0" applyAlignment="1" applyBorder="1" applyFont="1">
      <alignment readingOrder="0"/>
    </xf>
    <xf borderId="30" fillId="0" fontId="5" numFmtId="0" xfId="0" applyBorder="1" applyFont="1"/>
    <xf borderId="26" fillId="0" fontId="6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31" fillId="0" fontId="6" numFmtId="0" xfId="0" applyAlignment="1" applyBorder="1" applyFont="1">
      <alignment readingOrder="0"/>
    </xf>
    <xf borderId="32" fillId="0" fontId="6" numFmtId="0" xfId="0" applyBorder="1" applyFont="1"/>
    <xf borderId="0" fillId="0" fontId="92" numFmtId="0" xfId="0" applyFont="1"/>
    <xf borderId="33" fillId="0" fontId="6" numFmtId="0" xfId="0" applyBorder="1" applyFont="1"/>
    <xf borderId="31" fillId="0" fontId="3" numFmtId="0" xfId="0" applyAlignment="1" applyBorder="1" applyFont="1">
      <alignment readingOrder="0"/>
    </xf>
    <xf borderId="34" fillId="0" fontId="6" numFmtId="0" xfId="0" applyBorder="1" applyFont="1"/>
    <xf borderId="35" fillId="0" fontId="6" numFmtId="0" xfId="0" applyBorder="1" applyFont="1"/>
    <xf borderId="28" fillId="0" fontId="6" numFmtId="0" xfId="0" applyBorder="1" applyFont="1"/>
    <xf borderId="36" fillId="0" fontId="6" numFmtId="0" xfId="0" applyBorder="1" applyFont="1"/>
    <xf borderId="27" fillId="0" fontId="6" numFmtId="0" xfId="0" applyBorder="1" applyFont="1"/>
    <xf borderId="37" fillId="0" fontId="6" numFmtId="0" xfId="0" applyBorder="1" applyFont="1"/>
    <xf borderId="38" fillId="0" fontId="6" numFmtId="0" xfId="0" applyBorder="1" applyFont="1"/>
    <xf borderId="39" fillId="0" fontId="6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Font="1"/>
    <xf borderId="22" fillId="0" fontId="1" numFmtId="0" xfId="0" applyAlignment="1" applyBorder="1" applyFont="1">
      <alignment readingOrder="0"/>
    </xf>
    <xf borderId="21" fillId="0" fontId="6" numFmtId="0" xfId="0" applyBorder="1" applyFont="1"/>
    <xf borderId="23" fillId="0" fontId="6" numFmtId="0" xfId="0" applyBorder="1" applyFont="1"/>
    <xf borderId="22" fillId="0" fontId="3" numFmtId="0" xfId="0" applyBorder="1" applyFont="1"/>
    <xf borderId="12" fillId="0" fontId="48" numFmtId="0" xfId="0" applyAlignment="1" applyBorder="1" applyFont="1">
      <alignment readingOrder="0"/>
    </xf>
    <xf borderId="23" fillId="0" fontId="3" numFmtId="0" xfId="0" applyBorder="1" applyFont="1"/>
    <xf borderId="20" fillId="0" fontId="47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20" fillId="0" fontId="3" numFmtId="0" xfId="0" applyAlignment="1" applyBorder="1" applyFont="1">
      <alignment readingOrder="0"/>
    </xf>
    <xf borderId="11" fillId="0" fontId="3" numFmtId="49" xfId="0" applyAlignment="1" applyBorder="1" applyFont="1" applyNumberFormat="1">
      <alignment readingOrder="0"/>
    </xf>
    <xf borderId="12" fillId="0" fontId="13" numFmtId="0" xfId="0" applyAlignment="1" applyBorder="1" applyFont="1">
      <alignment readingOrder="0"/>
    </xf>
    <xf borderId="24" fillId="0" fontId="3" numFmtId="0" xfId="0" applyBorder="1" applyFont="1"/>
    <xf borderId="20" fillId="0" fontId="20" numFmtId="0" xfId="0" applyAlignment="1" applyBorder="1" applyFont="1">
      <alignment readingOrder="0"/>
    </xf>
    <xf borderId="20" fillId="0" fontId="93" numFmtId="0" xfId="0" applyAlignment="1" applyBorder="1" applyFont="1">
      <alignment readingOrder="0"/>
    </xf>
    <xf borderId="20" fillId="0" fontId="94" numFmtId="0" xfId="0" applyAlignment="1" applyBorder="1" applyFont="1">
      <alignment readingOrder="0"/>
    </xf>
    <xf borderId="20" fillId="0" fontId="13" numFmtId="0" xfId="0" applyAlignment="1" applyBorder="1" applyFont="1">
      <alignment readingOrder="0"/>
    </xf>
    <xf borderId="20" fillId="0" fontId="48" numFmtId="0" xfId="0" applyAlignment="1" applyBorder="1" applyFont="1">
      <alignment readingOrder="0"/>
    </xf>
  </cellXfs>
  <cellStyles count="1">
    <cellStyle xfId="0" name="Normal" builtinId="0"/>
  </cellStyles>
  <dxfs count="47">
    <dxf>
      <font/>
      <fill>
        <patternFill patternType="solid">
          <fgColor rgb="FFFFC9EF"/>
          <bgColor rgb="FFFFC9EF"/>
        </patternFill>
      </fill>
      <border/>
    </dxf>
    <dxf>
      <font/>
      <fill>
        <patternFill patternType="solid">
          <fgColor rgb="FFD4EDBC"/>
          <bgColor rgb="FFD4EDBC"/>
        </patternFill>
      </fill>
      <border/>
    </dxf>
    <dxf>
      <font/>
      <fill>
        <patternFill patternType="solid">
          <fgColor rgb="FFFFC8AA"/>
          <bgColor rgb="FFFFC8AA"/>
        </patternFill>
      </fill>
      <border/>
    </dxf>
    <dxf>
      <font/>
      <fill>
        <patternFill patternType="solid">
          <fgColor rgb="FFBFE1F6"/>
          <bgColor rgb="FFBFE1F6"/>
        </patternFill>
      </fill>
      <border/>
    </dxf>
    <dxf>
      <font/>
      <fill>
        <patternFill patternType="solid">
          <fgColor rgb="FFE6CFF2"/>
          <bgColor rgb="FFE6CFF2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00FFFF"/>
      </font>
      <fill>
        <patternFill patternType="solid">
          <fgColor rgb="FF134F5C"/>
          <bgColor rgb="FF134F5C"/>
        </patternFill>
      </fill>
      <border/>
    </dxf>
    <dxf>
      <font>
        <color rgb="FF9900FF"/>
      </font>
      <fill>
        <patternFill patternType="solid">
          <fgColor rgb="FFEAD1DC"/>
          <bgColor rgb="FFEAD1DC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4A86E8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8EAED"/>
          <bgColor rgb="FFE8EAED"/>
        </patternFill>
      </fill>
      <border/>
    </dxf>
    <dxf>
      <font>
        <color rgb="FFD92A2A"/>
      </font>
      <fill>
        <patternFill patternType="solid">
          <fgColor rgb="FFFFCFC9"/>
          <bgColor rgb="FFFFCFC9"/>
        </patternFill>
      </fill>
      <border/>
    </dxf>
    <dxf>
      <font>
        <color rgb="FFF4CCCC"/>
      </font>
      <fill>
        <patternFill patternType="solid">
          <fgColor rgb="FFD82E2E"/>
          <bgColor rgb="FFD82E2E"/>
        </patternFill>
      </fill>
      <border/>
    </dxf>
    <dxf>
      <font>
        <color rgb="FF1C4587"/>
      </font>
      <fill>
        <patternFill patternType="solid">
          <fgColor rgb="FFBFE1F6"/>
          <bgColor rgb="FFBFE1F6"/>
        </patternFill>
      </fill>
      <border/>
    </dxf>
    <dxf>
      <font>
        <color rgb="FF073763"/>
      </font>
      <fill>
        <patternFill patternType="solid">
          <fgColor rgb="FFC6DBE1"/>
          <bgColor rgb="FFC6DBE1"/>
        </patternFill>
      </fill>
      <border/>
    </dxf>
    <dxf>
      <font>
        <color rgb="FF351C75"/>
      </font>
      <fill>
        <patternFill patternType="solid">
          <fgColor rgb="FFE6CFF2"/>
          <bgColor rgb="FFE6CFF2"/>
        </patternFill>
      </fill>
      <border/>
    </dxf>
    <dxf>
      <font>
        <color rgb="FF20124D"/>
      </font>
      <fill>
        <patternFill patternType="solid">
          <fgColor rgb="FFFFC076"/>
          <bgColor rgb="FFFFC076"/>
        </patternFill>
      </fill>
      <border/>
    </dxf>
    <dxf>
      <font>
        <color rgb="FFFFFFFF"/>
      </font>
      <fill>
        <patternFill patternType="solid">
          <fgColor rgb="FFA22323"/>
          <bgColor rgb="FFA22323"/>
        </patternFill>
      </fill>
      <border/>
    </dxf>
    <dxf>
      <font>
        <color rgb="FF134F5C"/>
      </font>
      <fill>
        <patternFill patternType="solid">
          <fgColor rgb="FFD4EDBC"/>
          <bgColor rgb="FFD4EDBC"/>
        </patternFill>
      </fill>
      <border/>
    </dxf>
    <dxf>
      <font>
        <color rgb="FFEFEFEF"/>
      </font>
      <fill>
        <patternFill patternType="solid">
          <fgColor rgb="FF85CAB1"/>
          <bgColor rgb="FF85CAB1"/>
        </patternFill>
      </fill>
      <border/>
    </dxf>
    <dxf>
      <font>
        <color rgb="FFFCE5CD"/>
      </font>
      <fill>
        <patternFill patternType="solid">
          <fgColor rgb="FFDAA473"/>
          <bgColor rgb="FFDAA473"/>
        </patternFill>
      </fill>
      <border/>
    </dxf>
    <dxf>
      <font/>
      <fill>
        <patternFill patternType="solid">
          <fgColor rgb="FFFF9E00"/>
          <bgColor rgb="FFFF9E00"/>
        </patternFill>
      </fill>
      <border/>
    </dxf>
    <dxf>
      <font/>
      <fill>
        <patternFill patternType="solid">
          <fgColor rgb="FFFFF243"/>
          <bgColor rgb="FFFFF243"/>
        </patternFill>
      </fill>
      <border/>
    </dxf>
    <dxf>
      <font/>
      <fill>
        <patternFill patternType="solid">
          <fgColor rgb="FFB10202"/>
          <bgColor rgb="FFB10202"/>
        </patternFill>
      </fill>
      <border/>
    </dxf>
    <dxf>
      <font/>
      <fill>
        <patternFill patternType="solid">
          <fgColor rgb="FFC6DBE1"/>
          <bgColor rgb="FFC6DBE1"/>
        </patternFill>
      </fill>
      <border/>
    </dxf>
    <dxf>
      <font/>
      <fill>
        <patternFill patternType="solid">
          <fgColor rgb="FFFFE400"/>
          <bgColor rgb="FFFFE400"/>
        </patternFill>
      </fill>
      <border/>
    </dxf>
    <dxf>
      <font/>
      <fill>
        <patternFill patternType="solid">
          <fgColor rgb="FFDAA473"/>
          <bgColor rgb="FFDAA473"/>
        </patternFill>
      </fill>
      <border/>
    </dxf>
    <dxf>
      <font/>
      <fill>
        <patternFill patternType="solid">
          <fgColor rgb="FFA22323"/>
          <bgColor rgb="FFA22323"/>
        </patternFill>
      </fill>
      <border/>
    </dxf>
    <dxf>
      <font/>
      <fill>
        <patternFill patternType="solid">
          <fgColor rgb="FFFFC076"/>
          <bgColor rgb="FFFFC076"/>
        </patternFill>
      </fill>
      <border/>
    </dxf>
    <dxf>
      <font/>
      <fill>
        <patternFill patternType="solid">
          <fgColor rgb="FFD82E2E"/>
          <bgColor rgb="FFD82E2E"/>
        </patternFill>
      </fill>
      <border/>
    </dxf>
    <dxf>
      <font/>
      <fill>
        <patternFill patternType="solid">
          <fgColor rgb="FF85CAB1"/>
          <bgColor rgb="FF85CAB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FF00"/>
      </font>
      <fill>
        <patternFill patternType="solid">
          <fgColor rgb="FF38761D"/>
          <bgColor rgb="FF38761D"/>
        </patternFill>
      </fill>
      <border/>
    </dxf>
    <dxf>
      <font>
        <color theme="1"/>
      </font>
      <fill>
        <patternFill patternType="solid">
          <fgColor rgb="FFFFE400"/>
          <bgColor rgb="FFFFE400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CCCCCC"/>
      </font>
      <fill>
        <patternFill patternType="solid">
          <fgColor rgb="FF000000"/>
          <bgColor rgb="FF000000"/>
        </patternFill>
      </fill>
      <border/>
    </dxf>
    <dxf>
      <font>
        <color rgb="FFFFFF00"/>
      </font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0</xdr:row>
      <xdr:rowOff>123825</xdr:rowOff>
    </xdr:from>
    <xdr:ext cx="923925" cy="361950"/>
    <xdr:grpSp>
      <xdr:nvGrpSpPr>
        <xdr:cNvPr id="2" name="Shape 2" title="Drawing"/>
        <xdr:cNvGrpSpPr/>
      </xdr:nvGrpSpPr>
      <xdr:grpSpPr>
        <a:xfrm>
          <a:off x="2123575" y="590775"/>
          <a:ext cx="948000" cy="345300"/>
          <a:chOff x="2123575" y="590775"/>
          <a:chExt cx="948000" cy="345300"/>
        </a:xfrm>
      </xdr:grpSpPr>
      <xdr:sp>
        <xdr:nvSpPr>
          <xdr:cNvPr id="3" name="Shape 3"/>
          <xdr:cNvSpPr/>
        </xdr:nvSpPr>
        <xdr:spPr>
          <a:xfrm>
            <a:off x="2123575" y="661850"/>
            <a:ext cx="948000" cy="2103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33725" y="590775"/>
            <a:ext cx="913500" cy="345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Update Date</a:t>
            </a:r>
            <a:endParaRPr sz="1000"/>
          </a:p>
        </xdr:txBody>
      </xdr:sp>
    </xdr:grpSp>
    <xdr:clientData fLocksWithSheet="0"/>
  </xdr:oneCellAnchor>
  <xdr:oneCellAnchor>
    <xdr:from>
      <xdr:col>6</xdr:col>
      <xdr:colOff>923925</xdr:colOff>
      <xdr:row>0</xdr:row>
      <xdr:rowOff>171450</xdr:rowOff>
    </xdr:from>
    <xdr:ext cx="990600" cy="266700"/>
    <xdr:grpSp>
      <xdr:nvGrpSpPr>
        <xdr:cNvPr id="2" name="Shape 2" title="Drawing"/>
        <xdr:cNvGrpSpPr/>
      </xdr:nvGrpSpPr>
      <xdr:grpSpPr>
        <a:xfrm>
          <a:off x="2296150" y="1585578"/>
          <a:ext cx="1441500" cy="416100"/>
          <a:chOff x="2296150" y="1585578"/>
          <a:chExt cx="1441500" cy="416100"/>
        </a:xfrm>
      </xdr:grpSpPr>
      <xdr:sp>
        <xdr:nvSpPr>
          <xdr:cNvPr id="5" name="Shape 5"/>
          <xdr:cNvSpPr/>
        </xdr:nvSpPr>
        <xdr:spPr>
          <a:xfrm>
            <a:off x="2296150" y="1626175"/>
            <a:ext cx="1441500" cy="3450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296150" y="1585578"/>
            <a:ext cx="1441500" cy="416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Get Day</a:t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962025</xdr:colOff>
      <xdr:row>9</xdr:row>
      <xdr:rowOff>57150</xdr:rowOff>
    </xdr:from>
    <xdr:ext cx="933450" cy="238125"/>
    <xdr:grpSp>
      <xdr:nvGrpSpPr>
        <xdr:cNvPr id="2" name="Shape 2" title="Drawing"/>
        <xdr:cNvGrpSpPr/>
      </xdr:nvGrpSpPr>
      <xdr:grpSpPr>
        <a:xfrm>
          <a:off x="1362250" y="1423175"/>
          <a:ext cx="4233000" cy="1035300"/>
          <a:chOff x="1362250" y="1423175"/>
          <a:chExt cx="4233000" cy="1035300"/>
        </a:xfrm>
      </xdr:grpSpPr>
      <xdr:sp>
        <xdr:nvSpPr>
          <xdr:cNvPr id="7" name="Shape 7"/>
          <xdr:cNvSpPr/>
        </xdr:nvSpPr>
        <xdr:spPr>
          <a:xfrm>
            <a:off x="1362250" y="1423175"/>
            <a:ext cx="4233000" cy="10353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1389877" y="1453625"/>
            <a:ext cx="4177800" cy="9645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800"/>
              <a:t>Daily Manager XP</a:t>
            </a:r>
            <a:endParaRPr sz="3800"/>
          </a:p>
        </xdr:txBody>
      </xdr:sp>
    </xdr:grpSp>
    <xdr:clientData fLocksWithSheet="0"/>
  </xdr:oneCellAnchor>
  <xdr:oneCellAnchor>
    <xdr:from>
      <xdr:col>9</xdr:col>
      <xdr:colOff>962025</xdr:colOff>
      <xdr:row>10</xdr:row>
      <xdr:rowOff>95250</xdr:rowOff>
    </xdr:from>
    <xdr:ext cx="933450" cy="238125"/>
    <xdr:grpSp>
      <xdr:nvGrpSpPr>
        <xdr:cNvPr id="2" name="Shape 2" title="Drawing"/>
        <xdr:cNvGrpSpPr/>
      </xdr:nvGrpSpPr>
      <xdr:grpSpPr>
        <a:xfrm>
          <a:off x="843275" y="321775"/>
          <a:ext cx="3129000" cy="777300"/>
          <a:chOff x="843275" y="321775"/>
          <a:chExt cx="3129000" cy="777300"/>
        </a:xfrm>
      </xdr:grpSpPr>
      <xdr:sp>
        <xdr:nvSpPr>
          <xdr:cNvPr id="9" name="Shape 9"/>
          <xdr:cNvSpPr/>
        </xdr:nvSpPr>
        <xdr:spPr>
          <a:xfrm>
            <a:off x="843275" y="321775"/>
            <a:ext cx="3129000" cy="7773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863725" y="362675"/>
            <a:ext cx="30576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500"/>
              <a:t>Add Normal MD XP</a:t>
            </a:r>
            <a:endParaRPr sz="2500"/>
          </a:p>
        </xdr:txBody>
      </xdr:sp>
    </xdr:grpSp>
    <xdr:clientData fLocksWithSheet="0"/>
  </xdr:oneCellAnchor>
  <xdr:oneCellAnchor>
    <xdr:from>
      <xdr:col>9</xdr:col>
      <xdr:colOff>962025</xdr:colOff>
      <xdr:row>11</xdr:row>
      <xdr:rowOff>133350</xdr:rowOff>
    </xdr:from>
    <xdr:ext cx="933450" cy="238125"/>
    <xdr:grpSp>
      <xdr:nvGrpSpPr>
        <xdr:cNvPr id="2" name="Shape 2" title="Drawing"/>
        <xdr:cNvGrpSpPr/>
      </xdr:nvGrpSpPr>
      <xdr:grpSpPr>
        <a:xfrm>
          <a:off x="1078025" y="935925"/>
          <a:ext cx="3441300" cy="923700"/>
          <a:chOff x="1078025" y="935925"/>
          <a:chExt cx="3441300" cy="923700"/>
        </a:xfrm>
      </xdr:grpSpPr>
      <xdr:sp>
        <xdr:nvSpPr>
          <xdr:cNvPr id="11" name="Shape 11"/>
          <xdr:cNvSpPr/>
        </xdr:nvSpPr>
        <xdr:spPr>
          <a:xfrm>
            <a:off x="1078025" y="935925"/>
            <a:ext cx="3441300" cy="9237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1128800" y="986675"/>
            <a:ext cx="3319500" cy="8121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600"/>
              <a:t>Add 1 Weekly Bonus MD XP</a:t>
            </a:r>
            <a:endParaRPr sz="2600"/>
          </a:p>
        </xdr:txBody>
      </xdr:sp>
    </xdr:grpSp>
    <xdr:clientData fLocksWithSheet="0"/>
  </xdr:oneCellAnchor>
  <xdr:oneCellAnchor>
    <xdr:from>
      <xdr:col>1</xdr:col>
      <xdr:colOff>9525</xdr:colOff>
      <xdr:row>35</xdr:row>
      <xdr:rowOff>190500</xdr:rowOff>
    </xdr:from>
    <xdr:ext cx="933450" cy="390525"/>
    <xdr:sp>
      <xdr:nvSpPr>
        <xdr:cNvPr id="13" name="Shape 13"/>
        <xdr:cNvSpPr/>
      </xdr:nvSpPr>
      <xdr:spPr>
        <a:xfrm>
          <a:off x="1945525" y="1461175"/>
          <a:ext cx="1134900" cy="1114500"/>
        </a:xfrm>
        <a:prstGeom prst="rect">
          <a:avLst/>
        </a:prstGeom>
        <a:solidFill>
          <a:srgbClr val="EFEFE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942975</xdr:colOff>
      <xdr:row>35</xdr:row>
      <xdr:rowOff>190500</xdr:rowOff>
    </xdr:from>
    <xdr:ext cx="1000125" cy="390525"/>
    <xdr:sp>
      <xdr:nvSpPr>
        <xdr:cNvPr id="14" name="Shape 14"/>
        <xdr:cNvSpPr/>
      </xdr:nvSpPr>
      <xdr:spPr>
        <a:xfrm>
          <a:off x="1311500" y="824250"/>
          <a:ext cx="1126800" cy="1126800"/>
        </a:xfrm>
        <a:prstGeom prst="rect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9525</xdr:colOff>
      <xdr:row>35</xdr:row>
      <xdr:rowOff>190500</xdr:rowOff>
    </xdr:from>
    <xdr:ext cx="933450" cy="390525"/>
    <xdr:sp>
      <xdr:nvSpPr>
        <xdr:cNvPr id="15" name="Shape 15"/>
        <xdr:cNvSpPr/>
      </xdr:nvSpPr>
      <xdr:spPr>
        <a:xfrm>
          <a:off x="2590525" y="986675"/>
          <a:ext cx="1126800" cy="1106400"/>
        </a:xfrm>
        <a:prstGeom prst="rect">
          <a:avLst/>
        </a:prstGeom>
        <a:solidFill>
          <a:srgbClr val="FFF2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942975</xdr:colOff>
      <xdr:row>35</xdr:row>
      <xdr:rowOff>190500</xdr:rowOff>
    </xdr:from>
    <xdr:ext cx="1000125" cy="390525"/>
    <xdr:sp>
      <xdr:nvSpPr>
        <xdr:cNvPr id="16" name="Shape 16"/>
        <xdr:cNvSpPr/>
      </xdr:nvSpPr>
      <xdr:spPr>
        <a:xfrm>
          <a:off x="2458575" y="803950"/>
          <a:ext cx="1137000" cy="112680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</xdr:colOff>
      <xdr:row>35</xdr:row>
      <xdr:rowOff>190500</xdr:rowOff>
    </xdr:from>
    <xdr:ext cx="933450" cy="390525"/>
    <xdr:sp>
      <xdr:nvSpPr>
        <xdr:cNvPr id="17" name="Shape 17"/>
        <xdr:cNvSpPr/>
      </xdr:nvSpPr>
      <xdr:spPr>
        <a:xfrm>
          <a:off x="2458575" y="1149100"/>
          <a:ext cx="1157100" cy="1157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942975</xdr:colOff>
      <xdr:row>35</xdr:row>
      <xdr:rowOff>190500</xdr:rowOff>
    </xdr:from>
    <xdr:ext cx="1000125" cy="390525"/>
    <xdr:sp>
      <xdr:nvSpPr>
        <xdr:cNvPr id="18" name="Shape 18"/>
        <xdr:cNvSpPr/>
      </xdr:nvSpPr>
      <xdr:spPr>
        <a:xfrm>
          <a:off x="2763100" y="1138950"/>
          <a:ext cx="1147200" cy="1137000"/>
        </a:xfrm>
        <a:prstGeom prst="rect">
          <a:avLst/>
        </a:prstGeom>
        <a:solidFill>
          <a:srgbClr val="D0E0E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35</xdr:row>
      <xdr:rowOff>190500</xdr:rowOff>
    </xdr:from>
    <xdr:ext cx="933450" cy="390525"/>
    <xdr:sp>
      <xdr:nvSpPr>
        <xdr:cNvPr id="19" name="Shape 19"/>
        <xdr:cNvSpPr/>
      </xdr:nvSpPr>
      <xdr:spPr>
        <a:xfrm>
          <a:off x="2610825" y="1301350"/>
          <a:ext cx="1106400" cy="1116600"/>
        </a:xfrm>
        <a:prstGeom prst="rect">
          <a:avLst/>
        </a:prstGeom>
        <a:solidFill>
          <a:srgbClr val="D9D2E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952500</xdr:colOff>
      <xdr:row>35</xdr:row>
      <xdr:rowOff>190500</xdr:rowOff>
    </xdr:from>
    <xdr:ext cx="933450" cy="390525"/>
    <xdr:sp>
      <xdr:nvSpPr>
        <xdr:cNvPr id="20" name="Shape 20"/>
        <xdr:cNvSpPr/>
      </xdr:nvSpPr>
      <xdr:spPr>
        <a:xfrm>
          <a:off x="2742800" y="1301350"/>
          <a:ext cx="1147200" cy="1126800"/>
        </a:xfrm>
        <a:prstGeom prst="rect">
          <a:avLst/>
        </a:prstGeom>
        <a:solidFill>
          <a:srgbClr val="FCE5C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923925</xdr:colOff>
      <xdr:row>35</xdr:row>
      <xdr:rowOff>190500</xdr:rowOff>
    </xdr:from>
    <xdr:ext cx="1000125" cy="390525"/>
    <xdr:sp>
      <xdr:nvSpPr>
        <xdr:cNvPr id="21" name="Shape 21"/>
        <xdr:cNvSpPr/>
      </xdr:nvSpPr>
      <xdr:spPr>
        <a:xfrm>
          <a:off x="2620975" y="976525"/>
          <a:ext cx="1106400" cy="1106400"/>
        </a:xfrm>
        <a:prstGeom prst="rect">
          <a:avLst/>
        </a:prstGeom>
        <a:solidFill>
          <a:srgbClr val="98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962025</xdr:colOff>
      <xdr:row>35</xdr:row>
      <xdr:rowOff>190500</xdr:rowOff>
    </xdr:from>
    <xdr:ext cx="933450" cy="390525"/>
    <xdr:sp>
      <xdr:nvSpPr>
        <xdr:cNvPr id="22" name="Shape 22"/>
        <xdr:cNvSpPr/>
      </xdr:nvSpPr>
      <xdr:spPr>
        <a:xfrm>
          <a:off x="2752950" y="1128800"/>
          <a:ext cx="1137000" cy="1137000"/>
        </a:xfrm>
        <a:prstGeom prst="rect">
          <a:avLst/>
        </a:prstGeom>
        <a:solidFill>
          <a:srgbClr val="D9EAD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933450</xdr:colOff>
      <xdr:row>35</xdr:row>
      <xdr:rowOff>190500</xdr:rowOff>
    </xdr:from>
    <xdr:ext cx="1000125" cy="390525"/>
    <xdr:sp>
      <xdr:nvSpPr>
        <xdr:cNvPr id="23" name="Shape 23"/>
        <xdr:cNvSpPr/>
      </xdr:nvSpPr>
      <xdr:spPr>
        <a:xfrm>
          <a:off x="2600675" y="1281050"/>
          <a:ext cx="1137000" cy="1147200"/>
        </a:xfrm>
        <a:prstGeom prst="rect">
          <a:avLst/>
        </a:prstGeom>
        <a:solidFill>
          <a:srgbClr val="76A5A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9525</xdr:colOff>
      <xdr:row>35</xdr:row>
      <xdr:rowOff>190500</xdr:rowOff>
    </xdr:from>
    <xdr:ext cx="933450" cy="390525"/>
    <xdr:sp>
      <xdr:nvSpPr>
        <xdr:cNvPr id="24" name="Shape 24"/>
        <xdr:cNvSpPr/>
      </xdr:nvSpPr>
      <xdr:spPr>
        <a:xfrm>
          <a:off x="2600675" y="1321650"/>
          <a:ext cx="1106400" cy="1106400"/>
        </a:xfrm>
        <a:prstGeom prst="rect">
          <a:avLst/>
        </a:prstGeom>
        <a:solidFill>
          <a:srgbClr val="B45F0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tlekung Ch" id="{44f808e4-c2a9-465c-a120-615a8e92947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8" dT="2026-02-02T07:16:23.00" personId="{44f808e4-c2a9-465c-a120-615a8e92947e}" id="{31042200-02ac-4e41-8128-7abc10fc11ec}" done="1">
    <x18tc:text xml:space="preserve">*0-~24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79" dT="2026-04-30T06:42:09.00" personId="{44f808e4-c2a9-465c-a120-615a8e92947e}" id="{4678ca2f-cb12-4cc0-8efd-7573876ca2c7}" done="1">
    <x18tc:text xml:space="preserve">+?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>
        <v>46198.181707337964</v>
      </c>
      <c r="H1" s="7" t="str">
        <f>Inventory!K14</f>
        <v>Tue</v>
      </c>
      <c r="I1" s="8"/>
      <c r="J1" s="8"/>
      <c r="K1" s="8"/>
      <c r="L1" s="8"/>
      <c r="M1" s="8"/>
      <c r="N1" s="9"/>
      <c r="O1" s="8"/>
      <c r="P1" s="8"/>
      <c r="Q1" s="8"/>
      <c r="R1" s="8"/>
      <c r="S1" s="8"/>
      <c r="T1" s="8"/>
      <c r="U1" s="9"/>
      <c r="V1" s="9"/>
      <c r="W1" s="9"/>
      <c r="X1" s="9"/>
      <c r="Y1" s="9"/>
    </row>
    <row r="2">
      <c r="A2" s="10">
        <v>38996.0</v>
      </c>
      <c r="B2" s="11">
        <v>2841.0</v>
      </c>
      <c r="C2" s="12">
        <f>A2-B2</f>
        <v>36155</v>
      </c>
      <c r="D2" s="13">
        <v>23.0</v>
      </c>
      <c r="E2" s="14">
        <v>0.0</v>
      </c>
      <c r="F2" s="15">
        <f>SUM(F3:F4)</f>
        <v>301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7"/>
      <c r="B3" s="7" t="s">
        <v>6</v>
      </c>
      <c r="C3" s="8">
        <f>(C2-MOD(C2,1300))/130</f>
        <v>270</v>
      </c>
      <c r="D3" s="8">
        <f>(D2-MOD(D2,10))</f>
        <v>20</v>
      </c>
      <c r="E3" s="8">
        <f>E2*10</f>
        <v>0</v>
      </c>
      <c r="F3" s="8">
        <f t="shared" ref="F3:F4" si="1">SUM(C3:E3)</f>
        <v>290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8"/>
      <c r="B4" s="7" t="s">
        <v>7</v>
      </c>
      <c r="C4" s="8">
        <f>ROUNDDOWN((MOD(C2,1300))/130,0)</f>
        <v>8</v>
      </c>
      <c r="D4" s="8">
        <f>D2-(D2-MOD(D2,10))</f>
        <v>3</v>
      </c>
      <c r="E4" s="7">
        <v>0.0</v>
      </c>
      <c r="F4" s="8">
        <f t="shared" si="1"/>
        <v>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8"/>
      <c r="B5" s="7" t="s">
        <v>8</v>
      </c>
      <c r="C5" s="8">
        <f>C2-C3*130</f>
        <v>1055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 t="s">
        <v>9</v>
      </c>
      <c r="B6" s="8"/>
      <c r="C6" s="8"/>
      <c r="D6" s="8"/>
      <c r="E6" s="8"/>
      <c r="F6" s="8"/>
      <c r="G6" s="7" t="s">
        <v>9</v>
      </c>
      <c r="H6" s="8"/>
      <c r="I6" s="8"/>
      <c r="J6" s="8"/>
      <c r="K6" s="8"/>
      <c r="L6" s="8"/>
      <c r="M6" s="7" t="s">
        <v>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 t="s">
        <v>10</v>
      </c>
      <c r="B7" s="8">
        <f>C2+750</f>
        <v>36905</v>
      </c>
      <c r="C7" s="16">
        <f>G1+7</f>
        <v>46205.18171</v>
      </c>
      <c r="D7" s="8"/>
      <c r="E7" s="8"/>
      <c r="F7" s="8"/>
      <c r="G7" s="7" t="s">
        <v>10</v>
      </c>
      <c r="H7" s="8">
        <f>B80+750</f>
        <v>44289</v>
      </c>
      <c r="I7" s="17">
        <f>C79+7</f>
        <v>46296.18171</v>
      </c>
      <c r="J7" s="8"/>
      <c r="K7" s="8"/>
      <c r="L7" s="8"/>
      <c r="M7" s="7" t="s">
        <v>10</v>
      </c>
      <c r="N7" s="8">
        <f>H80+750</f>
        <v>51673</v>
      </c>
      <c r="O7" s="17">
        <f>I79+7</f>
        <v>46387.18171</v>
      </c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7" t="s">
        <v>11</v>
      </c>
      <c r="B8" s="8">
        <f>B7-(7*26)</f>
        <v>36723</v>
      </c>
      <c r="C8" s="8">
        <f>$D$2</f>
        <v>23</v>
      </c>
      <c r="D8" s="8">
        <f>$E$2</f>
        <v>0</v>
      </c>
      <c r="E8" s="8">
        <f>E9+E10</f>
        <v>305</v>
      </c>
      <c r="F8" s="8"/>
      <c r="G8" s="7" t="s">
        <v>11</v>
      </c>
      <c r="H8" s="8">
        <f>H7-(7*26)</f>
        <v>44107</v>
      </c>
      <c r="I8" s="8">
        <f>$D$2</f>
        <v>23</v>
      </c>
      <c r="J8" s="8">
        <f>$E$2</f>
        <v>0</v>
      </c>
      <c r="K8" s="8">
        <f>K9+K10</f>
        <v>362</v>
      </c>
      <c r="L8" s="8"/>
      <c r="M8" s="7" t="s">
        <v>11</v>
      </c>
      <c r="N8" s="8">
        <f>N7-(7*26)</f>
        <v>51491</v>
      </c>
      <c r="O8" s="8">
        <f>$D$2</f>
        <v>23</v>
      </c>
      <c r="P8" s="8">
        <f>$E$2</f>
        <v>0</v>
      </c>
      <c r="Q8" s="8">
        <f>Q9+Q10</f>
        <v>419</v>
      </c>
      <c r="R8" s="8"/>
      <c r="S8" s="8"/>
      <c r="T8" s="8"/>
      <c r="U8" s="8"/>
      <c r="V8" s="8"/>
      <c r="W8" s="8"/>
      <c r="X8" s="8"/>
      <c r="Y8" s="8"/>
    </row>
    <row r="9">
      <c r="A9" s="7" t="s">
        <v>6</v>
      </c>
      <c r="B9" s="8">
        <f>(B8-MOD(B8,1300))/130</f>
        <v>280</v>
      </c>
      <c r="C9" s="8">
        <f>(C8-MOD(C8,10))</f>
        <v>20</v>
      </c>
      <c r="D9" s="8">
        <f>D8*10</f>
        <v>0</v>
      </c>
      <c r="E9" s="8">
        <f t="shared" ref="E9:E10" si="2">B9+C9+D9</f>
        <v>300</v>
      </c>
      <c r="F9" s="8"/>
      <c r="G9" s="7" t="s">
        <v>6</v>
      </c>
      <c r="H9" s="8">
        <f>(H8-MOD(H8,1300))/130</f>
        <v>330</v>
      </c>
      <c r="I9" s="8">
        <f>(I8-MOD(I8,10))</f>
        <v>20</v>
      </c>
      <c r="J9" s="8">
        <f>J8*10</f>
        <v>0</v>
      </c>
      <c r="K9" s="8">
        <f t="shared" ref="K9:K10" si="3">H9+I9+J9</f>
        <v>350</v>
      </c>
      <c r="L9" s="8"/>
      <c r="M9" s="7" t="s">
        <v>6</v>
      </c>
      <c r="N9" s="8">
        <f>(N8-MOD(N8,1300))/130</f>
        <v>390</v>
      </c>
      <c r="O9" s="8">
        <f>(O8-MOD(O8,10))</f>
        <v>20</v>
      </c>
      <c r="P9" s="8">
        <f>P8*10</f>
        <v>0</v>
      </c>
      <c r="Q9" s="8">
        <f t="shared" ref="Q9:Q10" si="4">N9+O9+P9</f>
        <v>410</v>
      </c>
      <c r="R9" s="8"/>
      <c r="S9" s="8"/>
      <c r="T9" s="8"/>
      <c r="U9" s="8"/>
      <c r="V9" s="8"/>
      <c r="W9" s="8"/>
      <c r="X9" s="8"/>
      <c r="Y9" s="8"/>
    </row>
    <row r="10">
      <c r="A10" s="7" t="s">
        <v>7</v>
      </c>
      <c r="B10" s="8">
        <f>ROUNDDOWN((MOD(B8,1300))/130,0)</f>
        <v>2</v>
      </c>
      <c r="C10" s="8">
        <f>C8-(C8-MOD(C8,10))</f>
        <v>3</v>
      </c>
      <c r="D10" s="7">
        <v>0.0</v>
      </c>
      <c r="E10" s="8">
        <f t="shared" si="2"/>
        <v>5</v>
      </c>
      <c r="F10" s="8"/>
      <c r="G10" s="7" t="s">
        <v>7</v>
      </c>
      <c r="H10" s="8">
        <f>ROUNDDOWN((MOD(H8,1300))/130,0)</f>
        <v>9</v>
      </c>
      <c r="I10" s="8">
        <f>I8-(I8-MOD(I8,10))</f>
        <v>3</v>
      </c>
      <c r="J10" s="7">
        <v>0.0</v>
      </c>
      <c r="K10" s="8">
        <f t="shared" si="3"/>
        <v>12</v>
      </c>
      <c r="L10" s="8"/>
      <c r="M10" s="7" t="s">
        <v>7</v>
      </c>
      <c r="N10" s="8">
        <f>ROUNDDOWN((MOD(N8,1300))/130,0)</f>
        <v>6</v>
      </c>
      <c r="O10" s="8">
        <f>O8-(O8-MOD(O8,10))</f>
        <v>3</v>
      </c>
      <c r="P10" s="7">
        <v>0.0</v>
      </c>
      <c r="Q10" s="8">
        <f t="shared" si="4"/>
        <v>9</v>
      </c>
      <c r="R10" s="8"/>
      <c r="S10" s="8"/>
      <c r="T10" s="8"/>
      <c r="U10" s="8"/>
      <c r="V10" s="8"/>
      <c r="W10" s="8"/>
      <c r="X10" s="8"/>
      <c r="Y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 t="s">
        <v>9</v>
      </c>
      <c r="B12" s="8"/>
      <c r="C12" s="8"/>
      <c r="D12" s="8"/>
      <c r="E12" s="8"/>
      <c r="F12" s="8"/>
      <c r="G12" s="7" t="s">
        <v>9</v>
      </c>
      <c r="H12" s="8"/>
      <c r="I12" s="8"/>
      <c r="J12" s="8"/>
      <c r="K12" s="8"/>
      <c r="L12" s="8"/>
      <c r="M12" s="7" t="s">
        <v>9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7" t="s">
        <v>10</v>
      </c>
      <c r="B13" s="8">
        <f>B8+750</f>
        <v>37473</v>
      </c>
      <c r="C13" s="17">
        <f>C7+7</f>
        <v>46212.18171</v>
      </c>
      <c r="D13" s="8"/>
      <c r="E13" s="8"/>
      <c r="F13" s="8"/>
      <c r="G13" s="7" t="s">
        <v>10</v>
      </c>
      <c r="H13" s="8">
        <f>H8+750</f>
        <v>44857</v>
      </c>
      <c r="I13" s="17">
        <f>I7+7</f>
        <v>46303.18171</v>
      </c>
      <c r="J13" s="8"/>
      <c r="K13" s="8"/>
      <c r="L13" s="8"/>
      <c r="M13" s="7" t="s">
        <v>10</v>
      </c>
      <c r="N13" s="8">
        <f>N8+750</f>
        <v>52241</v>
      </c>
      <c r="O13" s="17">
        <f>O7+7</f>
        <v>46394.18171</v>
      </c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7" t="s">
        <v>11</v>
      </c>
      <c r="B14" s="8">
        <f>B13-(7*26)</f>
        <v>37291</v>
      </c>
      <c r="C14" s="8">
        <f>$D$2</f>
        <v>23</v>
      </c>
      <c r="D14" s="8">
        <f>$E$2</f>
        <v>0</v>
      </c>
      <c r="E14" s="8">
        <f>E15+E16</f>
        <v>309</v>
      </c>
      <c r="F14" s="8"/>
      <c r="G14" s="7" t="s">
        <v>11</v>
      </c>
      <c r="H14" s="8">
        <f>H13-(7*26)</f>
        <v>44675</v>
      </c>
      <c r="I14" s="8">
        <f>$D$2</f>
        <v>23</v>
      </c>
      <c r="J14" s="8">
        <f>$E$2</f>
        <v>0</v>
      </c>
      <c r="K14" s="8">
        <f>K15+K16</f>
        <v>366</v>
      </c>
      <c r="L14" s="8"/>
      <c r="M14" s="7" t="s">
        <v>11</v>
      </c>
      <c r="N14" s="8">
        <f>N13-(7*26)</f>
        <v>52059</v>
      </c>
      <c r="O14" s="8">
        <f>$D$2</f>
        <v>23</v>
      </c>
      <c r="P14" s="8">
        <f>$E$2</f>
        <v>0</v>
      </c>
      <c r="Q14" s="8">
        <f>Q15+Q16</f>
        <v>423</v>
      </c>
      <c r="R14" s="8"/>
      <c r="S14" s="8"/>
      <c r="T14" s="8"/>
      <c r="U14" s="8"/>
      <c r="V14" s="8"/>
      <c r="W14" s="8"/>
      <c r="X14" s="8"/>
      <c r="Y14" s="8"/>
    </row>
    <row r="15">
      <c r="A15" s="7" t="s">
        <v>6</v>
      </c>
      <c r="B15" s="8">
        <f>(B14-MOD(B14,1300))/130</f>
        <v>280</v>
      </c>
      <c r="C15" s="8">
        <f>(C14-MOD(C14,10))</f>
        <v>20</v>
      </c>
      <c r="D15" s="8">
        <f>D14*10</f>
        <v>0</v>
      </c>
      <c r="E15" s="8">
        <f t="shared" ref="E15:E16" si="5">B15+C15+D15</f>
        <v>300</v>
      </c>
      <c r="F15" s="8"/>
      <c r="G15" s="7" t="s">
        <v>6</v>
      </c>
      <c r="H15" s="8">
        <f>(H14-MOD(H14,1300))/130</f>
        <v>340</v>
      </c>
      <c r="I15" s="8">
        <f>(I14-MOD(I14,10))</f>
        <v>20</v>
      </c>
      <c r="J15" s="8">
        <f>J14*10</f>
        <v>0</v>
      </c>
      <c r="K15" s="8">
        <f t="shared" ref="K15:K16" si="6">H15+I15+J15</f>
        <v>360</v>
      </c>
      <c r="L15" s="8"/>
      <c r="M15" s="7" t="s">
        <v>6</v>
      </c>
      <c r="N15" s="8">
        <f>(N14-MOD(N14,1300))/130</f>
        <v>400</v>
      </c>
      <c r="O15" s="8">
        <f>(O14-MOD(O14,10))</f>
        <v>20</v>
      </c>
      <c r="P15" s="8">
        <f>P14*10</f>
        <v>0</v>
      </c>
      <c r="Q15" s="8">
        <f t="shared" ref="Q15:Q16" si="7">N15+O15+P15</f>
        <v>420</v>
      </c>
      <c r="R15" s="8"/>
      <c r="S15" s="8"/>
      <c r="T15" s="8"/>
      <c r="U15" s="8"/>
      <c r="V15" s="8"/>
      <c r="W15" s="8"/>
      <c r="X15" s="8"/>
      <c r="Y15" s="8"/>
    </row>
    <row r="16">
      <c r="A16" s="7" t="s">
        <v>7</v>
      </c>
      <c r="B16" s="8">
        <f>ROUNDDOWN((MOD(B14,1300))/130,0)</f>
        <v>6</v>
      </c>
      <c r="C16" s="8">
        <f>C14-(C14-MOD(C14,10))</f>
        <v>3</v>
      </c>
      <c r="D16" s="7">
        <v>0.0</v>
      </c>
      <c r="E16" s="8">
        <f t="shared" si="5"/>
        <v>9</v>
      </c>
      <c r="F16" s="8"/>
      <c r="G16" s="7" t="s">
        <v>7</v>
      </c>
      <c r="H16" s="8">
        <f>ROUNDDOWN((MOD(H14,1300))/130,0)</f>
        <v>3</v>
      </c>
      <c r="I16" s="8">
        <f>I14-(I14-MOD(I14,10))</f>
        <v>3</v>
      </c>
      <c r="J16" s="7">
        <v>0.0</v>
      </c>
      <c r="K16" s="8">
        <f t="shared" si="6"/>
        <v>6</v>
      </c>
      <c r="L16" s="8"/>
      <c r="M16" s="7" t="s">
        <v>7</v>
      </c>
      <c r="N16" s="8">
        <f>ROUNDDOWN((MOD(N14,1300))/130,0)</f>
        <v>0</v>
      </c>
      <c r="O16" s="8">
        <f>O14-(O14-MOD(O14,10))</f>
        <v>3</v>
      </c>
      <c r="P16" s="7">
        <v>0.0</v>
      </c>
      <c r="Q16" s="8">
        <f t="shared" si="7"/>
        <v>3</v>
      </c>
      <c r="R16" s="8"/>
      <c r="S16" s="8"/>
      <c r="T16" s="8"/>
      <c r="U16" s="8"/>
      <c r="V16" s="8"/>
      <c r="W16" s="8"/>
      <c r="X16" s="8"/>
      <c r="Y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7" t="s">
        <v>9</v>
      </c>
      <c r="B18" s="8"/>
      <c r="C18" s="8"/>
      <c r="D18" s="8"/>
      <c r="E18" s="8"/>
      <c r="F18" s="8"/>
      <c r="G18" s="7" t="s">
        <v>9</v>
      </c>
      <c r="H18" s="8"/>
      <c r="I18" s="8"/>
      <c r="J18" s="8"/>
      <c r="K18" s="8"/>
      <c r="L18" s="8"/>
      <c r="M18" s="7" t="s">
        <v>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7" t="s">
        <v>10</v>
      </c>
      <c r="B19" s="8">
        <f>B14+750</f>
        <v>38041</v>
      </c>
      <c r="C19" s="17">
        <f>C13+7</f>
        <v>46219.18171</v>
      </c>
      <c r="D19" s="8"/>
      <c r="E19" s="8"/>
      <c r="F19" s="8"/>
      <c r="G19" s="7" t="s">
        <v>10</v>
      </c>
      <c r="H19" s="8">
        <f>H14+750</f>
        <v>45425</v>
      </c>
      <c r="I19" s="17">
        <f>I13+7</f>
        <v>46310.18171</v>
      </c>
      <c r="J19" s="8"/>
      <c r="K19" s="8"/>
      <c r="L19" s="8"/>
      <c r="M19" s="7" t="s">
        <v>10</v>
      </c>
      <c r="N19" s="8">
        <f>N14+750</f>
        <v>52809</v>
      </c>
      <c r="O19" s="17">
        <f>O13+7</f>
        <v>46401.18171</v>
      </c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 t="s">
        <v>11</v>
      </c>
      <c r="B20" s="8">
        <f>B19-(7*26)</f>
        <v>37859</v>
      </c>
      <c r="C20" s="8">
        <f>$D$2</f>
        <v>23</v>
      </c>
      <c r="D20" s="8">
        <f>$E$2</f>
        <v>0</v>
      </c>
      <c r="E20" s="8">
        <f>E21+E22</f>
        <v>314</v>
      </c>
      <c r="F20" s="8"/>
      <c r="G20" s="7" t="s">
        <v>11</v>
      </c>
      <c r="H20" s="8">
        <f>H19-(7*26)</f>
        <v>45243</v>
      </c>
      <c r="I20" s="8">
        <f>$D$2</f>
        <v>23</v>
      </c>
      <c r="J20" s="8">
        <f>$E$2</f>
        <v>0</v>
      </c>
      <c r="K20" s="8">
        <f>K21+K22</f>
        <v>371</v>
      </c>
      <c r="L20" s="8"/>
      <c r="M20" s="7" t="s">
        <v>11</v>
      </c>
      <c r="N20" s="8">
        <f>N19-(7*26)</f>
        <v>52627</v>
      </c>
      <c r="O20" s="8">
        <f>$D$2</f>
        <v>23</v>
      </c>
      <c r="P20" s="8">
        <f>$E$2</f>
        <v>0</v>
      </c>
      <c r="Q20" s="8">
        <f>Q21+Q22</f>
        <v>427</v>
      </c>
      <c r="R20" s="8"/>
      <c r="S20" s="8"/>
      <c r="T20" s="8"/>
      <c r="U20" s="8"/>
      <c r="V20" s="8"/>
      <c r="W20" s="8"/>
      <c r="X20" s="8"/>
      <c r="Y20" s="8"/>
    </row>
    <row r="21">
      <c r="A21" s="7" t="s">
        <v>6</v>
      </c>
      <c r="B21" s="8">
        <f>(B20-MOD(B20,1300))/130</f>
        <v>290</v>
      </c>
      <c r="C21" s="8">
        <f>(C20-MOD(C20,10))</f>
        <v>20</v>
      </c>
      <c r="D21" s="8">
        <f>D20*10</f>
        <v>0</v>
      </c>
      <c r="E21" s="8">
        <f t="shared" ref="E21:E22" si="8">B21+C21+D21</f>
        <v>310</v>
      </c>
      <c r="F21" s="8"/>
      <c r="G21" s="7" t="s">
        <v>6</v>
      </c>
      <c r="H21" s="8">
        <f>(H20-MOD(H20,1300))/130</f>
        <v>340</v>
      </c>
      <c r="I21" s="8">
        <f>(I20-MOD(I20,10))</f>
        <v>20</v>
      </c>
      <c r="J21" s="8">
        <f>J20*10</f>
        <v>0</v>
      </c>
      <c r="K21" s="8">
        <f t="shared" ref="K21:K22" si="9">H21+I21+J21</f>
        <v>360</v>
      </c>
      <c r="L21" s="8"/>
      <c r="M21" s="7" t="s">
        <v>6</v>
      </c>
      <c r="N21" s="8">
        <f>(N20-MOD(N20,1300))/130</f>
        <v>400</v>
      </c>
      <c r="O21" s="8">
        <f>(O20-MOD(O20,10))</f>
        <v>20</v>
      </c>
      <c r="P21" s="8">
        <f>P20*10</f>
        <v>0</v>
      </c>
      <c r="Q21" s="8">
        <f t="shared" ref="Q21:Q22" si="10">N21+O21+P21</f>
        <v>420</v>
      </c>
      <c r="R21" s="8"/>
      <c r="S21" s="8"/>
      <c r="T21" s="8"/>
      <c r="U21" s="8"/>
      <c r="V21" s="8"/>
      <c r="W21" s="8"/>
      <c r="X21" s="8"/>
      <c r="Y21" s="8"/>
    </row>
    <row r="22">
      <c r="A22" s="7" t="s">
        <v>7</v>
      </c>
      <c r="B22" s="8">
        <f>ROUNDDOWN((MOD(B20,1300))/130,0)</f>
        <v>1</v>
      </c>
      <c r="C22" s="8">
        <f>C20-(C20-MOD(C20,10))</f>
        <v>3</v>
      </c>
      <c r="D22" s="7">
        <v>0.0</v>
      </c>
      <c r="E22" s="8">
        <f t="shared" si="8"/>
        <v>4</v>
      </c>
      <c r="F22" s="8"/>
      <c r="G22" s="7" t="s">
        <v>7</v>
      </c>
      <c r="H22" s="8">
        <f>ROUNDDOWN((MOD(H20,1300))/130,0)</f>
        <v>8</v>
      </c>
      <c r="I22" s="8">
        <f>I20-(I20-MOD(I20,10))</f>
        <v>3</v>
      </c>
      <c r="J22" s="7">
        <v>0.0</v>
      </c>
      <c r="K22" s="8">
        <f t="shared" si="9"/>
        <v>11</v>
      </c>
      <c r="L22" s="8"/>
      <c r="M22" s="7" t="s">
        <v>7</v>
      </c>
      <c r="N22" s="8">
        <f>ROUNDDOWN((MOD(N20,1300))/130,0)</f>
        <v>4</v>
      </c>
      <c r="O22" s="8">
        <f>O20-(O20-MOD(O20,10))</f>
        <v>3</v>
      </c>
      <c r="P22" s="7">
        <v>0.0</v>
      </c>
      <c r="Q22" s="8">
        <f t="shared" si="10"/>
        <v>7</v>
      </c>
      <c r="R22" s="8"/>
      <c r="S22" s="8"/>
      <c r="T22" s="8"/>
      <c r="U22" s="8"/>
      <c r="V22" s="8"/>
      <c r="W22" s="8"/>
      <c r="X22" s="8"/>
      <c r="Y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7" t="s">
        <v>9</v>
      </c>
      <c r="B24" s="8"/>
      <c r="C24" s="8"/>
      <c r="D24" s="8"/>
      <c r="E24" s="8"/>
      <c r="F24" s="8"/>
      <c r="G24" s="7" t="s">
        <v>9</v>
      </c>
      <c r="H24" s="8"/>
      <c r="I24" s="8"/>
      <c r="J24" s="8"/>
      <c r="K24" s="8"/>
      <c r="L24" s="8"/>
      <c r="M24" s="7" t="s">
        <v>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 t="s">
        <v>10</v>
      </c>
      <c r="B25" s="8">
        <f>B20+750</f>
        <v>38609</v>
      </c>
      <c r="C25" s="17">
        <f>C19+7</f>
        <v>46226.18171</v>
      </c>
      <c r="D25" s="8"/>
      <c r="E25" s="8"/>
      <c r="F25" s="8"/>
      <c r="G25" s="7" t="s">
        <v>10</v>
      </c>
      <c r="H25" s="8">
        <f>H20+750</f>
        <v>45993</v>
      </c>
      <c r="I25" s="17">
        <f>I19+7</f>
        <v>46317.18171</v>
      </c>
      <c r="J25" s="8"/>
      <c r="K25" s="8"/>
      <c r="L25" s="8"/>
      <c r="M25" s="7" t="s">
        <v>10</v>
      </c>
      <c r="N25" s="8">
        <f>N20+750</f>
        <v>53377</v>
      </c>
      <c r="O25" s="17">
        <f>O19+7</f>
        <v>46408.18171</v>
      </c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 t="s">
        <v>11</v>
      </c>
      <c r="B26" s="8">
        <f>B25-(7*26)</f>
        <v>38427</v>
      </c>
      <c r="C26" s="8">
        <f>$D$2</f>
        <v>23</v>
      </c>
      <c r="D26" s="8">
        <f>$E$2</f>
        <v>0</v>
      </c>
      <c r="E26" s="8">
        <f>E27+E28</f>
        <v>318</v>
      </c>
      <c r="F26" s="8"/>
      <c r="G26" s="7" t="s">
        <v>11</v>
      </c>
      <c r="H26" s="8">
        <f>H25-(7*26)</f>
        <v>45811</v>
      </c>
      <c r="I26" s="8">
        <f>$D$2</f>
        <v>23</v>
      </c>
      <c r="J26" s="8">
        <f>$E$2</f>
        <v>0</v>
      </c>
      <c r="K26" s="8">
        <f>K27+K28</f>
        <v>375</v>
      </c>
      <c r="L26" s="8"/>
      <c r="M26" s="7" t="s">
        <v>11</v>
      </c>
      <c r="N26" s="8">
        <f>N25-(7*26)</f>
        <v>53195</v>
      </c>
      <c r="O26" s="8">
        <f>$D$2</f>
        <v>23</v>
      </c>
      <c r="P26" s="8">
        <f>$E$2</f>
        <v>0</v>
      </c>
      <c r="Q26" s="8">
        <f>Q27+Q28</f>
        <v>432</v>
      </c>
      <c r="R26" s="8"/>
      <c r="S26" s="8"/>
      <c r="T26" s="8"/>
      <c r="U26" s="8"/>
      <c r="V26" s="8"/>
      <c r="W26" s="8"/>
      <c r="X26" s="8"/>
      <c r="Y26" s="8"/>
    </row>
    <row r="27">
      <c r="A27" s="7" t="s">
        <v>6</v>
      </c>
      <c r="B27" s="8">
        <f>(B26-MOD(B26,1300))/130</f>
        <v>290</v>
      </c>
      <c r="C27" s="8">
        <f>(C26-MOD(C26,10))</f>
        <v>20</v>
      </c>
      <c r="D27" s="8">
        <f>D26*10</f>
        <v>0</v>
      </c>
      <c r="E27" s="8">
        <f t="shared" ref="E27:E28" si="11">B27+C27+D27</f>
        <v>310</v>
      </c>
      <c r="F27" s="8"/>
      <c r="G27" s="7" t="s">
        <v>6</v>
      </c>
      <c r="H27" s="8">
        <f>(H26-MOD(H26,1300))/130</f>
        <v>350</v>
      </c>
      <c r="I27" s="8">
        <f>(I26-MOD(I26,10))</f>
        <v>20</v>
      </c>
      <c r="J27" s="8">
        <f>J26*10</f>
        <v>0</v>
      </c>
      <c r="K27" s="8">
        <f t="shared" ref="K27:K28" si="12">H27+I27+J27</f>
        <v>370</v>
      </c>
      <c r="L27" s="8"/>
      <c r="M27" s="7" t="s">
        <v>6</v>
      </c>
      <c r="N27" s="8">
        <f>(N26-MOD(N26,1300))/130</f>
        <v>400</v>
      </c>
      <c r="O27" s="8">
        <f>(O26-MOD(O26,10))</f>
        <v>20</v>
      </c>
      <c r="P27" s="8">
        <f>P26*10</f>
        <v>0</v>
      </c>
      <c r="Q27" s="8">
        <f t="shared" ref="Q27:Q28" si="13">N27+O27+P27</f>
        <v>420</v>
      </c>
      <c r="R27" s="8"/>
      <c r="S27" s="8"/>
      <c r="T27" s="8"/>
      <c r="U27" s="8"/>
      <c r="V27" s="8"/>
      <c r="W27" s="8"/>
      <c r="X27" s="8"/>
      <c r="Y27" s="8"/>
    </row>
    <row r="28">
      <c r="A28" s="7" t="s">
        <v>7</v>
      </c>
      <c r="B28" s="8">
        <f>ROUNDDOWN((MOD(B26,1300))/130,0)</f>
        <v>5</v>
      </c>
      <c r="C28" s="8">
        <f>C26-(C26-MOD(C26,10))</f>
        <v>3</v>
      </c>
      <c r="D28" s="7">
        <v>0.0</v>
      </c>
      <c r="E28" s="8">
        <f t="shared" si="11"/>
        <v>8</v>
      </c>
      <c r="F28" s="8"/>
      <c r="G28" s="7" t="s">
        <v>7</v>
      </c>
      <c r="H28" s="8">
        <f>ROUNDDOWN((MOD(H26,1300))/130,0)</f>
        <v>2</v>
      </c>
      <c r="I28" s="8">
        <f>I26-(I26-MOD(I26,10))</f>
        <v>3</v>
      </c>
      <c r="J28" s="7">
        <v>0.0</v>
      </c>
      <c r="K28" s="8">
        <f t="shared" si="12"/>
        <v>5</v>
      </c>
      <c r="L28" s="8"/>
      <c r="M28" s="7" t="s">
        <v>7</v>
      </c>
      <c r="N28" s="8">
        <f>ROUNDDOWN((MOD(N26,1300))/130,0)</f>
        <v>9</v>
      </c>
      <c r="O28" s="8">
        <f>O26-(O26-MOD(O26,10))</f>
        <v>3</v>
      </c>
      <c r="P28" s="7">
        <v>0.0</v>
      </c>
      <c r="Q28" s="8">
        <f t="shared" si="13"/>
        <v>12</v>
      </c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 t="s">
        <v>9</v>
      </c>
      <c r="B30" s="8"/>
      <c r="C30" s="8"/>
      <c r="D30" s="8"/>
      <c r="E30" s="8"/>
      <c r="F30" s="8"/>
      <c r="G30" s="7" t="s">
        <v>9</v>
      </c>
      <c r="H30" s="8"/>
      <c r="I30" s="8"/>
      <c r="J30" s="8"/>
      <c r="K30" s="8"/>
      <c r="L30" s="8"/>
      <c r="M30" s="7" t="s">
        <v>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 t="s">
        <v>10</v>
      </c>
      <c r="B31" s="8">
        <f>B26+750</f>
        <v>39177</v>
      </c>
      <c r="C31" s="17">
        <f>C25+7</f>
        <v>46233.18171</v>
      </c>
      <c r="D31" s="8"/>
      <c r="E31" s="8"/>
      <c r="F31" s="8"/>
      <c r="G31" s="7" t="s">
        <v>10</v>
      </c>
      <c r="H31" s="8">
        <f>H26+750</f>
        <v>46561</v>
      </c>
      <c r="I31" s="17">
        <f>I25+7</f>
        <v>46324.18171</v>
      </c>
      <c r="J31" s="8"/>
      <c r="K31" s="8"/>
      <c r="L31" s="8"/>
      <c r="M31" s="7" t="s">
        <v>10</v>
      </c>
      <c r="N31" s="8">
        <f>N26+750</f>
        <v>53945</v>
      </c>
      <c r="O31" s="17">
        <f>O25+7</f>
        <v>46415.18171</v>
      </c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 t="s">
        <v>11</v>
      </c>
      <c r="B32" s="8">
        <f>B31-(7*26)</f>
        <v>38995</v>
      </c>
      <c r="C32" s="8">
        <f>$D$2</f>
        <v>23</v>
      </c>
      <c r="D32" s="8">
        <f>$E$2</f>
        <v>0</v>
      </c>
      <c r="E32" s="8">
        <f>E33+E34</f>
        <v>322</v>
      </c>
      <c r="F32" s="8"/>
      <c r="G32" s="7" t="s">
        <v>11</v>
      </c>
      <c r="H32" s="8">
        <f>H31-(7*26)</f>
        <v>46379</v>
      </c>
      <c r="I32" s="8">
        <f>$D$2</f>
        <v>23</v>
      </c>
      <c r="J32" s="8">
        <f>$E$2</f>
        <v>0</v>
      </c>
      <c r="K32" s="8">
        <f>K33+K34</f>
        <v>379</v>
      </c>
      <c r="L32" s="8"/>
      <c r="M32" s="7" t="s">
        <v>11</v>
      </c>
      <c r="N32" s="8">
        <f>N31-(7*26)</f>
        <v>53763</v>
      </c>
      <c r="O32" s="8">
        <f>$D$2</f>
        <v>23</v>
      </c>
      <c r="P32" s="8">
        <f>$E$2</f>
        <v>0</v>
      </c>
      <c r="Q32" s="8">
        <f>Q33+Q34</f>
        <v>436</v>
      </c>
      <c r="R32" s="8"/>
      <c r="S32" s="8"/>
      <c r="T32" s="8"/>
      <c r="U32" s="8"/>
      <c r="V32" s="8"/>
      <c r="W32" s="8"/>
      <c r="X32" s="8"/>
      <c r="Y32" s="8"/>
    </row>
    <row r="33">
      <c r="A33" s="7" t="s">
        <v>6</v>
      </c>
      <c r="B33" s="8">
        <f>(B32-MOD(B32,1300))/130</f>
        <v>290</v>
      </c>
      <c r="C33" s="8">
        <f>(C32-MOD(C32,10))</f>
        <v>20</v>
      </c>
      <c r="D33" s="8">
        <f>D32*10</f>
        <v>0</v>
      </c>
      <c r="E33" s="8">
        <f t="shared" ref="E33:E34" si="14">B33+C33+D33</f>
        <v>310</v>
      </c>
      <c r="F33" s="8"/>
      <c r="G33" s="7" t="s">
        <v>6</v>
      </c>
      <c r="H33" s="8">
        <f>(H32-MOD(H32,1300))/130</f>
        <v>350</v>
      </c>
      <c r="I33" s="8">
        <f>(I32-MOD(I32,10))</f>
        <v>20</v>
      </c>
      <c r="J33" s="8">
        <f>J32*10</f>
        <v>0</v>
      </c>
      <c r="K33" s="8">
        <f t="shared" ref="K33:K34" si="15">H33+I33+J33</f>
        <v>370</v>
      </c>
      <c r="L33" s="8"/>
      <c r="M33" s="7" t="s">
        <v>6</v>
      </c>
      <c r="N33" s="8">
        <f>(N32-MOD(N32,1300))/130</f>
        <v>410</v>
      </c>
      <c r="O33" s="8">
        <f>(O32-MOD(O32,10))</f>
        <v>20</v>
      </c>
      <c r="P33" s="8">
        <f>P32*10</f>
        <v>0</v>
      </c>
      <c r="Q33" s="8">
        <f t="shared" ref="Q33:Q34" si="16">N33+O33+P33</f>
        <v>430</v>
      </c>
      <c r="R33" s="8"/>
      <c r="S33" s="8"/>
      <c r="T33" s="8"/>
      <c r="U33" s="8"/>
      <c r="V33" s="8"/>
      <c r="W33" s="8"/>
      <c r="X33" s="8"/>
      <c r="Y33" s="8"/>
    </row>
    <row r="34">
      <c r="A34" s="7" t="s">
        <v>7</v>
      </c>
      <c r="B34" s="8">
        <f>ROUNDDOWN((MOD(B32,1300))/130,0)</f>
        <v>9</v>
      </c>
      <c r="C34" s="8">
        <f>C32-(C32-MOD(C32,10))</f>
        <v>3</v>
      </c>
      <c r="D34" s="7">
        <v>0.0</v>
      </c>
      <c r="E34" s="8">
        <f t="shared" si="14"/>
        <v>12</v>
      </c>
      <c r="F34" s="8"/>
      <c r="G34" s="7" t="s">
        <v>7</v>
      </c>
      <c r="H34" s="8">
        <f>ROUNDDOWN((MOD(H32,1300))/130,0)</f>
        <v>6</v>
      </c>
      <c r="I34" s="8">
        <f>I32-(I32-MOD(I32,10))</f>
        <v>3</v>
      </c>
      <c r="J34" s="7">
        <v>0.0</v>
      </c>
      <c r="K34" s="8">
        <f t="shared" si="15"/>
        <v>9</v>
      </c>
      <c r="L34" s="8"/>
      <c r="M34" s="7" t="s">
        <v>7</v>
      </c>
      <c r="N34" s="8">
        <f>ROUNDDOWN((MOD(N32,1300))/130,0)</f>
        <v>3</v>
      </c>
      <c r="O34" s="8">
        <f>O32-(O32-MOD(O32,10))</f>
        <v>3</v>
      </c>
      <c r="P34" s="7">
        <v>0.0</v>
      </c>
      <c r="Q34" s="8">
        <f t="shared" si="16"/>
        <v>6</v>
      </c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 t="s">
        <v>9</v>
      </c>
      <c r="B36" s="8"/>
      <c r="C36" s="8"/>
      <c r="D36" s="8"/>
      <c r="E36" s="8"/>
      <c r="F36" s="8"/>
      <c r="G36" s="7" t="s">
        <v>9</v>
      </c>
      <c r="H36" s="8"/>
      <c r="I36" s="8"/>
      <c r="J36" s="8"/>
      <c r="K36" s="8"/>
      <c r="L36" s="8"/>
      <c r="M36" s="7" t="s">
        <v>9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7" t="s">
        <v>10</v>
      </c>
      <c r="B37" s="8">
        <f>B32+750</f>
        <v>39745</v>
      </c>
      <c r="C37" s="17">
        <f>C31+7</f>
        <v>46240.18171</v>
      </c>
      <c r="D37" s="8"/>
      <c r="E37" s="8"/>
      <c r="F37" s="8"/>
      <c r="G37" s="7" t="s">
        <v>10</v>
      </c>
      <c r="H37" s="8">
        <f>H32+750</f>
        <v>47129</v>
      </c>
      <c r="I37" s="17">
        <f>I31+7</f>
        <v>46331.18171</v>
      </c>
      <c r="J37" s="8"/>
      <c r="K37" s="8"/>
      <c r="L37" s="8"/>
      <c r="M37" s="7" t="s">
        <v>10</v>
      </c>
      <c r="N37" s="8">
        <f>N32+750</f>
        <v>54513</v>
      </c>
      <c r="O37" s="17">
        <f>O31+7</f>
        <v>46422.18171</v>
      </c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7" t="s">
        <v>11</v>
      </c>
      <c r="B38" s="8">
        <f>B37-(7*26)</f>
        <v>39563</v>
      </c>
      <c r="C38" s="8">
        <f>$D$2</f>
        <v>23</v>
      </c>
      <c r="D38" s="8">
        <f>$E$2</f>
        <v>0</v>
      </c>
      <c r="E38" s="8">
        <f>E39+E40</f>
        <v>327</v>
      </c>
      <c r="F38" s="8"/>
      <c r="G38" s="7" t="s">
        <v>11</v>
      </c>
      <c r="H38" s="8">
        <f>H37-(7*26)</f>
        <v>46947</v>
      </c>
      <c r="I38" s="8">
        <f>$D$2</f>
        <v>23</v>
      </c>
      <c r="J38" s="8">
        <f>$E$2</f>
        <v>0</v>
      </c>
      <c r="K38" s="8">
        <f>K39+K40</f>
        <v>384</v>
      </c>
      <c r="L38" s="8"/>
      <c r="M38" s="7" t="s">
        <v>11</v>
      </c>
      <c r="N38" s="8">
        <f>N37-(7*26)</f>
        <v>54331</v>
      </c>
      <c r="O38" s="8">
        <f>$D$2</f>
        <v>23</v>
      </c>
      <c r="P38" s="8">
        <f>$E$2</f>
        <v>0</v>
      </c>
      <c r="Q38" s="8">
        <f>Q39+Q40</f>
        <v>440</v>
      </c>
      <c r="R38" s="8"/>
      <c r="S38" s="8"/>
      <c r="T38" s="8"/>
      <c r="U38" s="8"/>
      <c r="V38" s="8"/>
      <c r="W38" s="8"/>
      <c r="X38" s="8"/>
      <c r="Y38" s="8"/>
    </row>
    <row r="39">
      <c r="A39" s="7" t="s">
        <v>6</v>
      </c>
      <c r="B39" s="8">
        <f>(B38-MOD(B38,1300))/130</f>
        <v>300</v>
      </c>
      <c r="C39" s="8">
        <f>(C38-MOD(C38,10))</f>
        <v>20</v>
      </c>
      <c r="D39" s="8">
        <f>D38*10</f>
        <v>0</v>
      </c>
      <c r="E39" s="8">
        <f t="shared" ref="E39:E40" si="17">B39+C39+D39</f>
        <v>320</v>
      </c>
      <c r="F39" s="8"/>
      <c r="G39" s="7" t="s">
        <v>6</v>
      </c>
      <c r="H39" s="8">
        <f>(H38-MOD(H38,1300))/130</f>
        <v>360</v>
      </c>
      <c r="I39" s="8">
        <f>(I38-MOD(I38,10))</f>
        <v>20</v>
      </c>
      <c r="J39" s="8">
        <f>J38*10</f>
        <v>0</v>
      </c>
      <c r="K39" s="8">
        <f t="shared" ref="K39:K40" si="18">H39+I39+J39</f>
        <v>380</v>
      </c>
      <c r="L39" s="8"/>
      <c r="M39" s="7" t="s">
        <v>6</v>
      </c>
      <c r="N39" s="8">
        <f>(N38-MOD(N38,1300))/130</f>
        <v>410</v>
      </c>
      <c r="O39" s="8">
        <f>(O38-MOD(O38,10))</f>
        <v>20</v>
      </c>
      <c r="P39" s="8">
        <f>P38*10</f>
        <v>0</v>
      </c>
      <c r="Q39" s="8">
        <f t="shared" ref="Q39:Q40" si="19">N39+O39+P39</f>
        <v>430</v>
      </c>
      <c r="R39" s="8"/>
      <c r="S39" s="8"/>
      <c r="T39" s="8"/>
      <c r="U39" s="8"/>
      <c r="V39" s="8"/>
      <c r="W39" s="8"/>
      <c r="X39" s="8"/>
      <c r="Y39" s="8"/>
    </row>
    <row r="40">
      <c r="A40" s="7" t="s">
        <v>7</v>
      </c>
      <c r="B40" s="8">
        <f>ROUNDDOWN((MOD(B38,1300))/130,0)</f>
        <v>4</v>
      </c>
      <c r="C40" s="8">
        <f>C38-(C38-MOD(C38,10))</f>
        <v>3</v>
      </c>
      <c r="D40" s="7">
        <v>0.0</v>
      </c>
      <c r="E40" s="8">
        <f t="shared" si="17"/>
        <v>7</v>
      </c>
      <c r="F40" s="8"/>
      <c r="G40" s="7" t="s">
        <v>7</v>
      </c>
      <c r="H40" s="8">
        <f>ROUNDDOWN((MOD(H38,1300))/130,0)</f>
        <v>1</v>
      </c>
      <c r="I40" s="8">
        <f>I38-(I38-MOD(I38,10))</f>
        <v>3</v>
      </c>
      <c r="J40" s="7">
        <v>0.0</v>
      </c>
      <c r="K40" s="8">
        <f t="shared" si="18"/>
        <v>4</v>
      </c>
      <c r="L40" s="8"/>
      <c r="M40" s="7" t="s">
        <v>7</v>
      </c>
      <c r="N40" s="8">
        <f>ROUNDDOWN((MOD(N38,1300))/130,0)</f>
        <v>7</v>
      </c>
      <c r="O40" s="8">
        <f>O38-(O38-MOD(O38,10))</f>
        <v>3</v>
      </c>
      <c r="P40" s="7">
        <v>0.0</v>
      </c>
      <c r="Q40" s="8">
        <f t="shared" si="19"/>
        <v>10</v>
      </c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7" t="s">
        <v>9</v>
      </c>
      <c r="B42" s="8"/>
      <c r="C42" s="8"/>
      <c r="D42" s="8"/>
      <c r="E42" s="8"/>
      <c r="F42" s="8"/>
      <c r="G42" s="7" t="s">
        <v>9</v>
      </c>
      <c r="H42" s="8"/>
      <c r="I42" s="8"/>
      <c r="J42" s="8"/>
      <c r="K42" s="8"/>
      <c r="L42" s="8"/>
      <c r="M42" s="7" t="s">
        <v>9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7" t="s">
        <v>10</v>
      </c>
      <c r="B43" s="8">
        <f>B38+750</f>
        <v>40313</v>
      </c>
      <c r="C43" s="17">
        <f>C37+7</f>
        <v>46247.18171</v>
      </c>
      <c r="D43" s="8"/>
      <c r="E43" s="8"/>
      <c r="F43" s="8"/>
      <c r="G43" s="7" t="s">
        <v>10</v>
      </c>
      <c r="H43" s="8">
        <f>H38+750</f>
        <v>47697</v>
      </c>
      <c r="I43" s="17">
        <f>I37+7</f>
        <v>46338.18171</v>
      </c>
      <c r="J43" s="8"/>
      <c r="K43" s="8"/>
      <c r="L43" s="8"/>
      <c r="M43" s="7" t="s">
        <v>10</v>
      </c>
      <c r="N43" s="8">
        <f>N38+750</f>
        <v>55081</v>
      </c>
      <c r="O43" s="17">
        <f>O37+7</f>
        <v>46429.18171</v>
      </c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7" t="s">
        <v>11</v>
      </c>
      <c r="B44" s="8">
        <f>B43-(7*26)</f>
        <v>40131</v>
      </c>
      <c r="C44" s="8">
        <f>$D$2</f>
        <v>23</v>
      </c>
      <c r="D44" s="8">
        <f>$E$2</f>
        <v>0</v>
      </c>
      <c r="E44" s="8">
        <f>E45+E46</f>
        <v>331</v>
      </c>
      <c r="F44" s="8"/>
      <c r="G44" s="7" t="s">
        <v>11</v>
      </c>
      <c r="H44" s="8">
        <f>H43-(7*26)</f>
        <v>47515</v>
      </c>
      <c r="I44" s="8">
        <f>$D$2</f>
        <v>23</v>
      </c>
      <c r="J44" s="8">
        <f>$E$2</f>
        <v>0</v>
      </c>
      <c r="K44" s="8">
        <f>K45+K46</f>
        <v>388</v>
      </c>
      <c r="L44" s="8"/>
      <c r="M44" s="7" t="s">
        <v>11</v>
      </c>
      <c r="N44" s="8">
        <f>N43-(7*26)</f>
        <v>54899</v>
      </c>
      <c r="O44" s="8">
        <f>$D$2</f>
        <v>23</v>
      </c>
      <c r="P44" s="8">
        <f>$E$2</f>
        <v>0</v>
      </c>
      <c r="Q44" s="8">
        <f>Q45+Q46</f>
        <v>445</v>
      </c>
      <c r="R44" s="8"/>
      <c r="S44" s="8"/>
      <c r="T44" s="8"/>
      <c r="U44" s="8"/>
      <c r="V44" s="8"/>
      <c r="W44" s="8"/>
      <c r="X44" s="8"/>
      <c r="Y44" s="8"/>
    </row>
    <row r="45">
      <c r="A45" s="7" t="s">
        <v>6</v>
      </c>
      <c r="B45" s="8">
        <f>(B44-MOD(B44,1300))/130</f>
        <v>300</v>
      </c>
      <c r="C45" s="8">
        <f>(C44-MOD(C44,10))</f>
        <v>20</v>
      </c>
      <c r="D45" s="8">
        <f>D44*10</f>
        <v>0</v>
      </c>
      <c r="E45" s="8">
        <f t="shared" ref="E45:E46" si="20">B45+C45+D45</f>
        <v>320</v>
      </c>
      <c r="F45" s="8"/>
      <c r="G45" s="7" t="s">
        <v>6</v>
      </c>
      <c r="H45" s="8">
        <f>(H44-MOD(H44,1300))/130</f>
        <v>360</v>
      </c>
      <c r="I45" s="8">
        <f>(I44-MOD(I44,10))</f>
        <v>20</v>
      </c>
      <c r="J45" s="8">
        <f>J44*10</f>
        <v>0</v>
      </c>
      <c r="K45" s="8">
        <f t="shared" ref="K45:K46" si="21">H45+I45+J45</f>
        <v>380</v>
      </c>
      <c r="L45" s="8"/>
      <c r="M45" s="7" t="s">
        <v>6</v>
      </c>
      <c r="N45" s="8">
        <f>(N44-MOD(N44,1300))/130</f>
        <v>420</v>
      </c>
      <c r="O45" s="8">
        <f>(O44-MOD(O44,10))</f>
        <v>20</v>
      </c>
      <c r="P45" s="8">
        <f>P44*10</f>
        <v>0</v>
      </c>
      <c r="Q45" s="8">
        <f t="shared" ref="Q45:Q46" si="22">N45+O45+P45</f>
        <v>440</v>
      </c>
      <c r="R45" s="8"/>
      <c r="S45" s="8"/>
      <c r="T45" s="8"/>
      <c r="U45" s="8"/>
      <c r="V45" s="8"/>
      <c r="W45" s="8"/>
      <c r="X45" s="8"/>
      <c r="Y45" s="8"/>
    </row>
    <row r="46">
      <c r="A46" s="7" t="s">
        <v>7</v>
      </c>
      <c r="B46" s="8">
        <f>ROUNDDOWN((MOD(B44,1300))/130,0)</f>
        <v>8</v>
      </c>
      <c r="C46" s="8">
        <f>C44-(C44-MOD(C44,10))</f>
        <v>3</v>
      </c>
      <c r="D46" s="7">
        <v>0.0</v>
      </c>
      <c r="E46" s="8">
        <f t="shared" si="20"/>
        <v>11</v>
      </c>
      <c r="F46" s="8"/>
      <c r="G46" s="7" t="s">
        <v>7</v>
      </c>
      <c r="H46" s="8">
        <f>ROUNDDOWN((MOD(H44,1300))/130,0)</f>
        <v>5</v>
      </c>
      <c r="I46" s="8">
        <f>I44-(I44-MOD(I44,10))</f>
        <v>3</v>
      </c>
      <c r="J46" s="7">
        <v>0.0</v>
      </c>
      <c r="K46" s="8">
        <f t="shared" si="21"/>
        <v>8</v>
      </c>
      <c r="L46" s="8"/>
      <c r="M46" s="7" t="s">
        <v>7</v>
      </c>
      <c r="N46" s="8">
        <f>ROUNDDOWN((MOD(N44,1300))/130,0)</f>
        <v>2</v>
      </c>
      <c r="O46" s="8">
        <f>O44-(O44-MOD(O44,10))</f>
        <v>3</v>
      </c>
      <c r="P46" s="7">
        <v>0.0</v>
      </c>
      <c r="Q46" s="8">
        <f t="shared" si="22"/>
        <v>5</v>
      </c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7" t="s">
        <v>9</v>
      </c>
      <c r="B48" s="8"/>
      <c r="C48" s="8"/>
      <c r="D48" s="8"/>
      <c r="E48" s="8"/>
      <c r="F48" s="8"/>
      <c r="G48" s="7" t="s">
        <v>9</v>
      </c>
      <c r="H48" s="8"/>
      <c r="I48" s="8"/>
      <c r="J48" s="8"/>
      <c r="K48" s="8"/>
      <c r="L48" s="8"/>
      <c r="M48" s="7" t="s">
        <v>9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7" t="s">
        <v>10</v>
      </c>
      <c r="B49" s="8">
        <f>B44+750</f>
        <v>40881</v>
      </c>
      <c r="C49" s="17">
        <f>C43+7</f>
        <v>46254.18171</v>
      </c>
      <c r="D49" s="8"/>
      <c r="E49" s="8"/>
      <c r="F49" s="8"/>
      <c r="G49" s="7" t="s">
        <v>10</v>
      </c>
      <c r="H49" s="8">
        <f>H44+750</f>
        <v>48265</v>
      </c>
      <c r="I49" s="17">
        <f>I43+7</f>
        <v>46345.18171</v>
      </c>
      <c r="J49" s="8"/>
      <c r="K49" s="8"/>
      <c r="L49" s="8"/>
      <c r="M49" s="7" t="s">
        <v>10</v>
      </c>
      <c r="N49" s="8">
        <f>N44+750</f>
        <v>55649</v>
      </c>
      <c r="O49" s="17">
        <f>O43+7</f>
        <v>46436.18171</v>
      </c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 t="s">
        <v>11</v>
      </c>
      <c r="B50" s="8">
        <f>B49-(7*26)</f>
        <v>40699</v>
      </c>
      <c r="C50" s="8">
        <f>$D$2</f>
        <v>23</v>
      </c>
      <c r="D50" s="8">
        <f>$E$2</f>
        <v>0</v>
      </c>
      <c r="E50" s="8">
        <f>E51+E52</f>
        <v>336</v>
      </c>
      <c r="F50" s="8"/>
      <c r="G50" s="7" t="s">
        <v>11</v>
      </c>
      <c r="H50" s="8">
        <f>H49-(7*26)</f>
        <v>48083</v>
      </c>
      <c r="I50" s="8">
        <f>$D$2</f>
        <v>23</v>
      </c>
      <c r="J50" s="8">
        <f>$E$2</f>
        <v>0</v>
      </c>
      <c r="K50" s="8">
        <f>K51+K52</f>
        <v>392</v>
      </c>
      <c r="L50" s="8"/>
      <c r="M50" s="7" t="s">
        <v>11</v>
      </c>
      <c r="N50" s="8">
        <f>N49-(7*26)</f>
        <v>55467</v>
      </c>
      <c r="O50" s="8">
        <f>$D$2</f>
        <v>23</v>
      </c>
      <c r="P50" s="8">
        <f>$E$2</f>
        <v>0</v>
      </c>
      <c r="Q50" s="8">
        <f>Q51+Q52</f>
        <v>449</v>
      </c>
      <c r="R50" s="8"/>
      <c r="S50" s="8"/>
      <c r="T50" s="8"/>
      <c r="U50" s="8"/>
      <c r="V50" s="8"/>
      <c r="W50" s="8"/>
      <c r="X50" s="8"/>
      <c r="Y50" s="8"/>
    </row>
    <row r="51">
      <c r="A51" s="7" t="s">
        <v>6</v>
      </c>
      <c r="B51" s="8">
        <f>(B50-MOD(B50,1300))/130</f>
        <v>310</v>
      </c>
      <c r="C51" s="8">
        <f>(C50-MOD(C50,10))</f>
        <v>20</v>
      </c>
      <c r="D51" s="8">
        <f>D50*10</f>
        <v>0</v>
      </c>
      <c r="E51" s="8">
        <f t="shared" ref="E51:E52" si="23">B51+C51+D51</f>
        <v>330</v>
      </c>
      <c r="F51" s="8"/>
      <c r="G51" s="7" t="s">
        <v>6</v>
      </c>
      <c r="H51" s="8">
        <f>(H50-MOD(H50,1300))/130</f>
        <v>360</v>
      </c>
      <c r="I51" s="8">
        <f>(I50-MOD(I50,10))</f>
        <v>20</v>
      </c>
      <c r="J51" s="8">
        <f>J50*10</f>
        <v>0</v>
      </c>
      <c r="K51" s="8">
        <f t="shared" ref="K51:K52" si="24">H51+I51+J51</f>
        <v>380</v>
      </c>
      <c r="L51" s="8"/>
      <c r="M51" s="7" t="s">
        <v>6</v>
      </c>
      <c r="N51" s="8">
        <f>(N50-MOD(N50,1300))/130</f>
        <v>420</v>
      </c>
      <c r="O51" s="8">
        <f>(O50-MOD(O50,10))</f>
        <v>20</v>
      </c>
      <c r="P51" s="8">
        <f>P50*10</f>
        <v>0</v>
      </c>
      <c r="Q51" s="8">
        <f t="shared" ref="Q51:Q52" si="25">N51+O51+P51</f>
        <v>440</v>
      </c>
      <c r="R51" s="8"/>
      <c r="S51" s="8"/>
      <c r="T51" s="8"/>
      <c r="U51" s="8"/>
      <c r="V51" s="8"/>
      <c r="W51" s="8"/>
      <c r="X51" s="8"/>
      <c r="Y51" s="8"/>
    </row>
    <row r="52">
      <c r="A52" s="7" t="s">
        <v>7</v>
      </c>
      <c r="B52" s="8">
        <f>ROUNDDOWN((MOD(B50,1300))/130,0)</f>
        <v>3</v>
      </c>
      <c r="C52" s="8">
        <f>C50-(C50-MOD(C50,10))</f>
        <v>3</v>
      </c>
      <c r="D52" s="7">
        <v>0.0</v>
      </c>
      <c r="E52" s="8">
        <f t="shared" si="23"/>
        <v>6</v>
      </c>
      <c r="F52" s="8"/>
      <c r="G52" s="7" t="s">
        <v>7</v>
      </c>
      <c r="H52" s="8">
        <f>ROUNDDOWN((MOD(H50,1300))/130,0)</f>
        <v>9</v>
      </c>
      <c r="I52" s="8">
        <f>I50-(I50-MOD(I50,10))</f>
        <v>3</v>
      </c>
      <c r="J52" s="7">
        <v>0.0</v>
      </c>
      <c r="K52" s="8">
        <f t="shared" si="24"/>
        <v>12</v>
      </c>
      <c r="L52" s="8"/>
      <c r="M52" s="7" t="s">
        <v>7</v>
      </c>
      <c r="N52" s="8">
        <f>ROUNDDOWN((MOD(N50,1300))/130,0)</f>
        <v>6</v>
      </c>
      <c r="O52" s="8">
        <f>O50-(O50-MOD(O50,10))</f>
        <v>3</v>
      </c>
      <c r="P52" s="7">
        <v>0.0</v>
      </c>
      <c r="Q52" s="8">
        <f t="shared" si="25"/>
        <v>9</v>
      </c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7" t="s">
        <v>9</v>
      </c>
      <c r="B54" s="8"/>
      <c r="C54" s="8"/>
      <c r="D54" s="8"/>
      <c r="E54" s="8"/>
      <c r="F54" s="8"/>
      <c r="G54" s="7" t="s">
        <v>9</v>
      </c>
      <c r="H54" s="8"/>
      <c r="I54" s="8"/>
      <c r="J54" s="8"/>
      <c r="K54" s="8"/>
      <c r="L54" s="8"/>
      <c r="M54" s="7" t="s">
        <v>9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7" t="s">
        <v>10</v>
      </c>
      <c r="B55" s="8">
        <f>B50+750</f>
        <v>41449</v>
      </c>
      <c r="C55" s="17">
        <f>C49+7</f>
        <v>46261.18171</v>
      </c>
      <c r="D55" s="8"/>
      <c r="E55" s="8"/>
      <c r="F55" s="8"/>
      <c r="G55" s="7" t="s">
        <v>10</v>
      </c>
      <c r="H55" s="8">
        <f>H50+750</f>
        <v>48833</v>
      </c>
      <c r="I55" s="17">
        <f>I49+7</f>
        <v>46352.18171</v>
      </c>
      <c r="J55" s="8"/>
      <c r="K55" s="8"/>
      <c r="L55" s="8"/>
      <c r="M55" s="7" t="s">
        <v>10</v>
      </c>
      <c r="N55" s="8">
        <f>N50+750</f>
        <v>56217</v>
      </c>
      <c r="O55" s="17">
        <f>O49+7</f>
        <v>46443.18171</v>
      </c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7" t="s">
        <v>11</v>
      </c>
      <c r="B56" s="8">
        <f>B55-(7*26)</f>
        <v>41267</v>
      </c>
      <c r="C56" s="8">
        <f>$D$2</f>
        <v>23</v>
      </c>
      <c r="D56" s="8">
        <f>$E$2</f>
        <v>0</v>
      </c>
      <c r="E56" s="8">
        <f>E57+E58</f>
        <v>340</v>
      </c>
      <c r="F56" s="8"/>
      <c r="G56" s="7" t="s">
        <v>11</v>
      </c>
      <c r="H56" s="8">
        <f>H55-(7*26)</f>
        <v>48651</v>
      </c>
      <c r="I56" s="8">
        <f>$D$2</f>
        <v>23</v>
      </c>
      <c r="J56" s="8">
        <f>$E$2</f>
        <v>0</v>
      </c>
      <c r="K56" s="8">
        <f>K57+K58</f>
        <v>397</v>
      </c>
      <c r="L56" s="8"/>
      <c r="M56" s="7" t="s">
        <v>11</v>
      </c>
      <c r="N56" s="8">
        <f>N55-(7*26)</f>
        <v>56035</v>
      </c>
      <c r="O56" s="8">
        <f>$D$2</f>
        <v>23</v>
      </c>
      <c r="P56" s="8">
        <f>$E$2</f>
        <v>0</v>
      </c>
      <c r="Q56" s="8">
        <f>Q57+Q58</f>
        <v>454</v>
      </c>
      <c r="R56" s="8"/>
      <c r="S56" s="8"/>
      <c r="T56" s="8"/>
      <c r="U56" s="8"/>
      <c r="V56" s="8"/>
      <c r="W56" s="8"/>
      <c r="X56" s="8"/>
      <c r="Y56" s="8"/>
    </row>
    <row r="57">
      <c r="A57" s="7" t="s">
        <v>6</v>
      </c>
      <c r="B57" s="8">
        <f>(B56-MOD(B56,1300))/130</f>
        <v>310</v>
      </c>
      <c r="C57" s="8">
        <f>(C56-MOD(C56,10))</f>
        <v>20</v>
      </c>
      <c r="D57" s="8">
        <f>D56*10</f>
        <v>0</v>
      </c>
      <c r="E57" s="8">
        <f t="shared" ref="E57:E58" si="26">B57+C57+D57</f>
        <v>330</v>
      </c>
      <c r="F57" s="8"/>
      <c r="G57" s="7" t="s">
        <v>6</v>
      </c>
      <c r="H57" s="8">
        <f>(H56-MOD(H56,1300))/130</f>
        <v>370</v>
      </c>
      <c r="I57" s="8">
        <f>(I56-MOD(I56,10))</f>
        <v>20</v>
      </c>
      <c r="J57" s="8">
        <f>J56*10</f>
        <v>0</v>
      </c>
      <c r="K57" s="8">
        <f t="shared" ref="K57:K58" si="27">H57+I57+J57</f>
        <v>390</v>
      </c>
      <c r="L57" s="8"/>
      <c r="M57" s="7" t="s">
        <v>6</v>
      </c>
      <c r="N57" s="8">
        <f>(N56-MOD(N56,1300))/130</f>
        <v>430</v>
      </c>
      <c r="O57" s="8">
        <f>(O56-MOD(O56,10))</f>
        <v>20</v>
      </c>
      <c r="P57" s="8">
        <f>P56*10</f>
        <v>0</v>
      </c>
      <c r="Q57" s="8">
        <f t="shared" ref="Q57:Q58" si="28">N57+O57+P57</f>
        <v>450</v>
      </c>
      <c r="R57" s="8"/>
      <c r="S57" s="8"/>
      <c r="T57" s="8"/>
      <c r="U57" s="8"/>
      <c r="V57" s="8"/>
      <c r="W57" s="8"/>
      <c r="X57" s="8"/>
      <c r="Y57" s="8"/>
    </row>
    <row r="58">
      <c r="A58" s="7" t="s">
        <v>7</v>
      </c>
      <c r="B58" s="8">
        <f>ROUNDDOWN((MOD(B56,1300))/130,0)</f>
        <v>7</v>
      </c>
      <c r="C58" s="8">
        <f>C56-(C56-MOD(C56,10))</f>
        <v>3</v>
      </c>
      <c r="D58" s="7">
        <v>0.0</v>
      </c>
      <c r="E58" s="8">
        <f t="shared" si="26"/>
        <v>10</v>
      </c>
      <c r="F58" s="8"/>
      <c r="G58" s="7" t="s">
        <v>7</v>
      </c>
      <c r="H58" s="8">
        <f>ROUNDDOWN((MOD(H56,1300))/130,0)</f>
        <v>4</v>
      </c>
      <c r="I58" s="8">
        <f>I56-(I56-MOD(I56,10))</f>
        <v>3</v>
      </c>
      <c r="J58" s="7">
        <v>0.0</v>
      </c>
      <c r="K58" s="8">
        <f t="shared" si="27"/>
        <v>7</v>
      </c>
      <c r="L58" s="8"/>
      <c r="M58" s="7" t="s">
        <v>7</v>
      </c>
      <c r="N58" s="8">
        <f>ROUNDDOWN((MOD(N56,1300))/130,0)</f>
        <v>1</v>
      </c>
      <c r="O58" s="8">
        <f>O56-(O56-MOD(O56,10))</f>
        <v>3</v>
      </c>
      <c r="P58" s="7">
        <v>0.0</v>
      </c>
      <c r="Q58" s="8">
        <f t="shared" si="28"/>
        <v>4</v>
      </c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7" t="s">
        <v>9</v>
      </c>
      <c r="B60" s="8"/>
      <c r="C60" s="8"/>
      <c r="D60" s="8"/>
      <c r="E60" s="8"/>
      <c r="F60" s="8"/>
      <c r="G60" s="7" t="s">
        <v>9</v>
      </c>
      <c r="H60" s="8"/>
      <c r="I60" s="8"/>
      <c r="J60" s="8"/>
      <c r="K60" s="8"/>
      <c r="L60" s="8"/>
      <c r="M60" s="7" t="s">
        <v>9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7" t="s">
        <v>10</v>
      </c>
      <c r="B61" s="8">
        <f>B56+750</f>
        <v>42017</v>
      </c>
      <c r="C61" s="17">
        <f>C55+7</f>
        <v>46268.18171</v>
      </c>
      <c r="D61" s="8"/>
      <c r="E61" s="8"/>
      <c r="F61" s="8"/>
      <c r="G61" s="7" t="s">
        <v>10</v>
      </c>
      <c r="H61" s="8">
        <f>H56+750</f>
        <v>49401</v>
      </c>
      <c r="I61" s="17">
        <f>I55+7</f>
        <v>46359.18171</v>
      </c>
      <c r="J61" s="8"/>
      <c r="K61" s="8"/>
      <c r="L61" s="8"/>
      <c r="M61" s="7" t="s">
        <v>10</v>
      </c>
      <c r="N61" s="8">
        <f>N56+750</f>
        <v>56785</v>
      </c>
      <c r="O61" s="17">
        <f>O55+7</f>
        <v>46450.18171</v>
      </c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7" t="s">
        <v>11</v>
      </c>
      <c r="B62" s="8">
        <f>B61-(7*26)</f>
        <v>41835</v>
      </c>
      <c r="C62" s="8">
        <f>$D$2</f>
        <v>23</v>
      </c>
      <c r="D62" s="8">
        <f>$E$2</f>
        <v>0</v>
      </c>
      <c r="E62" s="8">
        <f>E63+E64</f>
        <v>344</v>
      </c>
      <c r="F62" s="8"/>
      <c r="G62" s="7" t="s">
        <v>11</v>
      </c>
      <c r="H62" s="8">
        <f>H61-(7*26)</f>
        <v>49219</v>
      </c>
      <c r="I62" s="8">
        <f>$D$2</f>
        <v>23</v>
      </c>
      <c r="J62" s="8">
        <f>$E$2</f>
        <v>0</v>
      </c>
      <c r="K62" s="8">
        <f>K63+K64</f>
        <v>401</v>
      </c>
      <c r="L62" s="8"/>
      <c r="M62" s="7" t="s">
        <v>11</v>
      </c>
      <c r="N62" s="8">
        <f>N61-(7*26)</f>
        <v>56603</v>
      </c>
      <c r="O62" s="8">
        <f>$D$2</f>
        <v>23</v>
      </c>
      <c r="P62" s="8">
        <f>$E$2</f>
        <v>0</v>
      </c>
      <c r="Q62" s="8">
        <f>Q63+Q64</f>
        <v>458</v>
      </c>
      <c r="R62" s="8"/>
      <c r="S62" s="8"/>
      <c r="T62" s="8"/>
      <c r="U62" s="8"/>
      <c r="V62" s="8"/>
      <c r="W62" s="8"/>
      <c r="X62" s="8"/>
      <c r="Y62" s="8"/>
    </row>
    <row r="63">
      <c r="A63" s="7" t="s">
        <v>6</v>
      </c>
      <c r="B63" s="8">
        <f>(B62-MOD(B62,1300))/130</f>
        <v>320</v>
      </c>
      <c r="C63" s="8">
        <f>(C62-MOD(C62,10))</f>
        <v>20</v>
      </c>
      <c r="D63" s="8">
        <f>D62*10</f>
        <v>0</v>
      </c>
      <c r="E63" s="8">
        <f t="shared" ref="E63:E64" si="29">B63+C63+D63</f>
        <v>340</v>
      </c>
      <c r="F63" s="8"/>
      <c r="G63" s="7" t="s">
        <v>6</v>
      </c>
      <c r="H63" s="8">
        <f>(H62-MOD(H62,1300))/130</f>
        <v>370</v>
      </c>
      <c r="I63" s="8">
        <f>(I62-MOD(I62,10))</f>
        <v>20</v>
      </c>
      <c r="J63" s="8">
        <f>J62*10</f>
        <v>0</v>
      </c>
      <c r="K63" s="8">
        <f t="shared" ref="K63:K64" si="30">H63+I63+J63</f>
        <v>390</v>
      </c>
      <c r="L63" s="8"/>
      <c r="M63" s="7" t="s">
        <v>6</v>
      </c>
      <c r="N63" s="8">
        <f>(N62-MOD(N62,1300))/130</f>
        <v>430</v>
      </c>
      <c r="O63" s="8">
        <f>(O62-MOD(O62,10))</f>
        <v>20</v>
      </c>
      <c r="P63" s="8">
        <f>P62*10</f>
        <v>0</v>
      </c>
      <c r="Q63" s="8">
        <f t="shared" ref="Q63:Q64" si="31">N63+O63+P63</f>
        <v>450</v>
      </c>
      <c r="R63" s="8"/>
      <c r="S63" s="8"/>
      <c r="T63" s="8"/>
      <c r="U63" s="8"/>
      <c r="V63" s="8"/>
      <c r="W63" s="8"/>
      <c r="X63" s="8"/>
      <c r="Y63" s="8"/>
    </row>
    <row r="64">
      <c r="A64" s="7" t="s">
        <v>7</v>
      </c>
      <c r="B64" s="8">
        <f>ROUNDDOWN((MOD(B62,1300))/130,0)</f>
        <v>1</v>
      </c>
      <c r="C64" s="8">
        <f>C62-(C62-MOD(C62,10))</f>
        <v>3</v>
      </c>
      <c r="D64" s="7">
        <v>0.0</v>
      </c>
      <c r="E64" s="8">
        <f t="shared" si="29"/>
        <v>4</v>
      </c>
      <c r="F64" s="8"/>
      <c r="G64" s="7" t="s">
        <v>7</v>
      </c>
      <c r="H64" s="8">
        <f>ROUNDDOWN((MOD(H62,1300))/130,0)</f>
        <v>8</v>
      </c>
      <c r="I64" s="8">
        <f>I62-(I62-MOD(I62,10))</f>
        <v>3</v>
      </c>
      <c r="J64" s="7">
        <v>0.0</v>
      </c>
      <c r="K64" s="8">
        <f t="shared" si="30"/>
        <v>11</v>
      </c>
      <c r="L64" s="8"/>
      <c r="M64" s="7" t="s">
        <v>7</v>
      </c>
      <c r="N64" s="8">
        <f>ROUNDDOWN((MOD(N62,1300))/130,0)</f>
        <v>5</v>
      </c>
      <c r="O64" s="8">
        <f>O62-(O62-MOD(O62,10))</f>
        <v>3</v>
      </c>
      <c r="P64" s="7">
        <v>0.0</v>
      </c>
      <c r="Q64" s="8">
        <f t="shared" si="31"/>
        <v>8</v>
      </c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7" t="s">
        <v>9</v>
      </c>
      <c r="B66" s="8"/>
      <c r="C66" s="8"/>
      <c r="D66" s="8"/>
      <c r="E66" s="8"/>
      <c r="F66" s="8"/>
      <c r="G66" s="7" t="s">
        <v>9</v>
      </c>
      <c r="H66" s="8"/>
      <c r="I66" s="8"/>
      <c r="J66" s="8"/>
      <c r="K66" s="8"/>
      <c r="L66" s="8"/>
      <c r="M66" s="7" t="s">
        <v>9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7" t="s">
        <v>10</v>
      </c>
      <c r="B67" s="8">
        <f>B62+750</f>
        <v>42585</v>
      </c>
      <c r="C67" s="17">
        <f>C61+7</f>
        <v>46275.18171</v>
      </c>
      <c r="D67" s="8"/>
      <c r="E67" s="8"/>
      <c r="F67" s="8"/>
      <c r="G67" s="7" t="s">
        <v>10</v>
      </c>
      <c r="H67" s="8">
        <f>H62+750</f>
        <v>49969</v>
      </c>
      <c r="I67" s="17">
        <f>I61+7</f>
        <v>46366.18171</v>
      </c>
      <c r="J67" s="8"/>
      <c r="K67" s="8"/>
      <c r="L67" s="8"/>
      <c r="M67" s="7" t="s">
        <v>10</v>
      </c>
      <c r="N67" s="8">
        <f>N62+750</f>
        <v>57353</v>
      </c>
      <c r="O67" s="17">
        <f>O61+7</f>
        <v>46457.18171</v>
      </c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7" t="s">
        <v>11</v>
      </c>
      <c r="B68" s="8">
        <f>B67-(7*26)</f>
        <v>42403</v>
      </c>
      <c r="C68" s="8">
        <f>$D$2</f>
        <v>23</v>
      </c>
      <c r="D68" s="8">
        <f>$E$2</f>
        <v>0</v>
      </c>
      <c r="E68" s="8">
        <f>E69+E70</f>
        <v>349</v>
      </c>
      <c r="F68" s="8"/>
      <c r="G68" s="7" t="s">
        <v>11</v>
      </c>
      <c r="H68" s="8">
        <f>H67-(7*26)</f>
        <v>49787</v>
      </c>
      <c r="I68" s="8">
        <f>$D$2</f>
        <v>23</v>
      </c>
      <c r="J68" s="8">
        <f>$E$2</f>
        <v>0</v>
      </c>
      <c r="K68" s="8">
        <f>K69+K70</f>
        <v>405</v>
      </c>
      <c r="L68" s="8"/>
      <c r="M68" s="7" t="s">
        <v>11</v>
      </c>
      <c r="N68" s="8">
        <f>N67-(7*26)</f>
        <v>57171</v>
      </c>
      <c r="O68" s="8">
        <f>$D$2</f>
        <v>23</v>
      </c>
      <c r="P68" s="8">
        <f>$E$2</f>
        <v>0</v>
      </c>
      <c r="Q68" s="8">
        <f>Q69+Q70</f>
        <v>462</v>
      </c>
      <c r="R68" s="8"/>
      <c r="S68" s="8"/>
      <c r="T68" s="8"/>
      <c r="U68" s="8"/>
      <c r="V68" s="8"/>
      <c r="W68" s="8"/>
      <c r="X68" s="8"/>
      <c r="Y68" s="8"/>
    </row>
    <row r="69">
      <c r="A69" s="7" t="s">
        <v>6</v>
      </c>
      <c r="B69" s="8">
        <f>(B68-MOD(B68,1300))/130</f>
        <v>320</v>
      </c>
      <c r="C69" s="8">
        <f>(C68-MOD(C68,10))</f>
        <v>20</v>
      </c>
      <c r="D69" s="8">
        <f>D68*10</f>
        <v>0</v>
      </c>
      <c r="E69" s="8">
        <f t="shared" ref="E69:E70" si="32">B69+C69+D69</f>
        <v>340</v>
      </c>
      <c r="F69" s="8"/>
      <c r="G69" s="7" t="s">
        <v>6</v>
      </c>
      <c r="H69" s="8">
        <f>(H68-MOD(H68,1300))/130</f>
        <v>380</v>
      </c>
      <c r="I69" s="8">
        <f>(I68-MOD(I68,10))</f>
        <v>20</v>
      </c>
      <c r="J69" s="8">
        <f>J68*10</f>
        <v>0</v>
      </c>
      <c r="K69" s="8">
        <f t="shared" ref="K69:K70" si="33">H69+I69+J69</f>
        <v>400</v>
      </c>
      <c r="L69" s="8"/>
      <c r="M69" s="7" t="s">
        <v>6</v>
      </c>
      <c r="N69" s="8">
        <f>(N68-MOD(N68,1300))/130</f>
        <v>430</v>
      </c>
      <c r="O69" s="8">
        <f>(O68-MOD(O68,10))</f>
        <v>20</v>
      </c>
      <c r="P69" s="8">
        <f>P68*10</f>
        <v>0</v>
      </c>
      <c r="Q69" s="8">
        <f t="shared" ref="Q69:Q70" si="34">N69+O69+P69</f>
        <v>450</v>
      </c>
      <c r="R69" s="8"/>
      <c r="S69" s="8"/>
      <c r="T69" s="8"/>
      <c r="U69" s="8"/>
      <c r="V69" s="8"/>
      <c r="W69" s="8"/>
      <c r="X69" s="8"/>
      <c r="Y69" s="8"/>
    </row>
    <row r="70">
      <c r="A70" s="7" t="s">
        <v>7</v>
      </c>
      <c r="B70" s="8">
        <f>ROUNDDOWN((MOD(B68,1300))/130,0)</f>
        <v>6</v>
      </c>
      <c r="C70" s="8">
        <f>C68-(C68-MOD(C68,10))</f>
        <v>3</v>
      </c>
      <c r="D70" s="7">
        <v>0.0</v>
      </c>
      <c r="E70" s="8">
        <f t="shared" si="32"/>
        <v>9</v>
      </c>
      <c r="F70" s="8"/>
      <c r="G70" s="7" t="s">
        <v>7</v>
      </c>
      <c r="H70" s="8">
        <f>ROUNDDOWN((MOD(H68,1300))/130,0)</f>
        <v>2</v>
      </c>
      <c r="I70" s="8">
        <f>I68-(I68-MOD(I68,10))</f>
        <v>3</v>
      </c>
      <c r="J70" s="7">
        <v>0.0</v>
      </c>
      <c r="K70" s="8">
        <f t="shared" si="33"/>
        <v>5</v>
      </c>
      <c r="L70" s="8"/>
      <c r="M70" s="7" t="s">
        <v>7</v>
      </c>
      <c r="N70" s="8">
        <f>ROUNDDOWN((MOD(N68,1300))/130,0)</f>
        <v>9</v>
      </c>
      <c r="O70" s="8">
        <f>O68-(O68-MOD(O68,10))</f>
        <v>3</v>
      </c>
      <c r="P70" s="7">
        <v>0.0</v>
      </c>
      <c r="Q70" s="8">
        <f t="shared" si="34"/>
        <v>12</v>
      </c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7" t="s">
        <v>9</v>
      </c>
      <c r="B72" s="8"/>
      <c r="C72" s="8"/>
      <c r="D72" s="8"/>
      <c r="E72" s="8"/>
      <c r="F72" s="8"/>
      <c r="G72" s="7" t="s">
        <v>9</v>
      </c>
      <c r="H72" s="8"/>
      <c r="I72" s="8"/>
      <c r="J72" s="8"/>
      <c r="K72" s="8"/>
      <c r="L72" s="8"/>
      <c r="M72" s="7" t="s">
        <v>9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7" t="s">
        <v>10</v>
      </c>
      <c r="B73" s="8">
        <f>B68+750</f>
        <v>43153</v>
      </c>
      <c r="C73" s="17">
        <f>C67+7</f>
        <v>46282.18171</v>
      </c>
      <c r="D73" s="8"/>
      <c r="E73" s="8"/>
      <c r="F73" s="8"/>
      <c r="G73" s="7" t="s">
        <v>10</v>
      </c>
      <c r="H73" s="8">
        <f>H68+750</f>
        <v>50537</v>
      </c>
      <c r="I73" s="17">
        <f>I67+7</f>
        <v>46373.18171</v>
      </c>
      <c r="J73" s="8"/>
      <c r="K73" s="8"/>
      <c r="L73" s="8"/>
      <c r="M73" s="7" t="s">
        <v>10</v>
      </c>
      <c r="N73" s="8">
        <f>N68+750</f>
        <v>57921</v>
      </c>
      <c r="O73" s="17">
        <f>O67+7</f>
        <v>46464.18171</v>
      </c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7" t="s">
        <v>11</v>
      </c>
      <c r="B74" s="8">
        <f>B73-(7*26)</f>
        <v>42971</v>
      </c>
      <c r="C74" s="8">
        <f>$D$2</f>
        <v>23</v>
      </c>
      <c r="D74" s="8">
        <f>$E$2</f>
        <v>0</v>
      </c>
      <c r="E74" s="8">
        <f>E75+E76</f>
        <v>353</v>
      </c>
      <c r="F74" s="8"/>
      <c r="G74" s="7" t="s">
        <v>11</v>
      </c>
      <c r="H74" s="8">
        <f>H73-(7*26)</f>
        <v>50355</v>
      </c>
      <c r="I74" s="8">
        <f>$D$2</f>
        <v>23</v>
      </c>
      <c r="J74" s="8">
        <f>$E$2</f>
        <v>0</v>
      </c>
      <c r="K74" s="8">
        <f>K75+K76</f>
        <v>410</v>
      </c>
      <c r="L74" s="8"/>
      <c r="M74" s="7" t="s">
        <v>11</v>
      </c>
      <c r="N74" s="8">
        <f>N73-(7*26)</f>
        <v>57739</v>
      </c>
      <c r="O74" s="8">
        <f>$D$2</f>
        <v>23</v>
      </c>
      <c r="P74" s="8">
        <f>$E$2</f>
        <v>0</v>
      </c>
      <c r="Q74" s="8">
        <f>Q75+Q76</f>
        <v>467</v>
      </c>
      <c r="R74" s="8"/>
      <c r="S74" s="8"/>
      <c r="T74" s="8"/>
      <c r="U74" s="8"/>
      <c r="V74" s="8"/>
      <c r="W74" s="8"/>
      <c r="X74" s="8"/>
      <c r="Y74" s="8"/>
    </row>
    <row r="75">
      <c r="A75" s="7" t="s">
        <v>6</v>
      </c>
      <c r="B75" s="8">
        <f>(B74-MOD(B74,1300))/130</f>
        <v>330</v>
      </c>
      <c r="C75" s="8">
        <f>(C74-MOD(C74,10))</f>
        <v>20</v>
      </c>
      <c r="D75" s="8">
        <f>D74*10</f>
        <v>0</v>
      </c>
      <c r="E75" s="8">
        <f t="shared" ref="E75:E76" si="35">B75+C75+D75</f>
        <v>350</v>
      </c>
      <c r="F75" s="8"/>
      <c r="G75" s="7" t="s">
        <v>6</v>
      </c>
      <c r="H75" s="8">
        <f>(H74-MOD(H74,1300))/130</f>
        <v>380</v>
      </c>
      <c r="I75" s="8">
        <f>(I74-MOD(I74,10))</f>
        <v>20</v>
      </c>
      <c r="J75" s="8">
        <f>J74*10</f>
        <v>0</v>
      </c>
      <c r="K75" s="8">
        <f t="shared" ref="K75:K76" si="36">H75+I75+J75</f>
        <v>400</v>
      </c>
      <c r="L75" s="8"/>
      <c r="M75" s="7" t="s">
        <v>6</v>
      </c>
      <c r="N75" s="8">
        <f>(N74-MOD(N74,1300))/130</f>
        <v>440</v>
      </c>
      <c r="O75" s="8">
        <f>(O74-MOD(O74,10))</f>
        <v>20</v>
      </c>
      <c r="P75" s="8">
        <f>P74*10</f>
        <v>0</v>
      </c>
      <c r="Q75" s="8">
        <f t="shared" ref="Q75:Q76" si="37">N75+O75+P75</f>
        <v>460</v>
      </c>
      <c r="R75" s="8"/>
      <c r="S75" s="8"/>
      <c r="T75" s="8"/>
      <c r="U75" s="8"/>
      <c r="V75" s="8"/>
      <c r="W75" s="8"/>
      <c r="X75" s="8"/>
      <c r="Y75" s="8"/>
    </row>
    <row r="76">
      <c r="A76" s="7" t="s">
        <v>7</v>
      </c>
      <c r="B76" s="8">
        <f>ROUNDDOWN((MOD(B74,1300))/130,0)</f>
        <v>0</v>
      </c>
      <c r="C76" s="8">
        <f>C74-(C74-MOD(C74,10))</f>
        <v>3</v>
      </c>
      <c r="D76" s="7">
        <v>0.0</v>
      </c>
      <c r="E76" s="8">
        <f t="shared" si="35"/>
        <v>3</v>
      </c>
      <c r="F76" s="8"/>
      <c r="G76" s="7" t="s">
        <v>7</v>
      </c>
      <c r="H76" s="8">
        <f>ROUNDDOWN((MOD(H74,1300))/130,0)</f>
        <v>7</v>
      </c>
      <c r="I76" s="8">
        <f>I74-(I74-MOD(I74,10))</f>
        <v>3</v>
      </c>
      <c r="J76" s="7">
        <v>0.0</v>
      </c>
      <c r="K76" s="8">
        <f t="shared" si="36"/>
        <v>10</v>
      </c>
      <c r="L76" s="8"/>
      <c r="M76" s="7" t="s">
        <v>7</v>
      </c>
      <c r="N76" s="8">
        <f>ROUNDDOWN((MOD(N74,1300))/130,0)</f>
        <v>4</v>
      </c>
      <c r="O76" s="8">
        <f>O74-(O74-MOD(O74,10))</f>
        <v>3</v>
      </c>
      <c r="P76" s="7">
        <v>0.0</v>
      </c>
      <c r="Q76" s="8">
        <f t="shared" si="37"/>
        <v>7</v>
      </c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7" t="s">
        <v>9</v>
      </c>
      <c r="B78" s="8"/>
      <c r="C78" s="8"/>
      <c r="D78" s="8"/>
      <c r="E78" s="8"/>
      <c r="F78" s="8"/>
      <c r="G78" s="7" t="s">
        <v>9</v>
      </c>
      <c r="H78" s="8"/>
      <c r="I78" s="8"/>
      <c r="J78" s="8"/>
      <c r="K78" s="8"/>
      <c r="L78" s="8"/>
      <c r="M78" s="7" t="s">
        <v>9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7" t="s">
        <v>10</v>
      </c>
      <c r="B79" s="8">
        <f>B74+750</f>
        <v>43721</v>
      </c>
      <c r="C79" s="17">
        <f>C73+7</f>
        <v>46289.18171</v>
      </c>
      <c r="D79" s="8"/>
      <c r="E79" s="8"/>
      <c r="F79" s="8"/>
      <c r="G79" s="7" t="s">
        <v>10</v>
      </c>
      <c r="H79" s="8">
        <f>H74+750</f>
        <v>51105</v>
      </c>
      <c r="I79" s="17">
        <f>I73+7</f>
        <v>46380.18171</v>
      </c>
      <c r="J79" s="8"/>
      <c r="K79" s="8"/>
      <c r="L79" s="8"/>
      <c r="M79" s="7" t="s">
        <v>10</v>
      </c>
      <c r="N79" s="8">
        <f>N74+750</f>
        <v>58489</v>
      </c>
      <c r="O79" s="17">
        <f>O73+7</f>
        <v>46471.18171</v>
      </c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7" t="s">
        <v>11</v>
      </c>
      <c r="B80" s="8">
        <f>B79-(7*26)</f>
        <v>43539</v>
      </c>
      <c r="C80" s="8">
        <f>$D$2</f>
        <v>23</v>
      </c>
      <c r="D80" s="8">
        <f>$E$2</f>
        <v>0</v>
      </c>
      <c r="E80" s="8">
        <f>E81+E82</f>
        <v>357</v>
      </c>
      <c r="F80" s="8"/>
      <c r="G80" s="7" t="s">
        <v>11</v>
      </c>
      <c r="H80" s="8">
        <f>H79-(7*26)</f>
        <v>50923</v>
      </c>
      <c r="I80" s="8">
        <f>$D$2</f>
        <v>23</v>
      </c>
      <c r="J80" s="8">
        <f>$E$2</f>
        <v>0</v>
      </c>
      <c r="K80" s="8">
        <f>K81+K82</f>
        <v>414</v>
      </c>
      <c r="L80" s="8"/>
      <c r="M80" s="7" t="s">
        <v>11</v>
      </c>
      <c r="N80" s="8">
        <f>N79-(7*26)</f>
        <v>58307</v>
      </c>
      <c r="O80" s="8">
        <f>$D$2</f>
        <v>23</v>
      </c>
      <c r="P80" s="8">
        <f>$E$2</f>
        <v>0</v>
      </c>
      <c r="Q80" s="8">
        <f>Q81+Q82</f>
        <v>471</v>
      </c>
      <c r="R80" s="8"/>
      <c r="S80" s="8"/>
      <c r="T80" s="8"/>
      <c r="U80" s="8"/>
      <c r="V80" s="8"/>
      <c r="W80" s="8"/>
      <c r="X80" s="8"/>
      <c r="Y80" s="8"/>
    </row>
    <row r="81">
      <c r="A81" s="7" t="s">
        <v>6</v>
      </c>
      <c r="B81" s="8">
        <f>(B80-MOD(B80,1300))/130</f>
        <v>330</v>
      </c>
      <c r="C81" s="8">
        <f>(C80-MOD(C80,10))</f>
        <v>20</v>
      </c>
      <c r="D81" s="8">
        <f>D80*10</f>
        <v>0</v>
      </c>
      <c r="E81" s="8">
        <f t="shared" ref="E81:E82" si="38">B81+C81+D81</f>
        <v>350</v>
      </c>
      <c r="F81" s="8"/>
      <c r="G81" s="7" t="s">
        <v>6</v>
      </c>
      <c r="H81" s="8">
        <f>(H80-MOD(H80,1300))/130</f>
        <v>390</v>
      </c>
      <c r="I81" s="8">
        <f>(I80-MOD(I80,10))</f>
        <v>20</v>
      </c>
      <c r="J81" s="8">
        <f>J80*10</f>
        <v>0</v>
      </c>
      <c r="K81" s="8">
        <f t="shared" ref="K81:K82" si="39">H81+I81+J81</f>
        <v>410</v>
      </c>
      <c r="L81" s="8"/>
      <c r="M81" s="7" t="s">
        <v>6</v>
      </c>
      <c r="N81" s="8">
        <f>(N80-MOD(N80,1300))/130</f>
        <v>440</v>
      </c>
      <c r="O81" s="8">
        <f>(O80-MOD(O80,10))</f>
        <v>20</v>
      </c>
      <c r="P81" s="8">
        <f>P80*10</f>
        <v>0</v>
      </c>
      <c r="Q81" s="8">
        <f t="shared" ref="Q81:Q82" si="40">N81+O81+P81</f>
        <v>460</v>
      </c>
      <c r="R81" s="8"/>
      <c r="S81" s="8"/>
      <c r="T81" s="8"/>
      <c r="U81" s="8"/>
      <c r="V81" s="8"/>
      <c r="W81" s="8"/>
      <c r="X81" s="8"/>
      <c r="Y81" s="8"/>
    </row>
    <row r="82">
      <c r="A82" s="7" t="s">
        <v>7</v>
      </c>
      <c r="B82" s="8">
        <f>ROUNDDOWN((MOD(B80,1300))/130,0)</f>
        <v>4</v>
      </c>
      <c r="C82" s="8">
        <f>C80-(C80-MOD(C80,10))</f>
        <v>3</v>
      </c>
      <c r="D82" s="7">
        <v>0.0</v>
      </c>
      <c r="E82" s="8">
        <f t="shared" si="38"/>
        <v>7</v>
      </c>
      <c r="F82" s="8"/>
      <c r="G82" s="7" t="s">
        <v>7</v>
      </c>
      <c r="H82" s="8">
        <f>ROUNDDOWN((MOD(H80,1300))/130,0)</f>
        <v>1</v>
      </c>
      <c r="I82" s="8">
        <f>I80-(I80-MOD(I80,10))</f>
        <v>3</v>
      </c>
      <c r="J82" s="7">
        <v>0.0</v>
      </c>
      <c r="K82" s="8">
        <f t="shared" si="39"/>
        <v>4</v>
      </c>
      <c r="L82" s="8"/>
      <c r="M82" s="7" t="s">
        <v>7</v>
      </c>
      <c r="N82" s="8">
        <f>ROUNDDOWN((MOD(N80,1300))/130,0)</f>
        <v>8</v>
      </c>
      <c r="O82" s="8">
        <f>O80-(O80-MOD(O80,10))</f>
        <v>3</v>
      </c>
      <c r="P82" s="7">
        <v>0.0</v>
      </c>
      <c r="Q82" s="8">
        <f t="shared" si="40"/>
        <v>11</v>
      </c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conditionalFormatting sqref="H1">
    <cfRule type="cellIs" dxfId="0" priority="1" operator="equal">
      <formula>"Tue"</formula>
    </cfRule>
  </conditionalFormatting>
  <conditionalFormatting sqref="H1">
    <cfRule type="cellIs" dxfId="1" priority="2" operator="equal">
      <formula>"Wed"</formula>
    </cfRule>
  </conditionalFormatting>
  <conditionalFormatting sqref="H1">
    <cfRule type="cellIs" dxfId="2" priority="3" operator="equal">
      <formula>"Thurs"</formula>
    </cfRule>
  </conditionalFormatting>
  <conditionalFormatting sqref="H1">
    <cfRule type="cellIs" dxfId="3" priority="4" operator="equal">
      <formula>"Fri"</formula>
    </cfRule>
  </conditionalFormatting>
  <conditionalFormatting sqref="H1">
    <cfRule type="cellIs" dxfId="4" priority="5" operator="equal">
      <formula>"Sat"</formula>
    </cfRule>
  </conditionalFormatting>
  <conditionalFormatting sqref="H1">
    <cfRule type="cellIs" dxfId="5" priority="6" operator="equal">
      <formula>"Sun"</formula>
    </cfRule>
  </conditionalFormatting>
  <conditionalFormatting sqref="H1">
    <cfRule type="cellIs" dxfId="6" priority="7" operator="equal">
      <formula>"Mon"</formula>
    </cfRule>
  </conditionalFormatting>
  <conditionalFormatting sqref="H1">
    <cfRule type="cellIs" dxfId="4" priority="8" operator="equal">
      <formula>"Tue"</formula>
    </cfRule>
  </conditionalFormatting>
  <conditionalFormatting sqref="H1">
    <cfRule type="cellIs" dxfId="7" priority="9" operator="equal">
      <formula>"Wed"</formula>
    </cfRule>
  </conditionalFormatting>
  <conditionalFormatting sqref="H1">
    <cfRule type="cellIs" dxfId="8" priority="10" operator="equal">
      <formula>"Thurs"</formula>
    </cfRule>
  </conditionalFormatting>
  <conditionalFormatting sqref="H1">
    <cfRule type="cellIs" dxfId="9" priority="11" operator="equal">
      <formula>"Fri"</formula>
    </cfRule>
  </conditionalFormatting>
  <conditionalFormatting sqref="H1">
    <cfRule type="cellIs" dxfId="10" priority="12" operator="equal">
      <formula>"Sat"</formula>
    </cfRule>
  </conditionalFormatting>
  <conditionalFormatting sqref="H1">
    <cfRule type="cellIs" dxfId="11" priority="13" operator="equal">
      <formula>"Sun"</formula>
    </cfRule>
  </conditionalFormatting>
  <conditionalFormatting sqref="H1">
    <cfRule type="cellIs" dxfId="12" priority="14" operator="equal">
      <formula>"Mon"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 hidden="1">
      <c r="A1" s="18">
        <v>15.0</v>
      </c>
      <c r="B1" s="19">
        <v>5.0</v>
      </c>
      <c r="C1" s="20">
        <v>5.0</v>
      </c>
      <c r="D1" s="21">
        <v>15.0</v>
      </c>
      <c r="E1" s="22">
        <v>10.0</v>
      </c>
      <c r="F1" s="23">
        <v>25.0</v>
      </c>
      <c r="G1" s="24">
        <v>20.0</v>
      </c>
      <c r="H1" s="25" t="s">
        <v>12</v>
      </c>
      <c r="I1" s="26" t="s">
        <v>13</v>
      </c>
      <c r="J1" s="26" t="s">
        <v>14</v>
      </c>
      <c r="K1" s="8"/>
      <c r="L1" s="27">
        <f>I8+(DataSheet!J38*3)+DataSheet!J35</f>
        <v>4251</v>
      </c>
      <c r="M1" s="27">
        <f>VLOOKUP(M9, IDLevelRange, 3, FALSE)</f>
        <v>251629</v>
      </c>
      <c r="N1" s="8"/>
      <c r="O1" s="8"/>
    </row>
    <row r="2" hidden="1">
      <c r="A2" s="18">
        <v>80.0</v>
      </c>
      <c r="B2" s="19">
        <v>20.0</v>
      </c>
      <c r="C2" s="20">
        <v>80.0</v>
      </c>
      <c r="D2" s="21">
        <v>10.0</v>
      </c>
      <c r="E2" s="22">
        <v>10.0</v>
      </c>
      <c r="F2" s="23">
        <v>6.0</v>
      </c>
      <c r="G2" s="24">
        <v>20.0</v>
      </c>
      <c r="H2" s="7" t="s">
        <v>15</v>
      </c>
      <c r="I2" s="7">
        <v>1.0</v>
      </c>
      <c r="J2" s="7" t="s">
        <v>16</v>
      </c>
      <c r="K2" s="8"/>
      <c r="L2" s="27">
        <f>L1+(DataSheet!J38*3)+DataSheet!J35</f>
        <v>4491</v>
      </c>
      <c r="M2" s="27">
        <f>VLOOKUP(M10, IDLevelRange, 3, FALSE)</f>
        <v>251629</v>
      </c>
      <c r="N2" s="8"/>
      <c r="O2" s="8"/>
    </row>
    <row r="3" hidden="1">
      <c r="A3" s="26">
        <f t="array" ref="A3:G3">A2:G2-A9:G9</f>
        <v>0</v>
      </c>
      <c r="B3" s="27">
        <v>0.0</v>
      </c>
      <c r="C3" s="27">
        <v>0.0</v>
      </c>
      <c r="D3" s="27">
        <v>0.0</v>
      </c>
      <c r="E3" s="27">
        <v>0.0</v>
      </c>
      <c r="F3" s="27">
        <v>0.0</v>
      </c>
      <c r="G3" s="28">
        <v>0.0</v>
      </c>
      <c r="H3" s="7">
        <v>6.0</v>
      </c>
      <c r="I3" s="7">
        <v>2.0</v>
      </c>
      <c r="J3" s="7" t="s">
        <v>17</v>
      </c>
      <c r="K3" s="8"/>
      <c r="L3" s="27">
        <f>L2+(DataSheet!J38*3)+DataSheet!J35</f>
        <v>4731</v>
      </c>
      <c r="M3" s="27">
        <f>M2-M1-N9</f>
        <v>0</v>
      </c>
      <c r="N3" s="8"/>
      <c r="O3" s="8"/>
    </row>
    <row r="4" hidden="1">
      <c r="A4" s="29">
        <f>SWITCH(A15, "EGO", 1000, "000 ID", 1000, "00 ID", 500)</f>
        <v>1000</v>
      </c>
      <c r="B4" s="30">
        <v>500.0</v>
      </c>
      <c r="C4" s="31">
        <v>250.0</v>
      </c>
      <c r="D4" s="32">
        <v>750.0</v>
      </c>
      <c r="E4" s="33">
        <v>200.0</v>
      </c>
      <c r="F4" s="34">
        <v>600.0</v>
      </c>
      <c r="G4" s="35"/>
      <c r="H4" s="36" t="s">
        <v>18</v>
      </c>
      <c r="I4" s="37" t="s">
        <v>19</v>
      </c>
      <c r="J4" s="36" t="s">
        <v>20</v>
      </c>
      <c r="K4" s="8"/>
      <c r="L4" s="27">
        <f>L3+(DataSheet!J38*3)+DataSheet!J35</f>
        <v>4971</v>
      </c>
      <c r="M4" s="27">
        <f t="shared" ref="M4:M7" si="1">MOD(M3, N4)
</f>
        <v>0</v>
      </c>
      <c r="N4" s="26">
        <f t="array" ref="N4:N7">VLOOKUP(L11:L14, TicketData, 3, FALSE)</f>
        <v>3000</v>
      </c>
      <c r="O4" s="8"/>
    </row>
    <row r="5" hidden="1">
      <c r="A5" s="29">
        <f t="array" ref="A5:F5">SEQUENCE(1, 6, 1, 0)</f>
        <v>1</v>
      </c>
      <c r="B5" s="30">
        <v>1.0</v>
      </c>
      <c r="C5" s="31">
        <v>1.0</v>
      </c>
      <c r="D5" s="32">
        <v>1.0</v>
      </c>
      <c r="E5" s="33">
        <v>1.0</v>
      </c>
      <c r="F5" s="34">
        <v>1.0</v>
      </c>
      <c r="G5" s="35"/>
      <c r="H5" s="37" t="s">
        <v>21</v>
      </c>
      <c r="I5" s="37" t="s">
        <v>22</v>
      </c>
      <c r="J5" s="36" t="s">
        <v>23</v>
      </c>
      <c r="K5" s="8"/>
      <c r="L5" s="27">
        <f>L4+(DataSheet!J38*3)+DataSheet!J35</f>
        <v>5211</v>
      </c>
      <c r="M5" s="27">
        <f t="shared" si="1"/>
        <v>0</v>
      </c>
      <c r="N5" s="27">
        <v>1000.0</v>
      </c>
      <c r="O5" s="8"/>
    </row>
    <row r="6" hidden="1">
      <c r="A6" s="26">
        <f t="array" ref="A6:F6">A5:F5-A11:F11</f>
        <v>0</v>
      </c>
      <c r="B6" s="27">
        <v>0.0</v>
      </c>
      <c r="C6" s="27">
        <v>1.0</v>
      </c>
      <c r="D6" s="27">
        <v>0.0</v>
      </c>
      <c r="E6" s="27">
        <v>0.0</v>
      </c>
      <c r="F6" s="27">
        <v>1.0</v>
      </c>
      <c r="G6" s="35"/>
      <c r="H6" s="36" t="s">
        <v>24</v>
      </c>
      <c r="I6" s="36" t="s">
        <v>25</v>
      </c>
      <c r="J6" s="36" t="s">
        <v>26</v>
      </c>
      <c r="K6" s="8"/>
      <c r="L6" s="27">
        <f>L5+(DataSheet!J38*3)+DataSheet!J35</f>
        <v>5451</v>
      </c>
      <c r="M6" s="27">
        <f t="shared" si="1"/>
        <v>0</v>
      </c>
      <c r="N6" s="27">
        <v>200.0</v>
      </c>
      <c r="O6" s="8"/>
    </row>
    <row r="7" hidden="1">
      <c r="A7" s="7"/>
      <c r="B7" s="7"/>
      <c r="C7" s="7"/>
      <c r="D7" s="7"/>
      <c r="E7" s="7"/>
      <c r="F7" s="7"/>
      <c r="G7" s="35"/>
      <c r="H7" s="8"/>
      <c r="I7" s="8"/>
      <c r="J7" s="8"/>
      <c r="K7" s="8"/>
      <c r="L7" s="27">
        <f>L6+(DataSheet!J38*3)+DataSheet!J35</f>
        <v>5691</v>
      </c>
      <c r="M7" s="27">
        <f t="shared" si="1"/>
        <v>0</v>
      </c>
      <c r="N7" s="27">
        <v>50.0</v>
      </c>
      <c r="O7" s="8"/>
    </row>
    <row r="8">
      <c r="A8" s="38" t="s">
        <v>27</v>
      </c>
      <c r="B8" s="39" t="s">
        <v>28</v>
      </c>
      <c r="C8" s="40" t="s">
        <v>29</v>
      </c>
      <c r="D8" s="41" t="s">
        <v>30</v>
      </c>
      <c r="E8" s="42" t="s">
        <v>31</v>
      </c>
      <c r="F8" s="43" t="s">
        <v>32</v>
      </c>
      <c r="G8" s="44" t="s">
        <v>3</v>
      </c>
      <c r="H8" s="45" t="s">
        <v>33</v>
      </c>
      <c r="I8" s="45">
        <v>4011.0</v>
      </c>
      <c r="J8" s="45" t="s">
        <v>34</v>
      </c>
      <c r="K8" s="46" t="s">
        <v>35</v>
      </c>
      <c r="L8" s="47" t="s">
        <v>36</v>
      </c>
      <c r="M8" s="48" t="s">
        <v>37</v>
      </c>
      <c r="N8" s="49"/>
      <c r="O8" s="8"/>
    </row>
    <row r="9">
      <c r="A9" s="50">
        <v>80.0</v>
      </c>
      <c r="B9" s="50">
        <v>20.0</v>
      </c>
      <c r="C9" s="50">
        <v>80.0</v>
      </c>
      <c r="D9" s="50">
        <v>10.0</v>
      </c>
      <c r="E9" s="50">
        <v>10.0</v>
      </c>
      <c r="F9" s="50">
        <v>6.0</v>
      </c>
      <c r="G9" s="50">
        <v>20.0</v>
      </c>
      <c r="H9" s="51" t="s">
        <v>38</v>
      </c>
      <c r="I9" s="51">
        <f>VLOOKUP(J9, ManagerXPData, 2)</f>
        <v>4316</v>
      </c>
      <c r="J9" s="52">
        <v>83.0</v>
      </c>
      <c r="K9" s="53" t="str">
        <f>IF(VLOOKUP(J9+1, ManagerXPData, 4) = 0, "0", "+1")
</f>
        <v>0</v>
      </c>
      <c r="L9" s="50" t="s">
        <v>39</v>
      </c>
      <c r="M9" s="47">
        <f>VLOOKUP(M8, SinnerIDData, 2, false)</f>
        <v>60</v>
      </c>
      <c r="N9" s="51">
        <f>VLOOKUP(M8, SinnerIDData, 3, false)</f>
        <v>0</v>
      </c>
      <c r="P9" s="54" t="s">
        <v>40</v>
      </c>
      <c r="Q9" s="54" t="s">
        <v>41</v>
      </c>
      <c r="R9" s="54" t="s">
        <v>42</v>
      </c>
    </row>
    <row r="10">
      <c r="A10" s="55" t="s">
        <v>43</v>
      </c>
      <c r="B10" s="56" t="s">
        <v>44</v>
      </c>
      <c r="C10" s="57" t="s">
        <v>45</v>
      </c>
      <c r="D10" s="58" t="s">
        <v>46</v>
      </c>
      <c r="E10" s="59" t="s">
        <v>47</v>
      </c>
      <c r="F10" s="60" t="s">
        <v>48</v>
      </c>
      <c r="G10" s="35"/>
      <c r="H10" s="61" t="str">
        <f t="array" ref="H10:H16">MAP(SEQUENCE(7,1), LAMBDA(x, "After " &amp; x &amp; " Daily"))</f>
        <v>After 1 Daily</v>
      </c>
      <c r="I10" s="62">
        <f t="array" ref="I10:I16">L1:L7</f>
        <v>4251</v>
      </c>
      <c r="J10" s="63" t="str">
        <f t="array" ref="J10:J16">MAP(I10:I16, LAMBDA(val, "After 1 MD:  " &amp; (val + 100)))</f>
        <v>After 1 MD:  4351</v>
      </c>
      <c r="K10" s="8"/>
      <c r="L10" s="50" t="s">
        <v>49</v>
      </c>
      <c r="M10" s="50">
        <v>60.0</v>
      </c>
      <c r="N10" s="51" t="s">
        <v>50</v>
      </c>
      <c r="O10" s="8"/>
      <c r="P10" s="54" t="s">
        <v>51</v>
      </c>
      <c r="Q10" s="7"/>
      <c r="R10" s="7" t="s">
        <v>52</v>
      </c>
      <c r="S10" s="7"/>
      <c r="T10" s="7"/>
    </row>
    <row r="11">
      <c r="A11" s="50" t="b">
        <v>1</v>
      </c>
      <c r="B11" s="50" t="b">
        <v>1</v>
      </c>
      <c r="C11" s="50" t="b">
        <v>0</v>
      </c>
      <c r="D11" s="50" t="b">
        <v>1</v>
      </c>
      <c r="E11" s="50" t="b">
        <v>1</v>
      </c>
      <c r="F11" s="50" t="b">
        <v>0</v>
      </c>
      <c r="G11" s="35"/>
      <c r="H11" s="61" t="s">
        <v>53</v>
      </c>
      <c r="I11" s="62">
        <v>4491.0</v>
      </c>
      <c r="J11" s="64" t="s">
        <v>54</v>
      </c>
      <c r="K11" s="8"/>
      <c r="L11" s="65" t="s">
        <v>55</v>
      </c>
      <c r="M11" s="66">
        <f t="array" ref="M11:M14">(M3:M6-M4:M7)/VLOOKUP(L11:L14, TicketData, 3, FALSE)</f>
        <v>0</v>
      </c>
      <c r="N11" s="66">
        <f t="array" ref="N11:N14">VLOOKUP(L11:L14, TicketData, 2, FALSE)-M11:M14</f>
        <v>287</v>
      </c>
      <c r="O11" s="67">
        <v>56.0</v>
      </c>
      <c r="P11" s="54" t="s">
        <v>56</v>
      </c>
      <c r="Q11" s="7" t="s">
        <v>57</v>
      </c>
      <c r="R11" s="7" t="s">
        <v>58</v>
      </c>
      <c r="S11" s="7" t="s">
        <v>59</v>
      </c>
      <c r="T11" s="7" t="s">
        <v>60</v>
      </c>
    </row>
    <row r="12">
      <c r="A12" s="68" t="s">
        <v>61</v>
      </c>
      <c r="B12" s="69">
        <f t="array" ref="B12">SUM(MAP(A1:G1, A3:G3, LAMBDA(x, y, x*y)), MAP(A4:F4, A6:F6, LAMBDA(a, b, a*b)))</f>
        <v>850</v>
      </c>
      <c r="C12" s="68" t="s">
        <v>62</v>
      </c>
      <c r="D12" s="69">
        <f>B12-(C6*C4)-(E6*E4)</f>
        <v>600</v>
      </c>
      <c r="E12" s="70" t="s">
        <v>63</v>
      </c>
      <c r="F12" s="51">
        <v>192.0</v>
      </c>
      <c r="G12" s="35"/>
      <c r="H12" s="61" t="s">
        <v>64</v>
      </c>
      <c r="I12" s="62">
        <v>4731.0</v>
      </c>
      <c r="J12" s="64" t="s">
        <v>65</v>
      </c>
      <c r="K12" s="8"/>
      <c r="L12" s="71" t="s">
        <v>66</v>
      </c>
      <c r="M12" s="72">
        <v>0.0</v>
      </c>
      <c r="N12" s="72">
        <v>298.0</v>
      </c>
      <c r="O12" s="67">
        <v>67.0</v>
      </c>
      <c r="P12" s="54" t="s">
        <v>67</v>
      </c>
      <c r="Q12" s="7"/>
      <c r="R12" s="7" t="s">
        <v>68</v>
      </c>
      <c r="S12" s="7" t="s">
        <v>69</v>
      </c>
      <c r="T12" s="7" t="s">
        <v>70</v>
      </c>
    </row>
    <row r="13">
      <c r="A13" s="73"/>
      <c r="B13" s="74">
        <f>B12-F12</f>
        <v>658</v>
      </c>
      <c r="C13" s="73"/>
      <c r="D13" s="74">
        <f>D12-F12</f>
        <v>408</v>
      </c>
      <c r="E13" s="75" t="s">
        <v>71</v>
      </c>
      <c r="F13" s="35"/>
      <c r="G13" s="35"/>
      <c r="H13" s="61" t="s">
        <v>72</v>
      </c>
      <c r="I13" s="62">
        <v>4971.0</v>
      </c>
      <c r="J13" s="64" t="s">
        <v>73</v>
      </c>
      <c r="K13" s="8"/>
      <c r="L13" s="76" t="s">
        <v>74</v>
      </c>
      <c r="M13" s="77">
        <v>0.0</v>
      </c>
      <c r="N13" s="77">
        <v>286.0</v>
      </c>
      <c r="O13" s="67">
        <v>55.0</v>
      </c>
      <c r="P13" s="54" t="s">
        <v>75</v>
      </c>
      <c r="Q13" s="7" t="s">
        <v>76</v>
      </c>
      <c r="R13" s="7" t="s">
        <v>77</v>
      </c>
      <c r="S13" s="7" t="s">
        <v>78</v>
      </c>
      <c r="T13" s="7"/>
    </row>
    <row r="14">
      <c r="A14" s="47" t="s">
        <v>79</v>
      </c>
      <c r="B14" s="8"/>
      <c r="C14" s="8"/>
      <c r="D14" s="8"/>
      <c r="E14" s="50" t="s">
        <v>80</v>
      </c>
      <c r="F14" s="78"/>
      <c r="G14" s="35"/>
      <c r="H14" s="61" t="s">
        <v>81</v>
      </c>
      <c r="I14" s="62">
        <v>5211.0</v>
      </c>
      <c r="J14" s="64" t="s">
        <v>82</v>
      </c>
      <c r="K14" s="79" t="s">
        <v>83</v>
      </c>
      <c r="L14" s="80" t="s">
        <v>84</v>
      </c>
      <c r="M14" s="81">
        <v>0.0</v>
      </c>
      <c r="N14" s="81">
        <v>52.0</v>
      </c>
      <c r="O14" s="67">
        <v>10.0</v>
      </c>
      <c r="P14" s="54" t="s">
        <v>85</v>
      </c>
      <c r="Q14" s="7" t="s">
        <v>86</v>
      </c>
      <c r="R14" s="7" t="s">
        <v>87</v>
      </c>
      <c r="S14" s="7" t="s">
        <v>88</v>
      </c>
      <c r="T14" s="7" t="s">
        <v>89</v>
      </c>
    </row>
    <row r="15">
      <c r="A15" s="50" t="s">
        <v>90</v>
      </c>
      <c r="B15" s="8"/>
      <c r="C15" s="8"/>
      <c r="D15" s="8"/>
      <c r="E15" s="61" t="s">
        <v>91</v>
      </c>
      <c r="F15" s="35"/>
      <c r="G15" s="35"/>
      <c r="H15" s="61" t="s">
        <v>92</v>
      </c>
      <c r="I15" s="62">
        <v>5451.0</v>
      </c>
      <c r="J15" s="64" t="s">
        <v>93</v>
      </c>
      <c r="K15" s="82" t="s">
        <v>94</v>
      </c>
      <c r="L15" s="83"/>
      <c r="M15" s="84" t="s">
        <v>95</v>
      </c>
      <c r="N15" s="49"/>
      <c r="O15" s="8"/>
      <c r="Q15" s="7" t="s">
        <v>96</v>
      </c>
      <c r="S15" s="7"/>
      <c r="T15" s="7"/>
    </row>
    <row r="16">
      <c r="A16" s="85"/>
      <c r="B16" s="85"/>
      <c r="C16" s="85"/>
      <c r="D16" s="85"/>
      <c r="E16" s="50" t="s">
        <v>97</v>
      </c>
      <c r="F16" s="78"/>
      <c r="G16" s="35"/>
      <c r="H16" s="50" t="s">
        <v>98</v>
      </c>
      <c r="I16" s="74">
        <v>5691.0</v>
      </c>
      <c r="J16" s="86" t="s">
        <v>99</v>
      </c>
      <c r="K16" s="87" t="s">
        <v>12</v>
      </c>
      <c r="L16" s="51" t="s">
        <v>15</v>
      </c>
      <c r="M16" s="88" t="s">
        <v>100</v>
      </c>
      <c r="N16" s="89" t="b">
        <v>1</v>
      </c>
      <c r="O16" s="8"/>
      <c r="P16" s="54" t="s">
        <v>101</v>
      </c>
      <c r="Q16" s="7" t="s">
        <v>102</v>
      </c>
      <c r="R16" s="7" t="s">
        <v>103</v>
      </c>
      <c r="S16" s="7" t="s">
        <v>104</v>
      </c>
      <c r="T16" s="7" t="s">
        <v>105</v>
      </c>
    </row>
    <row r="17">
      <c r="A17" s="51" t="s">
        <v>106</v>
      </c>
      <c r="B17" s="87" t="s">
        <v>12</v>
      </c>
      <c r="C17" s="90" t="s">
        <v>107</v>
      </c>
      <c r="D17" s="91">
        <f>LET(formula, (F19+H18+(0.4*I18)+(H20*7.5)+(I20*8)+(J20*9.5)+(SUMPRODUCT(H22:J22)*3)), D19 + (formula-ROUNDDOWN(F19,0))*3)</f>
        <v>2496</v>
      </c>
      <c r="E17" s="92"/>
      <c r="F17" s="92"/>
      <c r="G17" s="8"/>
      <c r="H17" s="51" t="s">
        <v>108</v>
      </c>
      <c r="I17" s="51" t="s">
        <v>109</v>
      </c>
      <c r="J17" s="51" t="s">
        <v>110</v>
      </c>
      <c r="K17" s="46" t="s">
        <v>111</v>
      </c>
      <c r="L17" s="7" t="s">
        <v>112</v>
      </c>
      <c r="M17" s="93" t="s">
        <v>113</v>
      </c>
      <c r="N17" s="94" t="b">
        <v>0</v>
      </c>
      <c r="O17" s="8"/>
      <c r="Q17" s="7" t="s">
        <v>114</v>
      </c>
      <c r="R17" s="7" t="s">
        <v>115</v>
      </c>
      <c r="S17" s="7" t="s">
        <v>116</v>
      </c>
      <c r="T17" s="7" t="s">
        <v>117</v>
      </c>
    </row>
    <row r="18">
      <c r="A18" s="51" t="s">
        <v>118</v>
      </c>
      <c r="B18" s="95" t="s">
        <v>119</v>
      </c>
      <c r="C18" s="96" t="s">
        <v>120</v>
      </c>
      <c r="D18" s="96">
        <f>SUM(B29:M29)</f>
        <v>1811.5</v>
      </c>
      <c r="E18" s="97" t="s">
        <v>121</v>
      </c>
      <c r="F18" s="97">
        <f>ROUNDUP(D20/3,0)</f>
        <v>0</v>
      </c>
      <c r="G18" s="8"/>
      <c r="H18" s="50">
        <v>1.0</v>
      </c>
      <c r="I18" s="50">
        <v>0.0</v>
      </c>
      <c r="J18" s="50">
        <v>20.0</v>
      </c>
      <c r="K18" s="50">
        <v>7.0</v>
      </c>
      <c r="L18" s="87" t="s">
        <v>122</v>
      </c>
      <c r="M18" s="98" t="s">
        <v>123</v>
      </c>
      <c r="N18" s="99" t="b">
        <v>0</v>
      </c>
      <c r="O18" s="8"/>
      <c r="P18" s="54" t="s">
        <v>124</v>
      </c>
      <c r="Q18" s="7" t="s">
        <v>125</v>
      </c>
      <c r="R18" s="7" t="s">
        <v>126</v>
      </c>
      <c r="S18" s="7" t="s">
        <v>127</v>
      </c>
      <c r="T18" s="7" t="s">
        <v>128</v>
      </c>
    </row>
    <row r="19">
      <c r="A19" s="61" t="s">
        <v>129</v>
      </c>
      <c r="B19" s="61">
        <f>VLOOKUP(B18, ShardNumber, 2, FALSE)</f>
        <v>400</v>
      </c>
      <c r="C19" s="100" t="s">
        <v>130</v>
      </c>
      <c r="D19" s="101">
        <f>DataSheet!J13</f>
        <v>2493</v>
      </c>
      <c r="E19" s="102" t="s">
        <v>131</v>
      </c>
      <c r="F19" s="103">
        <f>DataSheet!J14</f>
        <v>1201</v>
      </c>
      <c r="G19" s="8"/>
      <c r="H19" s="51" t="str">
        <f t="array" ref="H19:J19">SEQUENCE(1, 3) &amp; " Hard Left"</f>
        <v>1 Hard Left</v>
      </c>
      <c r="I19" s="51" t="s">
        <v>132</v>
      </c>
      <c r="J19" s="51" t="s">
        <v>133</v>
      </c>
      <c r="K19" s="8">
        <f>(K18*3)+ROUNDDOWN(K18/2,0)</f>
        <v>24</v>
      </c>
      <c r="L19" s="8">
        <f>J18-K19</f>
        <v>-4</v>
      </c>
      <c r="M19" s="104" t="s">
        <v>134</v>
      </c>
      <c r="N19" s="89" t="b">
        <v>0</v>
      </c>
      <c r="O19" s="8"/>
    </row>
    <row r="20">
      <c r="A20" s="61" t="s">
        <v>135</v>
      </c>
      <c r="B20" s="61">
        <f>VLOOKUP(B17, SinnerShard, 2, FALSE)</f>
        <v>5</v>
      </c>
      <c r="C20" s="100" t="s">
        <v>136</v>
      </c>
      <c r="D20" s="96">
        <f>MAX(0, D18-D19)</f>
        <v>0</v>
      </c>
      <c r="E20" s="102" t="s">
        <v>137</v>
      </c>
      <c r="F20" s="102">
        <f>F19+F18</f>
        <v>1201</v>
      </c>
      <c r="G20" s="8"/>
      <c r="H20" s="105" t="b">
        <v>0</v>
      </c>
      <c r="I20" s="106" t="b">
        <v>0</v>
      </c>
      <c r="J20" s="107" t="b">
        <v>0</v>
      </c>
      <c r="K20" s="108" t="b">
        <v>0</v>
      </c>
      <c r="L20" s="8"/>
      <c r="M20" s="109" t="s">
        <v>138</v>
      </c>
      <c r="N20" s="99" t="b">
        <v>0</v>
      </c>
      <c r="O20" s="8"/>
    </row>
    <row r="21">
      <c r="A21" s="61" t="s">
        <v>139</v>
      </c>
      <c r="B21" s="62">
        <f>B22/2</f>
        <v>197.5</v>
      </c>
      <c r="C21" s="100" t="s">
        <v>140</v>
      </c>
      <c r="D21" s="110">
        <f>ROUNDDOWN(F22-F19,0)*3+D19</f>
        <v>3390</v>
      </c>
      <c r="E21" s="111" t="s">
        <v>141</v>
      </c>
      <c r="F21" s="102">
        <f>(34*K18)+(H18)+(0.4*I18)+((H20*7.5)+(I20*8)+(J20*9.5))+(J18*3)</f>
        <v>299</v>
      </c>
      <c r="G21" s="8"/>
      <c r="H21" s="50" t="s">
        <v>142</v>
      </c>
      <c r="I21" s="112" t="s">
        <v>134</v>
      </c>
      <c r="J21" s="113" t="s">
        <v>143</v>
      </c>
      <c r="K21" s="50" t="s">
        <v>144</v>
      </c>
      <c r="L21" s="8"/>
      <c r="M21" s="114" t="s">
        <v>143</v>
      </c>
      <c r="N21" s="89" t="b">
        <v>0</v>
      </c>
      <c r="O21" s="8"/>
    </row>
    <row r="22">
      <c r="A22" s="51" t="s">
        <v>145</v>
      </c>
      <c r="B22" s="115">
        <f>B19-B20</f>
        <v>395</v>
      </c>
      <c r="C22" s="116" t="s">
        <v>146</v>
      </c>
      <c r="D22" s="117">
        <f>ROUNDDOWN(D19*2/400,0)</f>
        <v>12</v>
      </c>
      <c r="E22" s="118" t="s">
        <v>147</v>
      </c>
      <c r="F22" s="102">
        <f>F19+F21</f>
        <v>1500</v>
      </c>
      <c r="G22" s="8"/>
      <c r="H22" s="119" t="b">
        <v>0</v>
      </c>
      <c r="I22" s="120" t="b">
        <v>0</v>
      </c>
      <c r="J22" s="121" t="b">
        <v>0</v>
      </c>
      <c r="K22" s="122">
        <v>1.0</v>
      </c>
      <c r="L22" s="8"/>
      <c r="M22" s="123" t="s">
        <v>148</v>
      </c>
      <c r="N22" s="124" t="b">
        <v>0</v>
      </c>
      <c r="O22" s="8"/>
    </row>
    <row r="23">
      <c r="A23" s="8"/>
      <c r="B23" s="8"/>
      <c r="C23" s="125" t="s">
        <v>149</v>
      </c>
      <c r="D23" s="126">
        <f>ROUNDDOWN(D21*2/400,0)</f>
        <v>16</v>
      </c>
      <c r="E23" s="127" t="s">
        <v>107</v>
      </c>
      <c r="F23" s="128" t="str">
        <f t="array" ref="F23">LET(formula, (F19+H18+(0.4*I18)+(H20*7.5)+(I20*8)+(J20*9.5)+(SUMPRODUCT(H22:J22)*3)), TEXT(formula, "0") &amp; " / " &amp; TEXT(formula + K20*3, "0"))</f>
        <v>1202 / 1202</v>
      </c>
      <c r="G23" s="8"/>
      <c r="H23" s="129" t="s">
        <v>123</v>
      </c>
      <c r="I23" s="130" t="s">
        <v>138</v>
      </c>
      <c r="J23" s="131" t="s">
        <v>148</v>
      </c>
      <c r="K23" s="8"/>
      <c r="L23" s="8"/>
      <c r="M23" s="132" t="s">
        <v>150</v>
      </c>
      <c r="N23" s="133" t="s">
        <v>151</v>
      </c>
      <c r="O23" s="8"/>
    </row>
    <row r="24">
      <c r="A24" s="8"/>
      <c r="B24" s="134" t="b">
        <v>0</v>
      </c>
      <c r="C24" s="135" t="b">
        <v>1</v>
      </c>
      <c r="D24" s="136" t="b">
        <v>0</v>
      </c>
      <c r="E24" s="137" t="b">
        <v>1</v>
      </c>
      <c r="F24" s="138" t="b">
        <v>1</v>
      </c>
      <c r="G24" s="139" t="b">
        <v>1</v>
      </c>
      <c r="H24" s="140" t="b">
        <v>1</v>
      </c>
      <c r="I24" s="141" t="b">
        <v>1</v>
      </c>
      <c r="J24" s="142" t="b">
        <v>1</v>
      </c>
      <c r="K24" s="143" t="b">
        <v>1</v>
      </c>
      <c r="L24" s="144" t="b">
        <v>1</v>
      </c>
      <c r="M24" s="145" t="b">
        <v>1</v>
      </c>
      <c r="N24" s="8"/>
      <c r="O24" s="8"/>
    </row>
    <row r="25">
      <c r="A25" s="51" t="s">
        <v>152</v>
      </c>
      <c r="B25" s="87" t="s">
        <v>12</v>
      </c>
      <c r="C25" s="87" t="s">
        <v>153</v>
      </c>
      <c r="D25" s="87" t="s">
        <v>154</v>
      </c>
      <c r="E25" s="87" t="s">
        <v>155</v>
      </c>
      <c r="F25" s="87" t="s">
        <v>156</v>
      </c>
      <c r="G25" s="87" t="s">
        <v>157</v>
      </c>
      <c r="H25" s="87" t="s">
        <v>158</v>
      </c>
      <c r="I25" s="87" t="s">
        <v>122</v>
      </c>
      <c r="J25" s="87" t="s">
        <v>159</v>
      </c>
      <c r="K25" s="87" t="s">
        <v>160</v>
      </c>
      <c r="L25" s="87" t="s">
        <v>161</v>
      </c>
      <c r="M25" s="87" t="s">
        <v>162</v>
      </c>
    </row>
    <row r="26">
      <c r="A26" s="50" t="s">
        <v>163</v>
      </c>
      <c r="B26" s="146" t="s">
        <v>119</v>
      </c>
      <c r="C26" s="146" t="s">
        <v>164</v>
      </c>
      <c r="D26" s="146" t="s">
        <v>119</v>
      </c>
      <c r="E26" s="146" t="s">
        <v>165</v>
      </c>
      <c r="F26" s="146" t="s">
        <v>119</v>
      </c>
      <c r="G26" s="146" t="s">
        <v>119</v>
      </c>
      <c r="H26" s="146" t="s">
        <v>165</v>
      </c>
      <c r="I26" s="146" t="s">
        <v>119</v>
      </c>
      <c r="J26" s="146" t="s">
        <v>166</v>
      </c>
      <c r="K26" s="146" t="s">
        <v>165</v>
      </c>
      <c r="L26" s="146" t="s">
        <v>165</v>
      </c>
      <c r="M26" s="146" t="s">
        <v>119</v>
      </c>
      <c r="N26" s="8"/>
      <c r="O26" s="8"/>
    </row>
    <row r="27">
      <c r="A27" s="61" t="str">
        <f t="array" ref="A27:M27">{"Shard Needed", MAP(B26:M26, LAMBDA(x, VLOOKUP(x, ShardNumber, 2, FALSE)))}</f>
        <v>Shard Needed</v>
      </c>
      <c r="B27" s="147">
        <v>400.0</v>
      </c>
      <c r="C27" s="148">
        <v>900.0</v>
      </c>
      <c r="D27" s="149">
        <v>400.0</v>
      </c>
      <c r="E27" s="150">
        <v>450.0</v>
      </c>
      <c r="F27" s="151">
        <v>400.0</v>
      </c>
      <c r="G27" s="152">
        <v>400.0</v>
      </c>
      <c r="H27" s="153">
        <v>450.0</v>
      </c>
      <c r="I27" s="154">
        <v>400.0</v>
      </c>
      <c r="J27" s="155">
        <v>800.0</v>
      </c>
      <c r="K27" s="156">
        <v>450.0</v>
      </c>
      <c r="L27" s="157">
        <v>450.0</v>
      </c>
      <c r="M27" s="158">
        <v>400.0</v>
      </c>
      <c r="N27" s="159" t="str">
        <f>IFERROR(__xludf.DUMMYFUNCTION("BYROW(B27:M27, LAMBDA(row, SPARKLINE(row, {""charttype"", ""column""})))"),"")</f>
        <v/>
      </c>
    </row>
    <row r="28">
      <c r="A28" s="61" t="str">
        <f t="array" ref="A28:M28">{"Shard Posessed", MAP(B25:M25, LAMBDA(x, VLOOKUP(x, SinnerShard, 2, FALSE)))}</f>
        <v>Shard Posessed</v>
      </c>
      <c r="B28" s="160">
        <v>5.0</v>
      </c>
      <c r="C28" s="161">
        <v>68.0</v>
      </c>
      <c r="D28" s="162">
        <v>20.0</v>
      </c>
      <c r="E28" s="163">
        <v>113.0</v>
      </c>
      <c r="F28" s="164">
        <v>16.0</v>
      </c>
      <c r="G28" s="165">
        <v>215.0</v>
      </c>
      <c r="H28" s="166">
        <v>57.0</v>
      </c>
      <c r="I28" s="167">
        <v>299.0</v>
      </c>
      <c r="J28" s="168">
        <v>416.0</v>
      </c>
      <c r="K28" s="169">
        <v>61.0</v>
      </c>
      <c r="L28" s="170">
        <v>135.0</v>
      </c>
      <c r="M28" s="171">
        <v>97.0</v>
      </c>
      <c r="N28" s="172" t="str">
        <f>IFERROR(__xludf.DUMMYFUNCTION("BYROW(B28:M28, LAMBDA(row, SPARKLINE(row, {""charttype"", ""column""})))"),"")</f>
        <v/>
      </c>
    </row>
    <row r="29">
      <c r="A29" s="50" t="str">
        <f t="array" ref="A29:M29">{"Crate Needed", LET(formula, (((B27:M27-B28:M28)/2)*B24:M24), IF(formula &lt; 0, 0, formula))}</f>
        <v>Crate Needed</v>
      </c>
      <c r="B29" s="173">
        <v>0.0</v>
      </c>
      <c r="C29" s="174">
        <v>416.0</v>
      </c>
      <c r="D29" s="175">
        <v>0.0</v>
      </c>
      <c r="E29" s="176">
        <v>168.5</v>
      </c>
      <c r="F29" s="177">
        <v>192.0</v>
      </c>
      <c r="G29" s="178">
        <v>92.5</v>
      </c>
      <c r="H29" s="179">
        <v>196.5</v>
      </c>
      <c r="I29" s="180">
        <v>50.5</v>
      </c>
      <c r="J29" s="181">
        <v>192.0</v>
      </c>
      <c r="K29" s="182">
        <v>194.5</v>
      </c>
      <c r="L29" s="183">
        <v>157.5</v>
      </c>
      <c r="M29" s="184">
        <v>151.5</v>
      </c>
      <c r="N29" s="185" t="str">
        <f>IFERROR(__xludf.DUMMYFUNCTION("BYROW(B29:M29, LAMBDA(row, SPARKLINE(row, {""charttype"", ""column""})))"),"")</f>
        <v/>
      </c>
    </row>
    <row r="30">
      <c r="A30" s="186" t="s">
        <v>167</v>
      </c>
      <c r="B30" s="61" t="s">
        <v>168</v>
      </c>
      <c r="C30" s="61" t="s">
        <v>169</v>
      </c>
      <c r="D30" s="61" t="s">
        <v>168</v>
      </c>
      <c r="E30" s="61" t="s">
        <v>170</v>
      </c>
      <c r="F30" s="61" t="s">
        <v>171</v>
      </c>
      <c r="G30" s="61" t="s">
        <v>172</v>
      </c>
      <c r="H30" s="187" t="s">
        <v>173</v>
      </c>
      <c r="I30" s="61" t="s">
        <v>174</v>
      </c>
      <c r="J30" s="61" t="s">
        <v>175</v>
      </c>
      <c r="K30" s="61" t="s">
        <v>176</v>
      </c>
      <c r="L30" s="61" t="s">
        <v>177</v>
      </c>
      <c r="M30" s="61" t="s">
        <v>178</v>
      </c>
      <c r="N30" s="8"/>
      <c r="O30" s="8"/>
    </row>
    <row r="31">
      <c r="A31" s="78"/>
      <c r="B31" s="62"/>
      <c r="C31" s="61" t="s">
        <v>179</v>
      </c>
      <c r="D31" s="61"/>
      <c r="E31" s="61"/>
      <c r="F31" s="61"/>
      <c r="G31" s="61"/>
      <c r="I31" s="61"/>
      <c r="J31" s="188" t="s">
        <v>180</v>
      </c>
      <c r="K31" s="61"/>
      <c r="L31" s="61"/>
      <c r="M31" s="61" t="s">
        <v>181</v>
      </c>
      <c r="N31" s="189" t="s">
        <v>182</v>
      </c>
      <c r="O31" s="8"/>
    </row>
    <row r="32">
      <c r="A32" s="50" t="str">
        <f t="array" ref="A32:M32">{"Thread Needed", MAP(B26:M26, LAMBDA(x, VLOOKUP(x, ShardNumber, 3, FALSE)))}</f>
        <v>Thread Needed</v>
      </c>
      <c r="B32" s="147">
        <v>0.0</v>
      </c>
      <c r="C32" s="148">
        <v>500.0</v>
      </c>
      <c r="D32" s="149">
        <v>0.0</v>
      </c>
      <c r="E32" s="150">
        <v>250.0</v>
      </c>
      <c r="F32" s="151">
        <v>0.0</v>
      </c>
      <c r="G32" s="152">
        <v>0.0</v>
      </c>
      <c r="H32" s="153">
        <v>250.0</v>
      </c>
      <c r="I32" s="154">
        <v>0.0</v>
      </c>
      <c r="J32" s="155">
        <v>0.0</v>
      </c>
      <c r="K32" s="156">
        <v>250.0</v>
      </c>
      <c r="L32" s="157">
        <v>250.0</v>
      </c>
      <c r="M32" s="158">
        <v>0.0</v>
      </c>
      <c r="N32" s="62">
        <f>SUM(B32:M32)</f>
        <v>1500</v>
      </c>
      <c r="O32" s="8"/>
    </row>
    <row r="33">
      <c r="A33" s="190" t="s">
        <v>183</v>
      </c>
      <c r="B33" s="191" t="s">
        <v>184</v>
      </c>
      <c r="C33" s="190" t="s">
        <v>185</v>
      </c>
      <c r="D33" s="192" t="s">
        <v>186</v>
      </c>
      <c r="E33" s="190" t="s">
        <v>187</v>
      </c>
      <c r="F33" s="79" t="s">
        <v>188</v>
      </c>
      <c r="G33" s="193" t="s">
        <v>189</v>
      </c>
      <c r="H33" s="47" t="s">
        <v>190</v>
      </c>
      <c r="I33" s="194" t="s">
        <v>191</v>
      </c>
      <c r="J33" s="47" t="s">
        <v>192</v>
      </c>
      <c r="K33" s="190" t="s">
        <v>193</v>
      </c>
      <c r="L33" s="190" t="s">
        <v>194</v>
      </c>
      <c r="M33" s="190" t="s">
        <v>195</v>
      </c>
      <c r="N33" s="47" t="s">
        <v>196</v>
      </c>
      <c r="O33" s="8"/>
    </row>
    <row r="34">
      <c r="A34" s="188" t="s">
        <v>197</v>
      </c>
      <c r="B34" s="61"/>
      <c r="C34" s="61" t="s">
        <v>198</v>
      </c>
      <c r="D34" s="186"/>
      <c r="E34" s="61" t="s">
        <v>199</v>
      </c>
      <c r="F34" s="7" t="s">
        <v>200</v>
      </c>
      <c r="G34" s="186" t="s">
        <v>201</v>
      </c>
      <c r="H34" s="61" t="s">
        <v>202</v>
      </c>
      <c r="I34" s="7" t="s">
        <v>203</v>
      </c>
      <c r="J34" s="61" t="s">
        <v>204</v>
      </c>
      <c r="K34" s="26" t="s">
        <v>205</v>
      </c>
      <c r="L34" s="61" t="s">
        <v>206</v>
      </c>
      <c r="M34" s="61" t="s">
        <v>207</v>
      </c>
      <c r="N34" s="74">
        <f>MAX(0, ROUNDUP((N32-DataSheet!J15)/DataSheet!J28,0))</f>
        <v>0</v>
      </c>
      <c r="O34" s="8"/>
    </row>
    <row r="35">
      <c r="A35" s="50" t="s">
        <v>208</v>
      </c>
      <c r="B35" s="50"/>
      <c r="C35" s="195" t="s">
        <v>209</v>
      </c>
      <c r="D35" s="50"/>
      <c r="E35" s="8"/>
      <c r="F35" s="50" t="s">
        <v>210</v>
      </c>
      <c r="G35" s="78"/>
      <c r="H35" s="185"/>
      <c r="I35" s="196"/>
      <c r="J35" s="195" t="s">
        <v>211</v>
      </c>
      <c r="K35" s="197" t="s">
        <v>212</v>
      </c>
      <c r="L35" s="74"/>
      <c r="M35" s="74"/>
      <c r="N35" s="198" t="str">
        <f t="array" ref="N35">"Burn: " &amp; COUNTIF(B33:M35, "* Bu*")</f>
        <v>Burn: 12</v>
      </c>
      <c r="O35" s="199" t="s">
        <v>213</v>
      </c>
    </row>
    <row r="36">
      <c r="A36" s="8"/>
      <c r="B36" s="51" t="s">
        <v>15</v>
      </c>
      <c r="C36" s="51" t="s">
        <v>15</v>
      </c>
      <c r="D36" s="51" t="s">
        <v>15</v>
      </c>
      <c r="E36" s="51" t="s">
        <v>15</v>
      </c>
      <c r="F36" s="51" t="s">
        <v>15</v>
      </c>
      <c r="G36" s="51" t="s">
        <v>15</v>
      </c>
      <c r="H36" s="50" t="s">
        <v>15</v>
      </c>
      <c r="I36" s="51" t="s">
        <v>15</v>
      </c>
      <c r="J36" s="51" t="s">
        <v>15</v>
      </c>
      <c r="K36" s="51" t="s">
        <v>15</v>
      </c>
      <c r="L36" s="51" t="s">
        <v>214</v>
      </c>
      <c r="M36" s="51" t="s">
        <v>15</v>
      </c>
      <c r="N36" s="200" t="str">
        <f t="array" ref="N36">"Bleed: " &amp; COUNTIF(B33:M35, "* Bl*")</f>
        <v>Bleed: 15</v>
      </c>
      <c r="O36" s="8"/>
    </row>
    <row r="37">
      <c r="A37" s="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201" t="str">
        <f t="array" ref="N37">"Tremor: " &amp; COUNTIF(B33:M35, "* T*")</f>
        <v>Tremor: 7</v>
      </c>
      <c r="O37" s="8"/>
    </row>
    <row r="38">
      <c r="A38" s="8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202" t="str">
        <f t="array" ref="N38">"Rupture: " &amp; COUNTIF(B33:M35, "* R*")</f>
        <v>Rupture: 1</v>
      </c>
      <c r="O38" s="8"/>
    </row>
    <row r="39">
      <c r="A39" s="8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203" t="str">
        <f t="array" ref="N39">"Sinking: " &amp; COUNTIF(B33:M35, "* S*")</f>
        <v>Sinking: 9</v>
      </c>
      <c r="O39" s="8"/>
    </row>
    <row r="40">
      <c r="A40" s="204" t="s">
        <v>215</v>
      </c>
      <c r="B40" s="47" t="s">
        <v>216</v>
      </c>
      <c r="C40" s="47"/>
      <c r="D40" s="47"/>
      <c r="E40" s="47"/>
      <c r="F40" s="47" t="s">
        <v>217</v>
      </c>
      <c r="G40" s="69"/>
      <c r="H40" s="47" t="s">
        <v>218</v>
      </c>
      <c r="I40" s="47" t="s">
        <v>219</v>
      </c>
      <c r="J40" s="69"/>
      <c r="K40" s="47" t="s">
        <v>220</v>
      </c>
      <c r="L40" s="47" t="s">
        <v>221</v>
      </c>
      <c r="M40" s="47" t="s">
        <v>222</v>
      </c>
      <c r="N40" s="205" t="str">
        <f t="array" ref="N40">"Poise: " &amp; COUNTIF(B33:M35, "* P*")</f>
        <v>Poise: 9</v>
      </c>
      <c r="O40" s="8"/>
    </row>
    <row r="41">
      <c r="A41" s="206"/>
      <c r="B41" s="62"/>
      <c r="C41" s="62"/>
      <c r="D41" s="62"/>
      <c r="E41" s="62"/>
      <c r="F41" s="61"/>
      <c r="G41" s="62"/>
      <c r="H41" s="62"/>
      <c r="I41" s="62"/>
      <c r="J41" s="62"/>
      <c r="K41" s="62"/>
      <c r="L41" s="62"/>
      <c r="M41" s="61" t="s">
        <v>223</v>
      </c>
      <c r="N41" s="207" t="str">
        <f t="array" ref="N41">"Charge: " &amp; COUNTIF(B33:M35, "* C*")</f>
        <v>Charge: 5</v>
      </c>
      <c r="O41" s="8"/>
    </row>
    <row r="42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198" t="str">
        <f t="array" ref="N42">"Burn: " &amp; COUNTIF(B40:M49, "* Bu*")</f>
        <v>Burn: 5</v>
      </c>
      <c r="O42" s="199" t="s">
        <v>224</v>
      </c>
    </row>
    <row r="43">
      <c r="A43" s="204" t="s">
        <v>225</v>
      </c>
      <c r="B43" s="47" t="s">
        <v>226</v>
      </c>
      <c r="C43" s="47" t="s">
        <v>227</v>
      </c>
      <c r="D43" s="47" t="s">
        <v>228</v>
      </c>
      <c r="E43" s="47" t="s">
        <v>229</v>
      </c>
      <c r="F43" s="61" t="s">
        <v>230</v>
      </c>
      <c r="G43" s="47"/>
      <c r="H43" s="47" t="s">
        <v>231</v>
      </c>
      <c r="I43" s="47" t="s">
        <v>232</v>
      </c>
      <c r="J43" s="69"/>
      <c r="K43" s="47"/>
      <c r="L43" s="47" t="s">
        <v>233</v>
      </c>
      <c r="M43" s="47" t="s">
        <v>234</v>
      </c>
      <c r="N43" s="200" t="str">
        <f t="array" ref="N43">"Bleed: " &amp; COUNTIF(B40:M49, "* Bl*")</f>
        <v>Bleed: 8</v>
      </c>
      <c r="O43" s="8"/>
    </row>
    <row r="44">
      <c r="A44" s="206"/>
      <c r="B44" s="61" t="s">
        <v>235</v>
      </c>
      <c r="C44" s="61" t="s">
        <v>236</v>
      </c>
      <c r="D44" s="61"/>
      <c r="E44" s="61" t="s">
        <v>237</v>
      </c>
      <c r="G44" s="61"/>
      <c r="H44" s="61" t="s">
        <v>238</v>
      </c>
      <c r="I44" s="61"/>
      <c r="J44" s="62"/>
      <c r="K44" s="61"/>
      <c r="L44" s="62"/>
      <c r="M44" s="62"/>
      <c r="N44" s="201" t="str">
        <f t="array" ref="N44">"Tremor: " &amp; COUNTIF(B40:M49, "* T*")</f>
        <v>Tremor: 6</v>
      </c>
      <c r="O44" s="8"/>
    </row>
    <row r="45">
      <c r="A45" s="206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202" t="str">
        <f t="array" ref="N45">"Rupture: " &amp; COUNTIF(B40:M49, "* R*")</f>
        <v>Rupture: 8</v>
      </c>
      <c r="O45" s="8"/>
    </row>
    <row r="46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203" t="str">
        <f t="array" ref="N46">"Sinking: " &amp; COUNTIF(B40:M49, "* S*")</f>
        <v>Sinking: 5</v>
      </c>
      <c r="O46" s="8"/>
    </row>
    <row r="47">
      <c r="A47" s="204" t="s">
        <v>239</v>
      </c>
      <c r="B47" s="69"/>
      <c r="C47" s="47" t="s">
        <v>240</v>
      </c>
      <c r="D47" s="47" t="s">
        <v>241</v>
      </c>
      <c r="E47" s="47" t="s">
        <v>242</v>
      </c>
      <c r="F47" s="69"/>
      <c r="G47" s="69"/>
      <c r="H47" s="69"/>
      <c r="I47" s="47" t="s">
        <v>243</v>
      </c>
      <c r="J47" s="47" t="s">
        <v>244</v>
      </c>
      <c r="K47" s="47" t="s">
        <v>245</v>
      </c>
      <c r="L47" s="47" t="s">
        <v>246</v>
      </c>
      <c r="M47" s="69"/>
      <c r="N47" s="205" t="str">
        <f t="array" ref="N47">"Poise: " &amp; COUNTIF(B40:M49, "* P*")</f>
        <v>Poise: 3</v>
      </c>
      <c r="O47" s="8"/>
    </row>
    <row r="48">
      <c r="A48" s="206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207" t="str">
        <f t="array" ref="N48">"Charge: " &amp; COUNTIF(B40:M49, "* C*")</f>
        <v>Charge: 3</v>
      </c>
      <c r="O48" s="8"/>
    </row>
    <row r="49">
      <c r="A49" s="73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8"/>
      <c r="O49" s="8"/>
    </row>
    <row r="50">
      <c r="A50" s="204" t="s">
        <v>247</v>
      </c>
      <c r="B50" s="47"/>
      <c r="C50" s="47" t="s">
        <v>248</v>
      </c>
      <c r="D50" s="61" t="s">
        <v>249</v>
      </c>
      <c r="E50" s="69"/>
      <c r="F50" s="47" t="s">
        <v>250</v>
      </c>
      <c r="G50" s="61" t="s">
        <v>251</v>
      </c>
      <c r="H50" s="47" t="s">
        <v>252</v>
      </c>
      <c r="I50" s="47"/>
      <c r="J50" s="47"/>
      <c r="K50" s="208" t="s">
        <v>253</v>
      </c>
      <c r="L50" s="61" t="s">
        <v>249</v>
      </c>
      <c r="M50" s="47"/>
      <c r="N50" s="8"/>
      <c r="O50" s="8"/>
    </row>
    <row r="51">
      <c r="A51" s="206"/>
      <c r="B51" s="61"/>
      <c r="C51" s="61"/>
      <c r="D51" s="7"/>
      <c r="E51" s="62"/>
      <c r="F51" s="61" t="s">
        <v>252</v>
      </c>
      <c r="G51" s="7"/>
      <c r="H51" s="62"/>
      <c r="I51" s="62"/>
      <c r="J51" s="62"/>
      <c r="K51" s="7"/>
      <c r="L51" s="61"/>
      <c r="M51" s="209"/>
      <c r="N51" s="8"/>
      <c r="O51" s="8"/>
    </row>
    <row r="52">
      <c r="A52" s="206"/>
      <c r="C52" s="62"/>
      <c r="D52" s="62"/>
      <c r="E52" s="62"/>
      <c r="F52" s="62"/>
      <c r="G52" s="62"/>
      <c r="H52" s="62"/>
      <c r="I52" s="62"/>
      <c r="J52" s="62"/>
      <c r="K52" s="62"/>
      <c r="M52" s="62"/>
      <c r="N52" s="8"/>
      <c r="O52" s="8"/>
    </row>
    <row r="53">
      <c r="A53" s="73"/>
      <c r="B53" s="74"/>
      <c r="C53" s="50" t="s">
        <v>254</v>
      </c>
      <c r="D53" s="74"/>
      <c r="E53" s="50" t="s">
        <v>255</v>
      </c>
      <c r="F53" s="74"/>
      <c r="G53" s="74"/>
      <c r="H53" s="50" t="s">
        <v>256</v>
      </c>
      <c r="I53" s="74"/>
      <c r="J53" s="50" t="s">
        <v>256</v>
      </c>
      <c r="K53" s="50" t="s">
        <v>257</v>
      </c>
      <c r="L53" s="50" t="s">
        <v>258</v>
      </c>
      <c r="M53" s="74"/>
      <c r="N53" s="8"/>
      <c r="O53" s="8"/>
    </row>
    <row r="54">
      <c r="A54" s="204" t="s">
        <v>259</v>
      </c>
      <c r="B54" s="47" t="s">
        <v>260</v>
      </c>
      <c r="C54" s="47"/>
      <c r="D54" s="47" t="s">
        <v>261</v>
      </c>
      <c r="E54" s="69"/>
      <c r="F54" s="47"/>
      <c r="G54" s="61" t="s">
        <v>262</v>
      </c>
      <c r="H54" s="47" t="s">
        <v>263</v>
      </c>
      <c r="I54" s="61" t="s">
        <v>264</v>
      </c>
      <c r="J54" s="69"/>
      <c r="K54" s="47" t="s">
        <v>265</v>
      </c>
      <c r="L54" s="61" t="s">
        <v>266</v>
      </c>
      <c r="M54" s="47"/>
      <c r="N54" s="8"/>
      <c r="O54" s="8"/>
    </row>
    <row r="55">
      <c r="A55" s="206"/>
      <c r="B55" s="62"/>
      <c r="C55" s="62"/>
      <c r="E55" s="62"/>
      <c r="F55" s="62"/>
      <c r="H55" s="61" t="s">
        <v>267</v>
      </c>
      <c r="J55" s="62"/>
      <c r="K55" s="62"/>
      <c r="M55" s="62"/>
      <c r="N55" s="8"/>
      <c r="O55" s="8"/>
    </row>
    <row r="56">
      <c r="A56" s="206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8"/>
      <c r="O56" s="8"/>
    </row>
    <row r="57">
      <c r="A57" s="73"/>
      <c r="B57" s="74"/>
      <c r="C57" s="50" t="s">
        <v>268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8"/>
      <c r="O57" s="8"/>
    </row>
    <row r="58">
      <c r="A58" s="7" t="s">
        <v>269</v>
      </c>
      <c r="B58" s="8"/>
      <c r="C58" s="7" t="s">
        <v>270</v>
      </c>
      <c r="D58" s="8"/>
      <c r="E58" s="8"/>
      <c r="F58" s="7" t="s">
        <v>271</v>
      </c>
      <c r="G58" s="8"/>
      <c r="H58" s="8"/>
      <c r="I58" s="8"/>
      <c r="J58" s="7" t="s">
        <v>272</v>
      </c>
      <c r="K58" s="8"/>
      <c r="L58" s="7" t="s">
        <v>273</v>
      </c>
      <c r="M58" s="7" t="s">
        <v>274</v>
      </c>
    </row>
    <row r="59">
      <c r="A59" s="8"/>
      <c r="B59" s="8"/>
      <c r="C59" s="7" t="s">
        <v>275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</sheetData>
  <mergeCells count="10">
    <mergeCell ref="A47:A49"/>
    <mergeCell ref="A50:A53"/>
    <mergeCell ref="A54:A57"/>
    <mergeCell ref="M8:N8"/>
    <mergeCell ref="A12:A13"/>
    <mergeCell ref="C12:C13"/>
    <mergeCell ref="K15:L15"/>
    <mergeCell ref="M15:N15"/>
    <mergeCell ref="A40:A42"/>
    <mergeCell ref="A43:A46"/>
  </mergeCells>
  <conditionalFormatting sqref="H6 H18">
    <cfRule type="cellIs" dxfId="0" priority="1" operator="equal">
      <formula>1</formula>
    </cfRule>
  </conditionalFormatting>
  <conditionalFormatting sqref="H6 H18">
    <cfRule type="cellIs" dxfId="1" priority="2" operator="equal">
      <formula>7</formula>
    </cfRule>
  </conditionalFormatting>
  <conditionalFormatting sqref="H6 H18">
    <cfRule type="cellIs" dxfId="2" priority="3" operator="equal">
      <formula>6</formula>
    </cfRule>
  </conditionalFormatting>
  <conditionalFormatting sqref="H6 H18">
    <cfRule type="cellIs" dxfId="3" priority="4" operator="equal">
      <formula>5</formula>
    </cfRule>
  </conditionalFormatting>
  <conditionalFormatting sqref="H6 H18">
    <cfRule type="cellIs" dxfId="4" priority="5" operator="equal">
      <formula>4</formula>
    </cfRule>
  </conditionalFormatting>
  <conditionalFormatting sqref="H6 H18">
    <cfRule type="cellIs" dxfId="5" priority="6" operator="equal">
      <formula>3</formula>
    </cfRule>
  </conditionalFormatting>
  <conditionalFormatting sqref="H6 H18">
    <cfRule type="cellIs" dxfId="6" priority="7" operator="equal">
      <formula>2</formula>
    </cfRule>
  </conditionalFormatting>
  <conditionalFormatting sqref="I6 I18">
    <cfRule type="cellIs" dxfId="1" priority="8" operator="equal">
      <formula>5</formula>
    </cfRule>
  </conditionalFormatting>
  <conditionalFormatting sqref="I6 I18">
    <cfRule type="cellIs" dxfId="2" priority="9" operator="equal">
      <formula>2</formula>
    </cfRule>
  </conditionalFormatting>
  <conditionalFormatting sqref="I6 I18">
    <cfRule type="cellIs" dxfId="3" priority="10" operator="equal">
      <formula>1</formula>
    </cfRule>
  </conditionalFormatting>
  <conditionalFormatting sqref="I6 I18">
    <cfRule type="cellIs" dxfId="6" priority="11" operator="equal">
      <formula>0</formula>
    </cfRule>
  </conditionalFormatting>
  <conditionalFormatting sqref="J5">
    <cfRule type="containsText" dxfId="13" priority="12" operator="containsText" text="Thumb">
      <formula>NOT(ISERROR(SEARCH(("Thumb"),(J5))))</formula>
    </cfRule>
  </conditionalFormatting>
  <conditionalFormatting sqref="J5">
    <cfRule type="containsText" dxfId="14" priority="13" operator="containsText" text="Index">
      <formula>NOT(ISERROR(SEARCH(("Index"),(J5))))</formula>
    </cfRule>
  </conditionalFormatting>
  <conditionalFormatting sqref="J5">
    <cfRule type="containsText" dxfId="15" priority="14" operator="containsText" text="Middle">
      <formula>NOT(ISERROR(SEARCH(("Middle"),(J5))))</formula>
    </cfRule>
  </conditionalFormatting>
  <conditionalFormatting sqref="J5">
    <cfRule type="containsText" dxfId="16" priority="15" operator="containsText" text="Ring">
      <formula>NOT(ISERROR(SEARCH(("Ring"),(J5))))</formula>
    </cfRule>
  </conditionalFormatting>
  <conditionalFormatting sqref="J5">
    <cfRule type="containsText" dxfId="17" priority="16" operator="containsText" text="Pinky">
      <formula>NOT(ISERROR(SEARCH(("Pinky"),(J5))))</formula>
    </cfRule>
  </conditionalFormatting>
  <conditionalFormatting sqref="J6 K14 H18">
    <cfRule type="cellIs" dxfId="0" priority="17" operator="equal">
      <formula>"Tue"</formula>
    </cfRule>
  </conditionalFormatting>
  <conditionalFormatting sqref="J6 K14 H18">
    <cfRule type="cellIs" dxfId="1" priority="18" operator="equal">
      <formula>"Wed"</formula>
    </cfRule>
  </conditionalFormatting>
  <conditionalFormatting sqref="J6 K14 H18">
    <cfRule type="cellIs" dxfId="2" priority="19" operator="equal">
      <formula>"Thurs"</formula>
    </cfRule>
  </conditionalFormatting>
  <conditionalFormatting sqref="J6 K14 H18">
    <cfRule type="cellIs" dxfId="3" priority="20" operator="equal">
      <formula>"Fri"</formula>
    </cfRule>
  </conditionalFormatting>
  <conditionalFormatting sqref="J6 K14 H18">
    <cfRule type="cellIs" dxfId="4" priority="21" operator="equal">
      <formula>"Sat"</formula>
    </cfRule>
  </conditionalFormatting>
  <conditionalFormatting sqref="J6 K14 H18">
    <cfRule type="cellIs" dxfId="5" priority="22" operator="equal">
      <formula>"Sun"</formula>
    </cfRule>
  </conditionalFormatting>
  <conditionalFormatting sqref="J6 K14 H18">
    <cfRule type="cellIs" dxfId="6" priority="23" operator="equal">
      <formula>"Mon"</formula>
    </cfRule>
  </conditionalFormatting>
  <conditionalFormatting sqref="J4 Q10:T18">
    <cfRule type="containsText" dxfId="18" priority="24" operator="containsText" text=" YS">
      <formula>NOT(ISERROR(SEARCH((" YS"),(J4))))</formula>
    </cfRule>
  </conditionalFormatting>
  <conditionalFormatting sqref="J4 Q10:T18">
    <cfRule type="containsText" dxfId="19" priority="25" operator="containsText" text=" FT">
      <formula>NOT(ISERROR(SEARCH((" FT"),(J4))))</formula>
    </cfRule>
  </conditionalFormatting>
  <conditionalFormatting sqref="J4 Q10:T18">
    <cfRule type="containsText" dxfId="6" priority="26" operator="containsText" text=" DQ">
      <formula>NOT(ISERROR(SEARCH((" DQ"),(J4))))</formula>
    </cfRule>
  </conditionalFormatting>
  <conditionalFormatting sqref="J4 Q10:T18">
    <cfRule type="containsText" dxfId="20" priority="27" operator="containsText" text=" RS">
      <formula>NOT(ISERROR(SEARCH((" RS"),(J4))))</formula>
    </cfRule>
  </conditionalFormatting>
  <conditionalFormatting sqref="J4 Q10:T18">
    <cfRule type="containsText" dxfId="21" priority="28" operator="containsText" text=" MS">
      <formula>NOT(ISERROR(SEARCH((" MS"),(J4))))</formula>
    </cfRule>
  </conditionalFormatting>
  <conditionalFormatting sqref="J4 Q10:T18">
    <cfRule type="containsText" dxfId="22" priority="29" operator="containsText" text=" HL">
      <formula>NOT(ISERROR(SEARCH((" HL"),(J4))))</formula>
    </cfRule>
  </conditionalFormatting>
  <conditionalFormatting sqref="J4 Q10:T18">
    <cfRule type="containsText" dxfId="23" priority="30" operator="containsText" text=" HC">
      <formula>NOT(ISERROR(SEARCH((" HC"),(J4))))</formula>
    </cfRule>
  </conditionalFormatting>
  <conditionalFormatting sqref="J4 Q10:T18">
    <cfRule type="containsText" dxfId="24" priority="31" operator="containsText" text=" IS">
      <formula>NOT(ISERROR(SEARCH((" IS"),(J4))))</formula>
    </cfRule>
  </conditionalFormatting>
  <conditionalFormatting sqref="J4 Q10:T18">
    <cfRule type="containsText" dxfId="25" priority="32" operator="containsText" text=" RD">
      <formula>NOT(ISERROR(SEARCH((" RD"),(J4))))</formula>
    </cfRule>
  </conditionalFormatting>
  <conditionalFormatting sqref="J4 Q10:T18">
    <cfRule type="containsText" dxfId="26" priority="33" operator="containsText" text=" SC">
      <formula>NOT(ISERROR(SEARCH((" SC"),(J4))))</formula>
    </cfRule>
  </conditionalFormatting>
  <conditionalFormatting sqref="J4 Q10:T18">
    <cfRule type="containsText" dxfId="27" priority="34" operator="containsText" text=" OT">
      <formula>NOT(ISERROR(SEARCH((" OT"),(J4))))</formula>
    </cfRule>
  </conditionalFormatting>
  <conditionalFormatting sqref="J4 Q10:T18">
    <cfRule type="containsText" dxfId="28" priority="35" operator="containsText" text=" GG">
      <formula>NOT(ISERROR(SEARCH((" GG"),(J4))))</formula>
    </cfRule>
  </conditionalFormatting>
  <conditionalFormatting sqref="H4 K16 B17 L18">
    <cfRule type="containsText" dxfId="18" priority="36" operator="containsText" text="Yi Sang">
      <formula>NOT(ISERROR(SEARCH(("Yi Sang"),(H4))))</formula>
    </cfRule>
  </conditionalFormatting>
  <conditionalFormatting sqref="H4 K16 B17 L18">
    <cfRule type="containsText" dxfId="19" priority="37" operator="containsText" text="Faust">
      <formula>NOT(ISERROR(SEARCH(("Faust"),(H4))))</formula>
    </cfRule>
  </conditionalFormatting>
  <conditionalFormatting sqref="H4 K16 B17 L18">
    <cfRule type="containsText" dxfId="6" priority="38" operator="containsText" text="Don Quixote">
      <formula>NOT(ISERROR(SEARCH(("Don Quixote"),(H4))))</formula>
    </cfRule>
  </conditionalFormatting>
  <conditionalFormatting sqref="H4 K16 B17 L18">
    <cfRule type="containsText" dxfId="20" priority="39" operator="containsText" text="Ryoshu">
      <formula>NOT(ISERROR(SEARCH(("Ryoshu"),(H4))))</formula>
    </cfRule>
  </conditionalFormatting>
  <conditionalFormatting sqref="H4 K16 B17 L18">
    <cfRule type="containsText" dxfId="21" priority="40" operator="containsText" text="Meursault">
      <formula>NOT(ISERROR(SEARCH(("Meursault"),(H4))))</formula>
    </cfRule>
  </conditionalFormatting>
  <conditionalFormatting sqref="H4 K16 B17 L18">
    <cfRule type="containsText" dxfId="22" priority="41" operator="containsText" text="Hong Lu">
      <formula>NOT(ISERROR(SEARCH(("Hong Lu"),(H4))))</formula>
    </cfRule>
  </conditionalFormatting>
  <conditionalFormatting sqref="H4 K16 B17 L18">
    <cfRule type="containsText" dxfId="23" priority="42" operator="containsText" text="Heathcliff">
      <formula>NOT(ISERROR(SEARCH(("Heathcliff"),(H4))))</formula>
    </cfRule>
  </conditionalFormatting>
  <conditionalFormatting sqref="H4 K16 B17 L18">
    <cfRule type="containsText" dxfId="24" priority="43" operator="containsText" text="Ishmael">
      <formula>NOT(ISERROR(SEARCH(("Ishmael"),(H4))))</formula>
    </cfRule>
  </conditionalFormatting>
  <conditionalFormatting sqref="H4 K16 B17 L18">
    <cfRule type="containsText" dxfId="25" priority="44" operator="containsText" text="Rodion">
      <formula>NOT(ISERROR(SEARCH(("Rodion"),(H4))))</formula>
    </cfRule>
  </conditionalFormatting>
  <conditionalFormatting sqref="H4 K16 B17 L18">
    <cfRule type="containsText" dxfId="26" priority="45" operator="containsText" text="Sinclair">
      <formula>NOT(ISERROR(SEARCH(("Sinclair"),(H4))))</formula>
    </cfRule>
  </conditionalFormatting>
  <conditionalFormatting sqref="H4 K16 B17 L18">
    <cfRule type="containsText" dxfId="27" priority="46" operator="containsText" text="Outis">
      <formula>NOT(ISERROR(SEARCH(("Outis"),(H4))))</formula>
    </cfRule>
  </conditionalFormatting>
  <conditionalFormatting sqref="H4 K16 B17 L18">
    <cfRule type="containsText" dxfId="28" priority="47" operator="containsText" text="Gregor">
      <formula>NOT(ISERROR(SEARCH(("Gregor"),(H4))))</formula>
    </cfRule>
  </conditionalFormatting>
  <conditionalFormatting sqref="B25:M25">
    <cfRule type="containsText" dxfId="18" priority="48" operator="containsText" text="Yi Sang">
      <formula>NOT(ISERROR(SEARCH(("Yi Sang"),(B25))))</formula>
    </cfRule>
  </conditionalFormatting>
  <conditionalFormatting sqref="B25:M25">
    <cfRule type="containsText" dxfId="19" priority="49" operator="containsText" text="Faust">
      <formula>NOT(ISERROR(SEARCH(("Faust"),(B25))))</formula>
    </cfRule>
  </conditionalFormatting>
  <conditionalFormatting sqref="B25:M25">
    <cfRule type="containsText" dxfId="6" priority="50" operator="containsText" text="Don Quixote">
      <formula>NOT(ISERROR(SEARCH(("Don Quixote"),(B25))))</formula>
    </cfRule>
  </conditionalFormatting>
  <conditionalFormatting sqref="B25:M25">
    <cfRule type="containsText" dxfId="20" priority="51" operator="containsText" text="Ryoshu">
      <formula>NOT(ISERROR(SEARCH(("Ryoshu"),(B25))))</formula>
    </cfRule>
  </conditionalFormatting>
  <conditionalFormatting sqref="B25:M25">
    <cfRule type="containsText" dxfId="21" priority="52" operator="containsText" text="Meursault">
      <formula>NOT(ISERROR(SEARCH(("Meursault"),(B25))))</formula>
    </cfRule>
  </conditionalFormatting>
  <conditionalFormatting sqref="B25:M25">
    <cfRule type="containsText" dxfId="22" priority="53" operator="containsText" text="Hong Lu">
      <formula>NOT(ISERROR(SEARCH(("Hong Lu"),(B25))))</formula>
    </cfRule>
  </conditionalFormatting>
  <conditionalFormatting sqref="B25:M25">
    <cfRule type="containsText" dxfId="23" priority="54" operator="containsText" text="Heathcliff">
      <formula>NOT(ISERROR(SEARCH(("Heathcliff"),(B25))))</formula>
    </cfRule>
  </conditionalFormatting>
  <conditionalFormatting sqref="B25:M25">
    <cfRule type="containsText" dxfId="24" priority="55" operator="containsText" text="Ishmael">
      <formula>NOT(ISERROR(SEARCH(("Ishmael"),(B25))))</formula>
    </cfRule>
  </conditionalFormatting>
  <conditionalFormatting sqref="B25:M25">
    <cfRule type="containsText" dxfId="25" priority="56" operator="containsText" text="Rodion">
      <formula>NOT(ISERROR(SEARCH(("Rodion"),(B25))))</formula>
    </cfRule>
  </conditionalFormatting>
  <conditionalFormatting sqref="B25:M25">
    <cfRule type="containsText" dxfId="26" priority="57" operator="containsText" text="Sinclair">
      <formula>NOT(ISERROR(SEARCH(("Sinclair"),(B25))))</formula>
    </cfRule>
  </conditionalFormatting>
  <conditionalFormatting sqref="B25:M25">
    <cfRule type="containsText" dxfId="27" priority="58" operator="containsText" text="Outis">
      <formula>NOT(ISERROR(SEARCH(("Outis"),(B25))))</formula>
    </cfRule>
  </conditionalFormatting>
  <conditionalFormatting sqref="B25:M25">
    <cfRule type="containsText" dxfId="28" priority="59" operator="containsText" text="Gregor">
      <formula>NOT(ISERROR(SEARCH(("Gregor"),(B25))))</formula>
    </cfRule>
  </conditionalFormatting>
  <conditionalFormatting sqref="J9">
    <cfRule type="colorScale" priority="60">
      <colorScale>
        <cfvo type="formula" val="0"/>
        <cfvo type="percentile" val="50"/>
        <cfvo type="formula" val="100"/>
        <color rgb="FF57BB8A"/>
        <color rgb="FFFFD666"/>
        <color rgb="FFE67C73"/>
      </colorScale>
    </cfRule>
  </conditionalFormatting>
  <conditionalFormatting sqref="J9">
    <cfRule type="colorScale" priority="61">
      <colorScale>
        <cfvo type="formula" val="101"/>
        <cfvo type="percentile" val="50"/>
        <cfvo type="formula" val="200"/>
        <color rgb="FFE67C73"/>
        <color rgb="FFFFD666"/>
        <color rgb="FF57BB8A"/>
      </colorScale>
    </cfRule>
  </conditionalFormatting>
  <conditionalFormatting sqref="I4 B18 B26:M26">
    <cfRule type="cellIs" dxfId="29" priority="62" operator="equal">
      <formula>"EGO/3 Star"</formula>
    </cfRule>
  </conditionalFormatting>
  <conditionalFormatting sqref="I4 B18 B26:M26">
    <cfRule type="cellIs" dxfId="30" priority="63" operator="equal">
      <formula>"2 3 Star + UT4"</formula>
    </cfRule>
  </conditionalFormatting>
  <conditionalFormatting sqref="I4 B18 B26:M26">
    <cfRule type="cellIs" dxfId="31" priority="64" operator="equal">
      <formula>"2 Star"</formula>
    </cfRule>
  </conditionalFormatting>
  <conditionalFormatting sqref="I4 B18 B26:M26">
    <cfRule type="cellIs" dxfId="6" priority="65" operator="equal">
      <formula>"000 UT4"</formula>
    </cfRule>
  </conditionalFormatting>
  <conditionalFormatting sqref="I4 B18 B26:M26">
    <cfRule type="cellIs" dxfId="1" priority="66" operator="equal">
      <formula>"ZAYIN"</formula>
    </cfRule>
  </conditionalFormatting>
  <conditionalFormatting sqref="I4 B18 B26:M26">
    <cfRule type="cellIs" dxfId="3" priority="67" operator="equal">
      <formula>"TETH"</formula>
    </cfRule>
  </conditionalFormatting>
  <conditionalFormatting sqref="I4 B18 B26:M26">
    <cfRule type="cellIs" dxfId="32" priority="68" operator="equal">
      <formula>"HE"</formula>
    </cfRule>
  </conditionalFormatting>
  <conditionalFormatting sqref="I4 B18 B26:M26">
    <cfRule type="cellIs" dxfId="4" priority="69" operator="equal">
      <formula>"WAW"</formula>
    </cfRule>
  </conditionalFormatting>
  <conditionalFormatting sqref="I4 B18 B26:M26">
    <cfRule type="cellIs" dxfId="18" priority="70" operator="equal">
      <formula>"None"</formula>
    </cfRule>
  </conditionalFormatting>
  <conditionalFormatting sqref="I4 B18 B26:M26">
    <cfRule type="cellIs" dxfId="33" priority="71" operator="equal">
      <formula>"3 Star UT"</formula>
    </cfRule>
  </conditionalFormatting>
  <conditionalFormatting sqref="I4 B18 B26:M26">
    <cfRule type="cellIs" dxfId="31" priority="72" operator="equal">
      <formula>"00 UT4"</formula>
    </cfRule>
  </conditionalFormatting>
  <conditionalFormatting sqref="I5 M9:M10">
    <cfRule type="cellIs" dxfId="34" priority="73" operator="equal">
      <formula>20</formula>
    </cfRule>
  </conditionalFormatting>
  <conditionalFormatting sqref="I5 M9:M10">
    <cfRule type="cellIs" dxfId="35" priority="74" operator="equal">
      <formula>25</formula>
    </cfRule>
  </conditionalFormatting>
  <conditionalFormatting sqref="I5 M9:M10">
    <cfRule type="cellIs" dxfId="1" priority="75" operator="equal">
      <formula>30</formula>
    </cfRule>
  </conditionalFormatting>
  <conditionalFormatting sqref="I5 M9:M10">
    <cfRule type="cellIs" dxfId="18" priority="76" operator="equal">
      <formula>35</formula>
    </cfRule>
  </conditionalFormatting>
  <conditionalFormatting sqref="I5 M9:M10">
    <cfRule type="cellIs" dxfId="36" priority="77" operator="equal">
      <formula>40</formula>
    </cfRule>
  </conditionalFormatting>
  <conditionalFormatting sqref="I5 M9:M10">
    <cfRule type="cellIs" dxfId="4" priority="78" operator="equal">
      <formula>45</formula>
    </cfRule>
  </conditionalFormatting>
  <conditionalFormatting sqref="I5 M9:M10">
    <cfRule type="cellIs" dxfId="6" priority="79" operator="equal">
      <formula>50</formula>
    </cfRule>
  </conditionalFormatting>
  <conditionalFormatting sqref="I5 M9:M10">
    <cfRule type="cellIs" dxfId="32" priority="80" operator="equal">
      <formula>55</formula>
    </cfRule>
  </conditionalFormatting>
  <conditionalFormatting sqref="I5 M9:M10">
    <cfRule type="cellIs" dxfId="37" priority="81" operator="equal">
      <formula>60</formula>
    </cfRule>
  </conditionalFormatting>
  <conditionalFormatting sqref="I5 M9:M10">
    <cfRule type="cellIs" dxfId="3" priority="82" operator="equal">
      <formula>65</formula>
    </cfRule>
  </conditionalFormatting>
  <conditionalFormatting sqref="I5 M9:M10">
    <cfRule type="cellIs" dxfId="38" priority="83" operator="equal">
      <formula>70</formula>
    </cfRule>
  </conditionalFormatting>
  <conditionalFormatting sqref="I5 M9:M10">
    <cfRule type="cellIs" dxfId="5" priority="84" operator="equal">
      <formula>75</formula>
    </cfRule>
  </conditionalFormatting>
  <conditionalFormatting sqref="I5 M9:M10">
    <cfRule type="cellIs" dxfId="31" priority="85" operator="equal">
      <formula>80</formula>
    </cfRule>
  </conditionalFormatting>
  <conditionalFormatting sqref="I5 M9:M10">
    <cfRule type="cellIs" dxfId="39" priority="86" operator="equal">
      <formula>85</formula>
    </cfRule>
  </conditionalFormatting>
  <conditionalFormatting sqref="H5 L16 B36:M36">
    <cfRule type="cellIs" dxfId="2" priority="87" operator="equal">
      <formula>"1Star"</formula>
    </cfRule>
  </conditionalFormatting>
  <conditionalFormatting sqref="H5 L16 B36:M36">
    <cfRule type="cellIs" dxfId="5" priority="88" operator="equal">
      <formula>"2Star"</formula>
    </cfRule>
  </conditionalFormatting>
  <conditionalFormatting sqref="H5 L16 B36:M36">
    <cfRule type="cellIs" dxfId="6" priority="89" operator="equal">
      <formula>"3Star"</formula>
    </cfRule>
  </conditionalFormatting>
  <conditionalFormatting sqref="H5 L16 B36:M36">
    <cfRule type="cellIs" dxfId="4" priority="90" operator="equal">
      <formula>"Shard3Star"</formula>
    </cfRule>
  </conditionalFormatting>
  <conditionalFormatting sqref="H5 L16 B36:M36">
    <cfRule type="cellIs" dxfId="3" priority="91" operator="equal">
      <formula>"UT4"</formula>
    </cfRule>
  </conditionalFormatting>
  <conditionalFormatting sqref="A9">
    <cfRule type="colorScale" priority="92">
      <colorScale>
        <cfvo type="formula" val="0"/>
        <cfvo type="percentile" val="50"/>
        <cfvo type="formula" val="80"/>
        <color rgb="FFE67C73"/>
        <color rgb="FF57BB8A"/>
        <color rgb="FFFFFFFF"/>
      </colorScale>
    </cfRule>
  </conditionalFormatting>
  <conditionalFormatting sqref="B9">
    <cfRule type="colorScale" priority="93">
      <colorScale>
        <cfvo type="formula" val="0"/>
        <cfvo type="percentile" val="50"/>
        <cfvo type="formula" val="20"/>
        <color rgb="FFE67C73"/>
        <color rgb="FF57BB8A"/>
        <color rgb="FFFFFFFF"/>
      </colorScale>
    </cfRule>
  </conditionalFormatting>
  <conditionalFormatting sqref="C9">
    <cfRule type="colorScale" priority="94">
      <colorScale>
        <cfvo type="formula" val="0"/>
        <cfvo type="percentile" val="50"/>
        <cfvo type="formula" val="80"/>
        <color rgb="FFE67C73"/>
        <color rgb="FF57BB8A"/>
        <color rgb="FFFFFFFF"/>
      </colorScale>
    </cfRule>
  </conditionalFormatting>
  <conditionalFormatting sqref="D9:E9">
    <cfRule type="colorScale" priority="95">
      <colorScale>
        <cfvo type="formula" val="0"/>
        <cfvo type="percentile" val="50"/>
        <cfvo type="formula" val="10"/>
        <color rgb="FFE67C73"/>
        <color rgb="FF57BB8A"/>
        <color rgb="FFFFFFFF"/>
      </colorScale>
    </cfRule>
  </conditionalFormatting>
  <conditionalFormatting sqref="F9">
    <cfRule type="colorScale" priority="96">
      <colorScale>
        <cfvo type="formula" val="0"/>
        <cfvo type="percentile" val="50"/>
        <cfvo type="formula" val="6"/>
        <color rgb="FFE67C73"/>
        <color rgb="FF57BB8A"/>
        <color rgb="FFFFFFFF"/>
      </colorScale>
    </cfRule>
  </conditionalFormatting>
  <conditionalFormatting sqref="A11:F11">
    <cfRule type="colorScale" priority="97">
      <colorScale>
        <cfvo type="percent" val="0"/>
        <cfvo type="percentile" val="50"/>
        <cfvo type="percent" val="100"/>
        <color rgb="FFE67C73"/>
        <color rgb="FF57BB8A"/>
        <color rgb="FFFFFFFF"/>
      </colorScale>
    </cfRule>
  </conditionalFormatting>
  <conditionalFormatting sqref="B12:B13">
    <cfRule type="colorScale" priority="98">
      <colorScale>
        <cfvo type="formula" val="0"/>
        <cfvo type="percent" val="50"/>
        <cfvo type="formula" val="5500"/>
        <color rgb="FFFFFFFF"/>
        <color rgb="FFF3BEB9"/>
        <color rgb="FFE67C73"/>
      </colorScale>
    </cfRule>
  </conditionalFormatting>
  <conditionalFormatting sqref="D12:D13">
    <cfRule type="colorScale" priority="99">
      <colorScale>
        <cfvo type="formula" val="0"/>
        <cfvo type="percent" val="25"/>
        <cfvo type="formula" val="5050"/>
        <color rgb="FFFFFFFF"/>
        <color rgb="FFF3BEB9"/>
        <color rgb="FFE67C73"/>
      </colorScale>
    </cfRule>
  </conditionalFormatting>
  <conditionalFormatting sqref="F12">
    <cfRule type="colorScale" priority="100">
      <colorScale>
        <cfvo type="min"/>
        <cfvo type="percentile" val="50"/>
        <cfvo type="formula" val="4650"/>
        <color rgb="FFFFFFFF"/>
        <color rgb="FF57BB8A"/>
        <color rgb="FFFFD666"/>
      </colorScale>
    </cfRule>
  </conditionalFormatting>
  <conditionalFormatting sqref="I5 M9:M10">
    <cfRule type="cellIs" dxfId="18" priority="101" operator="between">
      <formula>0</formula>
      <formula>100</formula>
    </cfRule>
  </conditionalFormatting>
  <conditionalFormatting sqref="I4 B18 B26:M26">
    <cfRule type="cellIs" dxfId="30" priority="102" operator="equal">
      <formula>"2 3 Star"</formula>
    </cfRule>
  </conditionalFormatting>
  <conditionalFormatting sqref="G9">
    <cfRule type="colorScale" priority="103">
      <colorScale>
        <cfvo type="formula" val="0"/>
        <cfvo type="percentile" val="50"/>
        <cfvo type="formula" val="20"/>
        <color rgb="FFE67C73"/>
        <color rgb="FF57BB8A"/>
        <color rgb="FFFFFFFF"/>
      </colorScale>
    </cfRule>
  </conditionalFormatting>
  <dataValidations>
    <dataValidation type="list" allowBlank="1" showErrorMessage="1" sqref="L11:L14">
      <formula1>TicketList</formula1>
    </dataValidation>
    <dataValidation type="list" allowBlank="1" showErrorMessage="1" sqref="I2 M9:M10">
      <formula1>LevelRange</formula1>
    </dataValidation>
    <dataValidation type="list" allowBlank="1" showErrorMessage="1" sqref="I1 B18 B26:M26">
      <formula1>ShardUsage</formula1>
    </dataValidation>
    <dataValidation type="list" allowBlank="1" showErrorMessage="1" sqref="H2 L16 B36:M36">
      <formula1>"1Star,2Star,3Star,S3S,UT4"</formula1>
    </dataValidation>
    <dataValidation type="list" allowBlank="1" showErrorMessage="1" sqref="F15">
      <formula1>EGOShardNeeded</formula1>
    </dataValidation>
    <dataValidation type="list" allowBlank="1" showErrorMessage="1" sqref="J3">
      <formula1>"Wed,Thurs,Fri,Sat,Sun,Mon,Tue"</formula1>
    </dataValidation>
    <dataValidation type="list" allowBlank="1" showErrorMessage="1" sqref="A15">
      <formula1>"EGO,000 ID,00 ID"</formula1>
    </dataValidation>
    <dataValidation type="list" allowBlank="1" showErrorMessage="1" sqref="F14">
      <formula1>IDExtractionList</formula1>
    </dataValidation>
    <dataValidation type="list" allowBlank="1" showErrorMessage="1" sqref="J1">
      <formula1>SinnerAcronym</formula1>
    </dataValidation>
    <dataValidation type="list" allowBlank="1" showErrorMessage="1" sqref="H1 K16 B17 L18 B25:M25">
      <formula1>SinnerList</formula1>
    </dataValidation>
    <dataValidation type="list" allowBlank="1" showErrorMessage="1" sqref="F13">
      <formula1>EGOExtractionList</formula1>
    </dataValidation>
    <dataValidation type="list" allowBlank="1" showErrorMessage="1" sqref="J2">
      <formula1>FingerList</formula1>
    </dataValidation>
    <dataValidation type="list" allowBlank="1" showErrorMessage="1" sqref="H3 H18">
      <formula1>"7,6,5,4,3,2,1"</formula1>
    </dataValidation>
    <dataValidation type="list" allowBlank="1" showErrorMessage="1" sqref="M8">
      <formula1>SinnerIDList</formula1>
    </dataValidation>
    <dataValidation type="list" allowBlank="1" showErrorMessage="1" sqref="F16">
      <formula1>IDShardNeeded</formula1>
    </dataValidation>
    <dataValidation type="list" allowBlank="1" showErrorMessage="1" sqref="I3 I18">
      <formula1>"5,2,1,0"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3.5"/>
    <col customWidth="1" hidden="1" min="2" max="2" width="5.25"/>
    <col customWidth="1" hidden="1" min="3" max="3" width="6.5"/>
    <col customWidth="1" hidden="1" min="4" max="4" width="4.25"/>
    <col customWidth="1" hidden="1" min="5" max="6" width="5.13"/>
    <col customWidth="1" hidden="1" min="7" max="7" width="4.13"/>
    <col customWidth="1" min="8" max="8" width="5.5"/>
    <col customWidth="1" min="9" max="9" width="10.5"/>
    <col customWidth="1" min="10" max="10" width="3.88"/>
    <col customWidth="1" min="11" max="11" width="10.88"/>
    <col customWidth="1" min="12" max="12" width="8.5"/>
    <col customWidth="1" min="13" max="13" width="4.25"/>
    <col customWidth="1" min="14" max="14" width="3.0"/>
    <col customWidth="1" min="15" max="19" width="8.88"/>
    <col customWidth="1" min="20" max="24" width="10.75"/>
    <col customWidth="1" min="29" max="29" width="12.63"/>
    <col customWidth="1" hidden="1" min="30" max="30" width="12.63"/>
    <col customWidth="1" hidden="1" min="31" max="31" width="8.25"/>
  </cols>
  <sheetData>
    <row r="1" ht="15.75" customHeight="1">
      <c r="A1" s="210" t="str">
        <f>IFERROR(__xludf.DUMMYFUNCTION("IMPORTRANGE(""https://docs.google.com/spreadsheets/d/1dd1acJ31L_d8P07yRYqTDtptU4oCbycYLGhD8VBmbrI/edit?pli=1&amp;gid=1870766492#gid=1870766492"", ""Sheet1!A1:B61"")"),"Level")</f>
        <v>Level</v>
      </c>
      <c r="B1" s="210" t="str">
        <f>IFERROR(__xludf.DUMMYFUNCTION("""COMPUTED_VALUE"""),"Exp")</f>
        <v>Exp</v>
      </c>
      <c r="C1" s="211" t="s">
        <v>276</v>
      </c>
      <c r="D1" s="211" t="s">
        <v>277</v>
      </c>
      <c r="E1" s="211" t="s">
        <v>278</v>
      </c>
      <c r="F1" s="211" t="s">
        <v>279</v>
      </c>
      <c r="G1" s="211" t="s">
        <v>280</v>
      </c>
      <c r="H1" s="212" t="s">
        <v>14</v>
      </c>
      <c r="I1" s="213" t="s">
        <v>12</v>
      </c>
      <c r="J1" s="214">
        <v>5.0</v>
      </c>
      <c r="K1" s="215" t="s">
        <v>281</v>
      </c>
      <c r="L1" s="216" t="s">
        <v>119</v>
      </c>
      <c r="M1" s="217">
        <v>400.0</v>
      </c>
      <c r="N1" s="217">
        <v>0.0</v>
      </c>
      <c r="O1" s="47" t="str">
        <f t="array" ref="O1:AD2">{TOROW(MAKEARRAY(3, 5, LAMBDA(r, c, INDEX({"00"; "000"; "EGO"}, r) &amp; " T" &amp; (c - 1))), 0, FALSE), "EGO T5" ; BYCOL(O3:AD1000, LAMBDA(col, IF(COUNTA(col)=0, 0, COUNTA(col) - COUNTIF(col, " ??"))))}</f>
        <v>00 T0</v>
      </c>
      <c r="P1" s="69" t="s">
        <v>282</v>
      </c>
      <c r="Q1" s="69" t="s">
        <v>283</v>
      </c>
      <c r="R1" s="69" t="s">
        <v>284</v>
      </c>
      <c r="S1" s="69" t="s">
        <v>285</v>
      </c>
      <c r="T1" s="69" t="s">
        <v>286</v>
      </c>
      <c r="U1" s="69" t="s">
        <v>287</v>
      </c>
      <c r="V1" s="69" t="s">
        <v>288</v>
      </c>
      <c r="W1" s="69" t="s">
        <v>289</v>
      </c>
      <c r="X1" s="69" t="s">
        <v>290</v>
      </c>
      <c r="Y1" s="47" t="s">
        <v>291</v>
      </c>
      <c r="Z1" s="69" t="s">
        <v>292</v>
      </c>
      <c r="AA1" s="69" t="s">
        <v>293</v>
      </c>
      <c r="AB1" s="69" t="s">
        <v>294</v>
      </c>
      <c r="AC1" s="69" t="s">
        <v>295</v>
      </c>
      <c r="AD1" s="69" t="s">
        <v>296</v>
      </c>
      <c r="AE1" s="218" t="s">
        <v>297</v>
      </c>
    </row>
    <row r="2" ht="15.75" customHeight="1">
      <c r="A2" s="219">
        <f>IFERROR(__xludf.DUMMYFUNCTION("""COMPUTED_VALUE"""),1.0)</f>
        <v>1</v>
      </c>
      <c r="B2" s="219">
        <f>IFERROR(__xludf.DUMMYFUNCTION("""COMPUTED_VALUE"""),0.0)</f>
        <v>0</v>
      </c>
      <c r="C2" s="219">
        <f>B2</f>
        <v>0</v>
      </c>
      <c r="D2" s="69">
        <f t="array" ref="D2:D401">SEQUENCE(400,1)</f>
        <v>1</v>
      </c>
      <c r="E2" s="47">
        <v>15.0</v>
      </c>
      <c r="F2" s="47">
        <v>60.0</v>
      </c>
      <c r="G2" s="47">
        <v>0.0</v>
      </c>
      <c r="H2" s="212" t="s">
        <v>298</v>
      </c>
      <c r="I2" s="220" t="s">
        <v>153</v>
      </c>
      <c r="J2" s="221">
        <v>68.0</v>
      </c>
      <c r="K2" s="222">
        <f>SUM(O2:S2)</f>
        <v>51</v>
      </c>
      <c r="L2" s="61" t="s">
        <v>164</v>
      </c>
      <c r="M2" s="223">
        <v>900.0</v>
      </c>
      <c r="N2" s="223">
        <f>N10*2</f>
        <v>500</v>
      </c>
      <c r="O2" s="74">
        <v>4.0</v>
      </c>
      <c r="P2" s="74">
        <v>8.0</v>
      </c>
      <c r="Q2" s="74">
        <v>1.0</v>
      </c>
      <c r="R2" s="74">
        <v>36.0</v>
      </c>
      <c r="S2" s="74">
        <v>2.0</v>
      </c>
      <c r="T2" s="74">
        <v>49.0</v>
      </c>
      <c r="U2" s="74">
        <v>2.0</v>
      </c>
      <c r="V2" s="74">
        <v>0.0</v>
      </c>
      <c r="W2" s="74">
        <v>19.0</v>
      </c>
      <c r="X2" s="74">
        <v>48.0</v>
      </c>
      <c r="Y2" s="74">
        <v>55.0</v>
      </c>
      <c r="Z2" s="74">
        <v>0.0</v>
      </c>
      <c r="AA2" s="74">
        <v>0.0</v>
      </c>
      <c r="AB2" s="74">
        <v>46.0</v>
      </c>
      <c r="AC2" s="74">
        <v>8.0</v>
      </c>
      <c r="AD2" s="74">
        <v>0.0</v>
      </c>
    </row>
    <row r="3" ht="15.75" customHeight="1">
      <c r="A3" s="219">
        <f>IFERROR(__xludf.DUMMYFUNCTION("""COMPUTED_VALUE"""),2.0)</f>
        <v>2</v>
      </c>
      <c r="B3" s="219">
        <f>IFERROR(__xludf.DUMMYFUNCTION("""COMPUTED_VALUE"""),10.0)</f>
        <v>10</v>
      </c>
      <c r="C3" s="219">
        <f t="shared" ref="C3:C101" si="1">B3+C2</f>
        <v>10</v>
      </c>
      <c r="D3" s="62">
        <v>2.0</v>
      </c>
      <c r="E3" s="61">
        <v>30.0</v>
      </c>
      <c r="F3" s="186">
        <f t="shared" ref="F3:F401" si="2">F2+G3</f>
        <v>63</v>
      </c>
      <c r="G3" s="224">
        <f t="array" ref="G3:G8">SEQUENCE(6, 1, 3, 0)</f>
        <v>3</v>
      </c>
      <c r="H3" s="212" t="s">
        <v>299</v>
      </c>
      <c r="I3" s="225" t="s">
        <v>154</v>
      </c>
      <c r="J3" s="226">
        <v>20.0</v>
      </c>
      <c r="K3" s="227" t="s">
        <v>300</v>
      </c>
      <c r="L3" s="228" t="s">
        <v>301</v>
      </c>
      <c r="M3" s="229">
        <v>150.0</v>
      </c>
      <c r="N3" s="229">
        <v>0.0</v>
      </c>
      <c r="O3" s="7" t="s">
        <v>302</v>
      </c>
      <c r="P3" s="7" t="s">
        <v>303</v>
      </c>
      <c r="Q3" s="26" t="s">
        <v>14</v>
      </c>
      <c r="R3" s="7" t="s">
        <v>304</v>
      </c>
      <c r="S3" s="26" t="s">
        <v>14</v>
      </c>
      <c r="T3" s="7" t="s">
        <v>305</v>
      </c>
      <c r="U3" s="26" t="s">
        <v>14</v>
      </c>
      <c r="V3" s="26" t="s">
        <v>14</v>
      </c>
      <c r="W3" s="7" t="s">
        <v>306</v>
      </c>
      <c r="X3" s="7" t="s">
        <v>307</v>
      </c>
      <c r="Y3" s="7" t="s">
        <v>308</v>
      </c>
      <c r="Z3" s="26" t="s">
        <v>14</v>
      </c>
      <c r="AA3" s="26" t="s">
        <v>14</v>
      </c>
      <c r="AB3" s="7" t="s">
        <v>309</v>
      </c>
      <c r="AC3" s="26" t="s">
        <v>14</v>
      </c>
      <c r="AD3" s="26" t="s">
        <v>14</v>
      </c>
      <c r="AE3" s="7">
        <v>15.0</v>
      </c>
    </row>
    <row r="4" ht="15.75" customHeight="1">
      <c r="A4" s="219">
        <f>IFERROR(__xludf.DUMMYFUNCTION("""COMPUTED_VALUE"""),3.0)</f>
        <v>3</v>
      </c>
      <c r="B4" s="219">
        <f>IFERROR(__xludf.DUMMYFUNCTION("""COMPUTED_VALUE"""),12.0)</f>
        <v>12</v>
      </c>
      <c r="C4" s="219">
        <f t="shared" si="1"/>
        <v>22</v>
      </c>
      <c r="D4" s="62">
        <v>3.0</v>
      </c>
      <c r="E4" s="61">
        <v>35.0</v>
      </c>
      <c r="F4" s="62">
        <f t="shared" si="2"/>
        <v>66</v>
      </c>
      <c r="G4" s="62">
        <v>3.0</v>
      </c>
      <c r="H4" s="212" t="s">
        <v>310</v>
      </c>
      <c r="I4" s="230" t="s">
        <v>155</v>
      </c>
      <c r="J4" s="231">
        <v>113.0</v>
      </c>
      <c r="K4" s="227">
        <f>SUM(T2:X2)</f>
        <v>118</v>
      </c>
      <c r="L4" s="208" t="s">
        <v>311</v>
      </c>
      <c r="M4" s="232">
        <v>50.0</v>
      </c>
      <c r="N4" s="232">
        <v>150.0</v>
      </c>
      <c r="O4" s="8"/>
      <c r="P4" s="8"/>
      <c r="Q4" s="8"/>
      <c r="R4" s="7" t="s">
        <v>312</v>
      </c>
      <c r="S4" s="8"/>
      <c r="T4" s="7" t="s">
        <v>313</v>
      </c>
      <c r="U4" s="8"/>
      <c r="V4" s="8"/>
      <c r="W4" s="7" t="s">
        <v>314</v>
      </c>
      <c r="X4" s="7" t="s">
        <v>315</v>
      </c>
      <c r="Y4" s="7" t="s">
        <v>316</v>
      </c>
      <c r="Z4" s="8"/>
      <c r="AA4" s="8"/>
      <c r="AB4" s="7" t="s">
        <v>317</v>
      </c>
      <c r="AC4" s="8"/>
      <c r="AD4" s="8"/>
      <c r="AE4" s="7">
        <v>5.0</v>
      </c>
    </row>
    <row r="5" ht="15.75" customHeight="1">
      <c r="A5" s="219">
        <f>IFERROR(__xludf.DUMMYFUNCTION("""COMPUTED_VALUE"""),4.0)</f>
        <v>4</v>
      </c>
      <c r="B5" s="219">
        <f>IFERROR(__xludf.DUMMYFUNCTION("""COMPUTED_VALUE"""),15.0)</f>
        <v>15</v>
      </c>
      <c r="C5" s="219">
        <f t="shared" si="1"/>
        <v>37</v>
      </c>
      <c r="D5" s="62">
        <v>4.0</v>
      </c>
      <c r="E5" s="61">
        <v>40.0</v>
      </c>
      <c r="F5" s="62">
        <f t="shared" si="2"/>
        <v>69</v>
      </c>
      <c r="G5" s="62">
        <v>3.0</v>
      </c>
      <c r="H5" s="212" t="s">
        <v>318</v>
      </c>
      <c r="I5" s="233" t="s">
        <v>156</v>
      </c>
      <c r="J5" s="234">
        <v>16.0</v>
      </c>
      <c r="K5" s="235" t="str">
        <f t="array" ref="K5">"ID SUM: "&amp; TEXT(K2+K4+12, "???")</f>
        <v>ID SUM: 181</v>
      </c>
      <c r="L5" s="216" t="s">
        <v>319</v>
      </c>
      <c r="M5" s="236">
        <v>80.0</v>
      </c>
      <c r="N5" s="236">
        <v>110.0</v>
      </c>
      <c r="O5" s="26" t="s">
        <v>298</v>
      </c>
      <c r="P5" s="7" t="s">
        <v>320</v>
      </c>
      <c r="Q5" s="26" t="s">
        <v>298</v>
      </c>
      <c r="R5" s="7" t="s">
        <v>321</v>
      </c>
      <c r="S5" s="26" t="s">
        <v>298</v>
      </c>
      <c r="U5" s="26" t="s">
        <v>298</v>
      </c>
      <c r="V5" s="26" t="s">
        <v>298</v>
      </c>
      <c r="X5" s="7" t="s">
        <v>322</v>
      </c>
      <c r="Y5" s="7" t="s">
        <v>323</v>
      </c>
      <c r="Z5" s="26" t="s">
        <v>298</v>
      </c>
      <c r="AA5" s="26" t="s">
        <v>298</v>
      </c>
      <c r="AB5" s="7" t="s">
        <v>324</v>
      </c>
      <c r="AC5" s="7" t="s">
        <v>325</v>
      </c>
      <c r="AD5" s="26" t="s">
        <v>298</v>
      </c>
      <c r="AE5" s="7">
        <v>5.0</v>
      </c>
    </row>
    <row r="6" ht="15.75" customHeight="1">
      <c r="A6" s="219">
        <f>IFERROR(__xludf.DUMMYFUNCTION("""COMPUTED_VALUE"""),5.0)</f>
        <v>5</v>
      </c>
      <c r="B6" s="219">
        <f>IFERROR(__xludf.DUMMYFUNCTION("""COMPUTED_VALUE"""),20.0)</f>
        <v>20</v>
      </c>
      <c r="C6" s="219">
        <f t="shared" si="1"/>
        <v>57</v>
      </c>
      <c r="D6" s="62">
        <v>5.0</v>
      </c>
      <c r="E6" s="61">
        <v>47.0</v>
      </c>
      <c r="F6" s="62">
        <f t="shared" si="2"/>
        <v>72</v>
      </c>
      <c r="G6" s="62">
        <v>3.0</v>
      </c>
      <c r="H6" s="212" t="s">
        <v>326</v>
      </c>
      <c r="I6" s="237" t="s">
        <v>157</v>
      </c>
      <c r="J6" s="238">
        <v>215.0</v>
      </c>
      <c r="K6" s="235">
        <f>SUM(O2:X2)</f>
        <v>169</v>
      </c>
      <c r="L6" s="208" t="s">
        <v>327</v>
      </c>
      <c r="M6" s="239">
        <v>90.0</v>
      </c>
      <c r="N6" s="239">
        <v>130.0</v>
      </c>
      <c r="P6" s="8"/>
      <c r="T6" s="7" t="s">
        <v>328</v>
      </c>
      <c r="W6" s="26" t="s">
        <v>298</v>
      </c>
      <c r="X6" s="7" t="s">
        <v>329</v>
      </c>
      <c r="AB6" s="7" t="s">
        <v>330</v>
      </c>
      <c r="AC6" s="8"/>
      <c r="AE6" s="7">
        <v>7.0</v>
      </c>
    </row>
    <row r="7" ht="15.75" customHeight="1">
      <c r="A7" s="219">
        <f>IFERROR(__xludf.DUMMYFUNCTION("""COMPUTED_VALUE"""),6.0)</f>
        <v>6</v>
      </c>
      <c r="B7" s="219">
        <f>IFERROR(__xludf.DUMMYFUNCTION("""COMPUTED_VALUE"""),27.0)</f>
        <v>27</v>
      </c>
      <c r="C7" s="219">
        <f t="shared" si="1"/>
        <v>84</v>
      </c>
      <c r="D7" s="62">
        <v>6.0</v>
      </c>
      <c r="E7" s="61">
        <v>58.0</v>
      </c>
      <c r="F7" s="62">
        <f t="shared" si="2"/>
        <v>75</v>
      </c>
      <c r="G7" s="62">
        <v>3.0</v>
      </c>
      <c r="H7" s="212" t="s">
        <v>331</v>
      </c>
      <c r="I7" s="240" t="s">
        <v>158</v>
      </c>
      <c r="J7" s="241">
        <v>57.0</v>
      </c>
      <c r="K7" s="242" t="s">
        <v>332</v>
      </c>
      <c r="L7" s="208" t="s">
        <v>333</v>
      </c>
      <c r="M7" s="243">
        <v>100.0</v>
      </c>
      <c r="N7" s="243">
        <v>150.0</v>
      </c>
      <c r="O7" s="26" t="s">
        <v>299</v>
      </c>
      <c r="P7" s="7" t="s">
        <v>334</v>
      </c>
      <c r="Q7" s="26" t="s">
        <v>299</v>
      </c>
      <c r="R7" s="7" t="s">
        <v>335</v>
      </c>
      <c r="S7" s="26" t="s">
        <v>299</v>
      </c>
      <c r="T7" s="7" t="s">
        <v>336</v>
      </c>
      <c r="U7" s="26" t="s">
        <v>299</v>
      </c>
      <c r="V7" s="26" t="s">
        <v>299</v>
      </c>
      <c r="X7" s="7" t="s">
        <v>337</v>
      </c>
      <c r="Y7" s="7" t="s">
        <v>338</v>
      </c>
      <c r="Z7" s="26" t="s">
        <v>299</v>
      </c>
      <c r="AA7" s="26" t="s">
        <v>299</v>
      </c>
      <c r="AB7" s="7" t="s">
        <v>339</v>
      </c>
      <c r="AC7" s="7" t="s">
        <v>340</v>
      </c>
      <c r="AD7" s="26" t="s">
        <v>299</v>
      </c>
      <c r="AE7" s="244">
        <f t="array" ref="AE7:AE12">(ROUNDUP(SEQUENCE(6,1)/3,0)*2)+9</f>
        <v>11</v>
      </c>
    </row>
    <row r="8" ht="15.75" customHeight="1">
      <c r="A8" s="219">
        <f>IFERROR(__xludf.DUMMYFUNCTION("""COMPUTED_VALUE"""),7.0)</f>
        <v>7</v>
      </c>
      <c r="B8" s="219">
        <f>IFERROR(__xludf.DUMMYFUNCTION("""COMPUTED_VALUE"""),40.0)</f>
        <v>40</v>
      </c>
      <c r="C8" s="219">
        <f t="shared" si="1"/>
        <v>124</v>
      </c>
      <c r="D8" s="62">
        <v>7.0</v>
      </c>
      <c r="E8" s="61">
        <v>69.0</v>
      </c>
      <c r="F8" s="62">
        <f t="shared" si="2"/>
        <v>78</v>
      </c>
      <c r="G8" s="62">
        <v>3.0</v>
      </c>
      <c r="H8" s="212" t="s">
        <v>341</v>
      </c>
      <c r="I8" s="245" t="s">
        <v>122</v>
      </c>
      <c r="J8" s="246">
        <v>299.0</v>
      </c>
      <c r="K8" s="247">
        <f>SUM(Y2:AC2)</f>
        <v>109</v>
      </c>
      <c r="L8" s="248" t="s">
        <v>342</v>
      </c>
      <c r="M8" s="249">
        <v>150.0</v>
      </c>
      <c r="N8" s="249">
        <v>170.0</v>
      </c>
      <c r="O8" s="8"/>
      <c r="P8" s="8"/>
      <c r="Q8" s="27"/>
      <c r="R8" s="7" t="s">
        <v>343</v>
      </c>
      <c r="S8" s="27"/>
      <c r="T8" s="7" t="s">
        <v>344</v>
      </c>
      <c r="V8" s="27"/>
      <c r="W8" s="7" t="s">
        <v>345</v>
      </c>
      <c r="Y8" s="7" t="s">
        <v>346</v>
      </c>
      <c r="Z8" s="27"/>
      <c r="AE8" s="8">
        <v>11.0</v>
      </c>
    </row>
    <row r="9" ht="15.75" customHeight="1">
      <c r="A9" s="219">
        <f>IFERROR(__xludf.DUMMYFUNCTION("""COMPUTED_VALUE"""),8.0)</f>
        <v>8</v>
      </c>
      <c r="B9" s="219">
        <f>IFERROR(__xludf.DUMMYFUNCTION("""COMPUTED_VALUE"""),59.0)</f>
        <v>59</v>
      </c>
      <c r="C9" s="219">
        <f t="shared" si="1"/>
        <v>183</v>
      </c>
      <c r="D9" s="62">
        <v>8.0</v>
      </c>
      <c r="E9" s="61">
        <v>80.0</v>
      </c>
      <c r="F9" s="35">
        <f t="shared" si="2"/>
        <v>80</v>
      </c>
      <c r="G9" s="224">
        <f t="array" ref="G9:G21">SEQUENCE(13, 1, 2, 0)</f>
        <v>2</v>
      </c>
      <c r="H9" s="212" t="s">
        <v>347</v>
      </c>
      <c r="I9" s="250" t="s">
        <v>159</v>
      </c>
      <c r="J9" s="251">
        <v>416.0</v>
      </c>
      <c r="K9" s="252" t="s">
        <v>348</v>
      </c>
      <c r="L9" s="61" t="s">
        <v>349</v>
      </c>
      <c r="M9" s="253">
        <v>0.0</v>
      </c>
      <c r="N9" s="253">
        <v>0.0</v>
      </c>
      <c r="O9" s="26" t="s">
        <v>310</v>
      </c>
      <c r="P9" s="26" t="s">
        <v>310</v>
      </c>
      <c r="Q9" s="26" t="s">
        <v>310</v>
      </c>
      <c r="R9" s="7" t="s">
        <v>350</v>
      </c>
      <c r="S9" s="26" t="s">
        <v>310</v>
      </c>
      <c r="T9" s="7" t="s">
        <v>351</v>
      </c>
      <c r="U9" s="7" t="s">
        <v>352</v>
      </c>
      <c r="V9" s="26" t="s">
        <v>310</v>
      </c>
      <c r="W9" s="7" t="s">
        <v>353</v>
      </c>
      <c r="X9" s="7" t="s">
        <v>354</v>
      </c>
      <c r="Y9" s="7" t="s">
        <v>355</v>
      </c>
      <c r="Z9" s="26" t="s">
        <v>310</v>
      </c>
      <c r="AA9" s="26" t="s">
        <v>310</v>
      </c>
      <c r="AB9" s="7" t="s">
        <v>356</v>
      </c>
      <c r="AC9" s="7" t="s">
        <v>357</v>
      </c>
      <c r="AD9" s="26" t="s">
        <v>310</v>
      </c>
      <c r="AE9" s="8">
        <v>11.0</v>
      </c>
    </row>
    <row r="10" ht="15.75" customHeight="1">
      <c r="A10" s="219">
        <f>IFERROR(__xludf.DUMMYFUNCTION("""COMPUTED_VALUE"""),9.0)</f>
        <v>9</v>
      </c>
      <c r="B10" s="219">
        <f>IFERROR(__xludf.DUMMYFUNCTION("""COMPUTED_VALUE"""),88.0)</f>
        <v>88</v>
      </c>
      <c r="C10" s="219">
        <f t="shared" si="1"/>
        <v>271</v>
      </c>
      <c r="D10" s="62">
        <v>9.0</v>
      </c>
      <c r="E10" s="61">
        <v>93.0</v>
      </c>
      <c r="F10" s="62">
        <f t="shared" si="2"/>
        <v>82</v>
      </c>
      <c r="G10" s="62">
        <v>2.0</v>
      </c>
      <c r="H10" s="212" t="s">
        <v>358</v>
      </c>
      <c r="I10" s="254" t="s">
        <v>160</v>
      </c>
      <c r="J10" s="255">
        <v>61.0</v>
      </c>
      <c r="K10" s="256">
        <f>SUM(P2:S2)/SUM(O2:S2)</f>
        <v>0.9215686275</v>
      </c>
      <c r="L10" s="61" t="s">
        <v>359</v>
      </c>
      <c r="M10" s="257">
        <v>450.0</v>
      </c>
      <c r="N10" s="257">
        <f>150+80+20</f>
        <v>250</v>
      </c>
      <c r="Q10" s="27"/>
      <c r="S10" s="27"/>
      <c r="T10" s="7" t="s">
        <v>360</v>
      </c>
      <c r="U10" s="7" t="s">
        <v>361</v>
      </c>
      <c r="V10" s="27"/>
      <c r="X10" s="7" t="s">
        <v>362</v>
      </c>
      <c r="Y10" s="8"/>
      <c r="Z10" s="27"/>
      <c r="AA10" s="27"/>
      <c r="AB10" s="7" t="s">
        <v>363</v>
      </c>
      <c r="AC10" s="8"/>
      <c r="AD10" s="27"/>
      <c r="AE10" s="8">
        <v>13.0</v>
      </c>
    </row>
    <row r="11" ht="15.75" customHeight="1">
      <c r="A11" s="219">
        <f>IFERROR(__xludf.DUMMYFUNCTION("""COMPUTED_VALUE"""),10.0)</f>
        <v>10</v>
      </c>
      <c r="B11" s="219">
        <f>IFERROR(__xludf.DUMMYFUNCTION("""COMPUTED_VALUE"""),125.0)</f>
        <v>125</v>
      </c>
      <c r="C11" s="219">
        <f t="shared" si="1"/>
        <v>396</v>
      </c>
      <c r="D11" s="62">
        <v>10.0</v>
      </c>
      <c r="E11" s="61">
        <v>106.0</v>
      </c>
      <c r="F11" s="62">
        <f t="shared" si="2"/>
        <v>84</v>
      </c>
      <c r="G11" s="62">
        <v>2.0</v>
      </c>
      <c r="H11" s="212" t="s">
        <v>364</v>
      </c>
      <c r="I11" s="258" t="s">
        <v>161</v>
      </c>
      <c r="J11" s="259">
        <v>135.0</v>
      </c>
      <c r="K11" s="260" t="s">
        <v>365</v>
      </c>
      <c r="L11" s="261" t="s">
        <v>366</v>
      </c>
      <c r="M11" s="229">
        <v>30.0</v>
      </c>
      <c r="N11" s="229">
        <v>100.0</v>
      </c>
      <c r="O11" s="26" t="s">
        <v>318</v>
      </c>
      <c r="P11" s="7" t="s">
        <v>367</v>
      </c>
      <c r="Q11" s="26" t="s">
        <v>318</v>
      </c>
      <c r="R11" s="7" t="s">
        <v>368</v>
      </c>
      <c r="S11" s="7" t="s">
        <v>369</v>
      </c>
      <c r="T11" s="7" t="s">
        <v>370</v>
      </c>
      <c r="V11" s="26" t="s">
        <v>318</v>
      </c>
      <c r="W11" s="26" t="s">
        <v>310</v>
      </c>
      <c r="Y11" s="7" t="s">
        <v>371</v>
      </c>
      <c r="Z11" s="26" t="s">
        <v>318</v>
      </c>
      <c r="AA11" s="26" t="s">
        <v>318</v>
      </c>
      <c r="AB11" s="7" t="s">
        <v>372</v>
      </c>
      <c r="AC11" s="7" t="s">
        <v>373</v>
      </c>
      <c r="AD11" s="26" t="s">
        <v>318</v>
      </c>
      <c r="AE11" s="8">
        <v>13.0</v>
      </c>
    </row>
    <row r="12" ht="15.75" customHeight="1">
      <c r="A12" s="219">
        <f>IFERROR(__xludf.DUMMYFUNCTION("""COMPUTED_VALUE"""),11.0)</f>
        <v>11</v>
      </c>
      <c r="B12" s="219">
        <f>IFERROR(__xludf.DUMMYFUNCTION("""COMPUTED_VALUE"""),168.0)</f>
        <v>168</v>
      </c>
      <c r="C12" s="219">
        <f t="shared" si="1"/>
        <v>564</v>
      </c>
      <c r="D12" s="62">
        <v>11.0</v>
      </c>
      <c r="E12" s="61">
        <v>119.0</v>
      </c>
      <c r="F12" s="62">
        <f t="shared" si="2"/>
        <v>86</v>
      </c>
      <c r="G12" s="62">
        <v>2.0</v>
      </c>
      <c r="H12" s="212" t="s">
        <v>374</v>
      </c>
      <c r="I12" s="262" t="s">
        <v>162</v>
      </c>
      <c r="J12" s="263">
        <v>97.0</v>
      </c>
      <c r="K12" s="264">
        <f>SUM(U2:X2)/SUM(T2:X2)</f>
        <v>0.5847457627</v>
      </c>
      <c r="L12" s="61" t="s">
        <v>166</v>
      </c>
      <c r="M12" s="223">
        <v>800.0</v>
      </c>
      <c r="N12" s="265">
        <v>0.0</v>
      </c>
      <c r="P12" s="7" t="s">
        <v>375</v>
      </c>
      <c r="Q12" s="27"/>
      <c r="R12" s="7" t="s">
        <v>376</v>
      </c>
      <c r="S12" s="27"/>
      <c r="U12" s="26" t="s">
        <v>318</v>
      </c>
      <c r="V12" s="27"/>
      <c r="Y12" s="7" t="s">
        <v>377</v>
      </c>
      <c r="Z12" s="27"/>
      <c r="AA12" s="27"/>
      <c r="AB12" s="7" t="s">
        <v>378</v>
      </c>
      <c r="AC12" s="8"/>
      <c r="AD12" s="27"/>
      <c r="AE12" s="8">
        <v>13.0</v>
      </c>
    </row>
    <row r="13" ht="15.75" customHeight="1">
      <c r="A13" s="219">
        <f>IFERROR(__xludf.DUMMYFUNCTION("""COMPUTED_VALUE"""),12.0)</f>
        <v>12</v>
      </c>
      <c r="B13" s="219">
        <f>IFERROR(__xludf.DUMMYFUNCTION("""COMPUTED_VALUE"""),227.0)</f>
        <v>227</v>
      </c>
      <c r="C13" s="219">
        <f t="shared" si="1"/>
        <v>791</v>
      </c>
      <c r="D13" s="62">
        <v>12.0</v>
      </c>
      <c r="E13" s="61">
        <v>136.0</v>
      </c>
      <c r="F13" s="62">
        <f t="shared" si="2"/>
        <v>88</v>
      </c>
      <c r="G13" s="62">
        <v>2.0</v>
      </c>
      <c r="I13" s="266" t="s">
        <v>379</v>
      </c>
      <c r="J13" s="267">
        <v>2493.0</v>
      </c>
      <c r="K13" s="268" t="s">
        <v>380</v>
      </c>
      <c r="L13" s="269" t="str">
        <f t="array" ref="L13:L15">"2 Star UT" &amp; SEQUENCE(3,1)</f>
        <v>2 Star UT1</v>
      </c>
      <c r="M13" s="269">
        <f>P2</f>
        <v>8</v>
      </c>
      <c r="O13" s="26" t="s">
        <v>326</v>
      </c>
      <c r="Q13" s="26" t="s">
        <v>326</v>
      </c>
      <c r="R13" s="7" t="s">
        <v>381</v>
      </c>
      <c r="S13" s="26" t="s">
        <v>326</v>
      </c>
      <c r="T13" s="7" t="s">
        <v>382</v>
      </c>
      <c r="V13" s="26" t="s">
        <v>326</v>
      </c>
      <c r="W13" s="7" t="s">
        <v>383</v>
      </c>
      <c r="X13" s="7" t="s">
        <v>384</v>
      </c>
      <c r="Y13" s="7" t="s">
        <v>385</v>
      </c>
      <c r="Z13" s="26" t="s">
        <v>326</v>
      </c>
      <c r="AA13" s="26" t="s">
        <v>326</v>
      </c>
      <c r="AB13" s="7" t="s">
        <v>386</v>
      </c>
      <c r="AC13" s="7" t="s">
        <v>387</v>
      </c>
      <c r="AD13" s="26" t="s">
        <v>326</v>
      </c>
      <c r="AE13" s="244">
        <f t="array" ref="AE13:AE18">(ROUNDUP(SEQUENCE(6,1)/3,0)*2)+15</f>
        <v>17</v>
      </c>
    </row>
    <row r="14" ht="15.75" customHeight="1">
      <c r="A14" s="219">
        <f>IFERROR(__xludf.DUMMYFUNCTION("""COMPUTED_VALUE"""),13.0)</f>
        <v>13</v>
      </c>
      <c r="B14" s="219">
        <f>IFERROR(__xludf.DUMMYFUNCTION("""COMPUTED_VALUE"""),298.0)</f>
        <v>298</v>
      </c>
      <c r="C14" s="219">
        <f t="shared" si="1"/>
        <v>1089</v>
      </c>
      <c r="D14" s="62">
        <v>13.0</v>
      </c>
      <c r="E14" s="61">
        <v>153.0</v>
      </c>
      <c r="F14" s="62">
        <f t="shared" si="2"/>
        <v>90</v>
      </c>
      <c r="G14" s="62">
        <v>2.0</v>
      </c>
      <c r="I14" s="270" t="s">
        <v>388</v>
      </c>
      <c r="J14" s="271">
        <v>1201.0</v>
      </c>
      <c r="K14" s="272">
        <f>(SUM(P2:S2)+SUM(U2:X2))/SUM(O2:X2)</f>
        <v>0.6863905325</v>
      </c>
      <c r="L14" s="229" t="s">
        <v>389</v>
      </c>
      <c r="M14" s="229">
        <f>Q2</f>
        <v>1</v>
      </c>
      <c r="O14" s="8"/>
      <c r="P14" s="26" t="s">
        <v>326</v>
      </c>
      <c r="Q14" s="8"/>
      <c r="S14" s="8"/>
      <c r="T14" s="7" t="s">
        <v>390</v>
      </c>
      <c r="U14" s="26" t="s">
        <v>326</v>
      </c>
      <c r="V14" s="8"/>
      <c r="X14" s="7" t="s">
        <v>391</v>
      </c>
      <c r="Y14" s="7" t="s">
        <v>392</v>
      </c>
      <c r="Z14" s="8"/>
      <c r="AB14" s="7" t="s">
        <v>393</v>
      </c>
      <c r="AC14" s="7" t="s">
        <v>394</v>
      </c>
      <c r="AE14" s="8">
        <v>17.0</v>
      </c>
    </row>
    <row r="15" ht="15.75" customHeight="1">
      <c r="A15" s="219">
        <f>IFERROR(__xludf.DUMMYFUNCTION("""COMPUTED_VALUE"""),14.0)</f>
        <v>14</v>
      </c>
      <c r="B15" s="219">
        <f>IFERROR(__xludf.DUMMYFUNCTION("""COMPUTED_VALUE"""),381.0)</f>
        <v>381</v>
      </c>
      <c r="C15" s="219">
        <f t="shared" si="1"/>
        <v>1470</v>
      </c>
      <c r="D15" s="62">
        <v>14.0</v>
      </c>
      <c r="E15" s="61">
        <v>170.0</v>
      </c>
      <c r="F15" s="62">
        <f t="shared" si="2"/>
        <v>92</v>
      </c>
      <c r="G15" s="62">
        <v>2.0</v>
      </c>
      <c r="I15" s="273" t="s">
        <v>29</v>
      </c>
      <c r="J15" s="274">
        <v>3925.0</v>
      </c>
      <c r="K15" s="275" t="s">
        <v>395</v>
      </c>
      <c r="L15" s="229" t="s">
        <v>396</v>
      </c>
      <c r="M15" s="229">
        <f>R2</f>
        <v>36</v>
      </c>
      <c r="O15" s="26" t="s">
        <v>331</v>
      </c>
      <c r="Q15" s="26" t="s">
        <v>331</v>
      </c>
      <c r="R15" s="7" t="s">
        <v>397</v>
      </c>
      <c r="S15" s="7" t="s">
        <v>398</v>
      </c>
      <c r="T15" s="7" t="s">
        <v>399</v>
      </c>
      <c r="V15" s="26" t="s">
        <v>331</v>
      </c>
      <c r="W15" s="7" t="s">
        <v>400</v>
      </c>
      <c r="Y15" s="7" t="s">
        <v>401</v>
      </c>
      <c r="Z15" s="26" t="s">
        <v>331</v>
      </c>
      <c r="AA15" s="26" t="s">
        <v>331</v>
      </c>
      <c r="AC15" s="7" t="s">
        <v>402</v>
      </c>
      <c r="AD15" s="26" t="s">
        <v>331</v>
      </c>
      <c r="AE15" s="8">
        <v>17.0</v>
      </c>
    </row>
    <row r="16" ht="15.75" customHeight="1">
      <c r="A16" s="219">
        <f>IFERROR(__xludf.DUMMYFUNCTION("""COMPUTED_VALUE"""),15.0)</f>
        <v>15</v>
      </c>
      <c r="B16" s="219">
        <f>IFERROR(__xludf.DUMMYFUNCTION("""COMPUTED_VALUE"""),482.0)</f>
        <v>482</v>
      </c>
      <c r="C16" s="219">
        <f t="shared" si="1"/>
        <v>1952</v>
      </c>
      <c r="D16" s="62">
        <v>15.0</v>
      </c>
      <c r="E16" s="61">
        <v>189.0</v>
      </c>
      <c r="F16" s="62">
        <f t="shared" si="2"/>
        <v>94</v>
      </c>
      <c r="G16" s="62">
        <v>2.0</v>
      </c>
      <c r="K16" s="276">
        <f>SUM(Z2:AC2)/SUM(Y2:AC2)</f>
        <v>0.495412844</v>
      </c>
      <c r="L16" s="257" t="str">
        <f t="array" ref="L16:L18">"3 Star UT" &amp; SEQUENCE(3,1)</f>
        <v>3 Star UT1</v>
      </c>
      <c r="M16" s="257">
        <f>U2</f>
        <v>2</v>
      </c>
      <c r="O16" s="8"/>
      <c r="P16" s="26" t="s">
        <v>331</v>
      </c>
      <c r="Q16" s="8"/>
      <c r="R16" s="7" t="s">
        <v>403</v>
      </c>
      <c r="S16" s="8"/>
      <c r="U16" s="26" t="s">
        <v>331</v>
      </c>
      <c r="V16" s="8"/>
      <c r="W16" s="7" t="s">
        <v>404</v>
      </c>
      <c r="X16" s="7" t="s">
        <v>405</v>
      </c>
      <c r="Y16" s="8"/>
      <c r="Z16" s="8"/>
      <c r="AB16" s="7" t="s">
        <v>406</v>
      </c>
      <c r="AC16" s="8"/>
      <c r="AE16" s="8">
        <v>19.0</v>
      </c>
    </row>
    <row r="17" ht="15.75" customHeight="1">
      <c r="A17" s="219">
        <f>IFERROR(__xludf.DUMMYFUNCTION("""COMPUTED_VALUE"""),16.0)</f>
        <v>16</v>
      </c>
      <c r="B17" s="219">
        <f>IFERROR(__xludf.DUMMYFUNCTION("""COMPUTED_VALUE"""),591.0)</f>
        <v>591</v>
      </c>
      <c r="C17" s="219">
        <f t="shared" si="1"/>
        <v>2543</v>
      </c>
      <c r="D17" s="62">
        <v>16.0</v>
      </c>
      <c r="E17" s="61">
        <v>208.0</v>
      </c>
      <c r="F17" s="62">
        <f t="shared" si="2"/>
        <v>96</v>
      </c>
      <c r="G17" s="62">
        <v>2.0</v>
      </c>
      <c r="H17" s="252" t="s">
        <v>407</v>
      </c>
      <c r="I17" s="47" t="s">
        <v>408</v>
      </c>
      <c r="J17" s="277">
        <v>1.0</v>
      </c>
      <c r="K17" s="278" t="s">
        <v>409</v>
      </c>
      <c r="L17" s="257" t="s">
        <v>410</v>
      </c>
      <c r="M17" s="257">
        <f>V2</f>
        <v>0</v>
      </c>
      <c r="O17" s="26" t="s">
        <v>341</v>
      </c>
      <c r="Q17" s="7" t="s">
        <v>411</v>
      </c>
      <c r="R17" s="7" t="s">
        <v>412</v>
      </c>
      <c r="S17" s="26" t="s">
        <v>341</v>
      </c>
      <c r="T17" s="7" t="s">
        <v>413</v>
      </c>
      <c r="U17" s="8"/>
      <c r="V17" s="26" t="s">
        <v>341</v>
      </c>
      <c r="W17" s="7" t="s">
        <v>414</v>
      </c>
      <c r="X17" s="7" t="s">
        <v>415</v>
      </c>
      <c r="Y17" s="7" t="s">
        <v>416</v>
      </c>
      <c r="Z17" s="26" t="s">
        <v>341</v>
      </c>
      <c r="AA17" s="26" t="s">
        <v>341</v>
      </c>
      <c r="AB17" s="7" t="s">
        <v>417</v>
      </c>
      <c r="AC17" s="26" t="s">
        <v>331</v>
      </c>
      <c r="AD17" s="26" t="s">
        <v>341</v>
      </c>
      <c r="AE17" s="8">
        <v>19.0</v>
      </c>
    </row>
    <row r="18" ht="15.75" customHeight="1">
      <c r="A18" s="219">
        <f>IFERROR(__xludf.DUMMYFUNCTION("""COMPUTED_VALUE"""),17.0)</f>
        <v>17</v>
      </c>
      <c r="B18" s="219">
        <f>IFERROR(__xludf.DUMMYFUNCTION("""COMPUTED_VALUE"""),728.0)</f>
        <v>728</v>
      </c>
      <c r="C18" s="219">
        <f t="shared" si="1"/>
        <v>3271</v>
      </c>
      <c r="D18" s="62">
        <v>17.0</v>
      </c>
      <c r="E18" s="61">
        <v>227.0</v>
      </c>
      <c r="F18" s="62">
        <f t="shared" si="2"/>
        <v>98</v>
      </c>
      <c r="G18" s="62">
        <v>2.0</v>
      </c>
      <c r="H18" s="279">
        <f>K10</f>
        <v>0.9215686275</v>
      </c>
      <c r="I18" s="61" t="s">
        <v>418</v>
      </c>
      <c r="J18" s="280">
        <v>7.0</v>
      </c>
      <c r="K18" s="281">
        <f>O2/SUM(O2:S2)</f>
        <v>0.07843137255</v>
      </c>
      <c r="L18" s="282" t="s">
        <v>419</v>
      </c>
      <c r="M18" s="282">
        <f>W2</f>
        <v>19</v>
      </c>
      <c r="O18" s="8"/>
      <c r="P18" s="26" t="s">
        <v>341</v>
      </c>
      <c r="Q18" s="8"/>
      <c r="R18" s="7" t="s">
        <v>420</v>
      </c>
      <c r="S18" s="8"/>
      <c r="T18" s="7" t="s">
        <v>421</v>
      </c>
      <c r="U18" s="26" t="s">
        <v>341</v>
      </c>
      <c r="W18" s="7" t="s">
        <v>422</v>
      </c>
      <c r="X18" s="7" t="s">
        <v>423</v>
      </c>
      <c r="Y18" s="7" t="s">
        <v>424</v>
      </c>
      <c r="Z18" s="8"/>
      <c r="AA18" s="8"/>
      <c r="AB18" s="7" t="s">
        <v>425</v>
      </c>
      <c r="AC18" s="8"/>
      <c r="AD18" s="8"/>
      <c r="AE18" s="8">
        <v>19.0</v>
      </c>
    </row>
    <row r="19" ht="15.75" customHeight="1">
      <c r="A19" s="219">
        <f>IFERROR(__xludf.DUMMYFUNCTION("""COMPUTED_VALUE"""),18.0)</f>
        <v>18</v>
      </c>
      <c r="B19" s="219">
        <f>IFERROR(__xludf.DUMMYFUNCTION("""COMPUTED_VALUE"""),885.0)</f>
        <v>885</v>
      </c>
      <c r="C19" s="219">
        <f t="shared" si="1"/>
        <v>4156</v>
      </c>
      <c r="D19" s="62">
        <v>18.0</v>
      </c>
      <c r="E19" s="61">
        <v>250.0</v>
      </c>
      <c r="F19" s="62">
        <f t="shared" si="2"/>
        <v>100</v>
      </c>
      <c r="G19" s="62">
        <v>2.0</v>
      </c>
      <c r="H19" s="260" t="s">
        <v>426</v>
      </c>
      <c r="I19" s="61" t="s">
        <v>427</v>
      </c>
      <c r="J19" s="280">
        <v>2.0</v>
      </c>
      <c r="K19" s="283" t="s">
        <v>428</v>
      </c>
      <c r="O19" s="26" t="s">
        <v>347</v>
      </c>
      <c r="Q19" s="26" t="s">
        <v>347</v>
      </c>
      <c r="R19" s="8"/>
      <c r="S19" s="26" t="s">
        <v>347</v>
      </c>
      <c r="T19" s="7" t="s">
        <v>429</v>
      </c>
      <c r="V19" s="26" t="s">
        <v>347</v>
      </c>
      <c r="W19" s="7" t="s">
        <v>430</v>
      </c>
      <c r="X19" s="7" t="s">
        <v>431</v>
      </c>
      <c r="Y19" s="7" t="s">
        <v>432</v>
      </c>
      <c r="Z19" s="26" t="s">
        <v>347</v>
      </c>
      <c r="AA19" s="26" t="s">
        <v>347</v>
      </c>
      <c r="AC19" s="26" t="s">
        <v>341</v>
      </c>
      <c r="AD19" s="26" t="s">
        <v>347</v>
      </c>
      <c r="AE19" s="244">
        <f t="array" ref="AE19:AE21">(ROUNDUP(SEQUENCE(3,1)/3,0)*2)+21</f>
        <v>23</v>
      </c>
    </row>
    <row r="20" ht="15.75" customHeight="1">
      <c r="A20" s="219">
        <f>IFERROR(__xludf.DUMMYFUNCTION("""COMPUTED_VALUE"""),19.0)</f>
        <v>19</v>
      </c>
      <c r="B20" s="219">
        <f>IFERROR(__xludf.DUMMYFUNCTION("""COMPUTED_VALUE"""),1064.0)</f>
        <v>1064</v>
      </c>
      <c r="C20" s="219">
        <f t="shared" si="1"/>
        <v>5220</v>
      </c>
      <c r="D20" s="62">
        <v>19.0</v>
      </c>
      <c r="E20" s="61">
        <v>273.0</v>
      </c>
      <c r="F20" s="62">
        <f t="shared" si="2"/>
        <v>102</v>
      </c>
      <c r="G20" s="62">
        <v>2.0</v>
      </c>
      <c r="H20" s="284">
        <f>K12</f>
        <v>0.5847457627</v>
      </c>
      <c r="I20" s="280" t="s">
        <v>433</v>
      </c>
      <c r="J20" s="280">
        <v>25.0</v>
      </c>
      <c r="K20" s="285">
        <f>T2/SUM(T2:X2)</f>
        <v>0.4152542373</v>
      </c>
      <c r="L20" s="217" t="s">
        <v>434</v>
      </c>
      <c r="M20" s="286">
        <f>(SUM(M13:M17)-M15)*40</f>
        <v>440</v>
      </c>
      <c r="O20" s="8"/>
      <c r="P20" s="122" t="s">
        <v>435</v>
      </c>
      <c r="Q20" s="27"/>
      <c r="R20" s="7" t="s">
        <v>436</v>
      </c>
      <c r="S20" s="8"/>
      <c r="T20" s="7" t="s">
        <v>437</v>
      </c>
      <c r="U20" s="26" t="s">
        <v>347</v>
      </c>
      <c r="V20" s="8"/>
      <c r="Y20" s="7" t="s">
        <v>438</v>
      </c>
      <c r="Z20" s="8"/>
      <c r="AB20" s="7" t="s">
        <v>439</v>
      </c>
      <c r="AC20" s="8"/>
      <c r="AE20" s="8">
        <v>23.0</v>
      </c>
    </row>
    <row r="21" ht="15.75" customHeight="1">
      <c r="A21" s="219">
        <f>IFERROR(__xludf.DUMMYFUNCTION("""COMPUTED_VALUE"""),20.0)</f>
        <v>20</v>
      </c>
      <c r="B21" s="219">
        <f>IFERROR(__xludf.DUMMYFUNCTION("""COMPUTED_VALUE"""),1261.0)</f>
        <v>1261</v>
      </c>
      <c r="C21" s="219">
        <f t="shared" si="1"/>
        <v>6481</v>
      </c>
      <c r="D21" s="62">
        <v>20.0</v>
      </c>
      <c r="E21" s="61">
        <v>296.0</v>
      </c>
      <c r="F21" s="62">
        <f t="shared" si="2"/>
        <v>104</v>
      </c>
      <c r="G21" s="62">
        <v>2.0</v>
      </c>
      <c r="H21" s="268" t="s">
        <v>440</v>
      </c>
      <c r="I21" s="61" t="s">
        <v>441</v>
      </c>
      <c r="J21" s="280">
        <v>7.5</v>
      </c>
      <c r="K21" s="287" t="s">
        <v>442</v>
      </c>
      <c r="L21" s="229" t="s">
        <v>396</v>
      </c>
      <c r="M21" s="288">
        <f>(M13*10)+((M14+M13)*40)</f>
        <v>440</v>
      </c>
      <c r="O21" s="7" t="s">
        <v>443</v>
      </c>
      <c r="P21" s="7" t="s">
        <v>444</v>
      </c>
      <c r="Q21" s="26" t="s">
        <v>358</v>
      </c>
      <c r="R21" s="8"/>
      <c r="S21" s="26" t="s">
        <v>358</v>
      </c>
      <c r="U21" s="8"/>
      <c r="V21" s="26" t="s">
        <v>358</v>
      </c>
      <c r="W21" s="26" t="s">
        <v>331</v>
      </c>
      <c r="X21" s="7" t="s">
        <v>445</v>
      </c>
      <c r="Y21" s="7" t="s">
        <v>446</v>
      </c>
      <c r="Z21" s="26" t="s">
        <v>358</v>
      </c>
      <c r="AA21" s="26" t="s">
        <v>358</v>
      </c>
      <c r="AB21" s="7" t="s">
        <v>447</v>
      </c>
      <c r="AC21" s="26" t="s">
        <v>347</v>
      </c>
      <c r="AD21" s="26" t="s">
        <v>358</v>
      </c>
      <c r="AE21" s="8">
        <v>23.0</v>
      </c>
    </row>
    <row r="22" ht="15.75" customHeight="1">
      <c r="A22" s="219">
        <f>IFERROR(__xludf.DUMMYFUNCTION("""COMPUTED_VALUE"""),21.0)</f>
        <v>21</v>
      </c>
      <c r="B22" s="219">
        <f>IFERROR(__xludf.DUMMYFUNCTION("""COMPUTED_VALUE"""),1488.0)</f>
        <v>1488</v>
      </c>
      <c r="C22" s="219">
        <f t="shared" si="1"/>
        <v>7969</v>
      </c>
      <c r="D22" s="62">
        <v>21.0</v>
      </c>
      <c r="E22" s="61">
        <v>326.0</v>
      </c>
      <c r="F22" s="35">
        <f t="shared" si="2"/>
        <v>105</v>
      </c>
      <c r="G22" s="289">
        <f t="array" ref="G22:G42">SEQUENCE(21, 1, 1, 0)</f>
        <v>1</v>
      </c>
      <c r="H22" s="290">
        <f>K14</f>
        <v>0.6863905325</v>
      </c>
      <c r="I22" s="61" t="s">
        <v>448</v>
      </c>
      <c r="J22" s="280">
        <v>8.0</v>
      </c>
      <c r="K22" s="291">
        <f>(O2+T2)/SUM(O2:X2)</f>
        <v>0.3136094675</v>
      </c>
      <c r="L22" s="257" t="s">
        <v>419</v>
      </c>
      <c r="M22" s="292">
        <f>(M16*20)+((M17+M16)*80)</f>
        <v>200</v>
      </c>
      <c r="P22" s="8"/>
      <c r="Q22" s="27"/>
      <c r="R22" s="7" t="s">
        <v>449</v>
      </c>
      <c r="S22" s="27"/>
      <c r="T22" s="7" t="s">
        <v>450</v>
      </c>
      <c r="U22" s="26" t="s">
        <v>358</v>
      </c>
      <c r="V22" s="27"/>
      <c r="X22" s="7" t="s">
        <v>451</v>
      </c>
      <c r="Y22" s="7" t="s">
        <v>452</v>
      </c>
      <c r="Z22" s="27"/>
      <c r="AA22" s="8"/>
      <c r="AC22" s="8"/>
      <c r="AD22" s="8"/>
      <c r="AE22" s="244">
        <f t="array" ref="AE22:AE33">(ROUNDUP(SEQUENCE(12,1)/3,0)*2)+28</f>
        <v>30</v>
      </c>
    </row>
    <row r="23" ht="15.75" customHeight="1">
      <c r="A23" s="219">
        <f>IFERROR(__xludf.DUMMYFUNCTION("""COMPUTED_VALUE"""),22.0)</f>
        <v>22</v>
      </c>
      <c r="B23" s="219">
        <f>IFERROR(__xludf.DUMMYFUNCTION("""COMPUTED_VALUE"""),1739.0)</f>
        <v>1739</v>
      </c>
      <c r="C23" s="219">
        <f t="shared" si="1"/>
        <v>9708</v>
      </c>
      <c r="D23" s="62">
        <v>22.0</v>
      </c>
      <c r="E23" s="61">
        <v>356.0</v>
      </c>
      <c r="F23" s="62">
        <f t="shared" si="2"/>
        <v>106</v>
      </c>
      <c r="G23" s="62">
        <v>1.0</v>
      </c>
      <c r="H23" s="275" t="s">
        <v>13</v>
      </c>
      <c r="I23" s="61" t="s">
        <v>453</v>
      </c>
      <c r="J23" s="280">
        <v>9.5</v>
      </c>
      <c r="K23" s="293" t="s">
        <v>454</v>
      </c>
      <c r="L23" s="229" t="s">
        <v>455</v>
      </c>
      <c r="M23" s="288">
        <f>(SUM(M13:M15))*100</f>
        <v>4500</v>
      </c>
      <c r="O23" s="26" t="s">
        <v>364</v>
      </c>
      <c r="P23" s="7" t="s">
        <v>456</v>
      </c>
      <c r="Q23" s="26" t="s">
        <v>364</v>
      </c>
      <c r="R23" s="7" t="s">
        <v>457</v>
      </c>
      <c r="S23" s="26" t="s">
        <v>364</v>
      </c>
      <c r="T23" s="7" t="s">
        <v>458</v>
      </c>
      <c r="U23" s="27"/>
      <c r="V23" s="26" t="s">
        <v>364</v>
      </c>
      <c r="W23" s="7" t="s">
        <v>459</v>
      </c>
      <c r="Z23" s="26" t="s">
        <v>364</v>
      </c>
      <c r="AA23" s="26" t="s">
        <v>364</v>
      </c>
      <c r="AC23" s="26" t="s">
        <v>358</v>
      </c>
      <c r="AD23" s="26" t="s">
        <v>364</v>
      </c>
      <c r="AE23" s="8">
        <v>30.0</v>
      </c>
    </row>
    <row r="24" ht="15.75" customHeight="1">
      <c r="A24" s="219">
        <f>IFERROR(__xludf.DUMMYFUNCTION("""COMPUTED_VALUE"""),23.0)</f>
        <v>23</v>
      </c>
      <c r="B24" s="219">
        <f>IFERROR(__xludf.DUMMYFUNCTION("""COMPUTED_VALUE"""),2016.0)</f>
        <v>2016</v>
      </c>
      <c r="C24" s="219">
        <f t="shared" si="1"/>
        <v>11724</v>
      </c>
      <c r="D24" s="62">
        <v>23.0</v>
      </c>
      <c r="E24" s="61">
        <v>386.0</v>
      </c>
      <c r="F24" s="62">
        <f t="shared" si="2"/>
        <v>107</v>
      </c>
      <c r="G24" s="62">
        <v>1.0</v>
      </c>
      <c r="H24" s="294">
        <f>K16</f>
        <v>0.495412844</v>
      </c>
      <c r="I24" s="61" t="s">
        <v>460</v>
      </c>
      <c r="J24" s="280">
        <v>22.5</v>
      </c>
      <c r="K24" s="295">
        <f>Y2/SUM(Y2:AC2)</f>
        <v>0.504587156</v>
      </c>
      <c r="L24" s="282" t="s">
        <v>461</v>
      </c>
      <c r="M24" s="296">
        <f>(SUM(M16:M18))*150</f>
        <v>3150</v>
      </c>
      <c r="P24" s="8"/>
      <c r="Q24" s="27"/>
      <c r="R24" s="7" t="s">
        <v>462</v>
      </c>
      <c r="S24" s="27"/>
      <c r="T24" s="7" t="s">
        <v>463</v>
      </c>
      <c r="U24" s="26" t="s">
        <v>364</v>
      </c>
      <c r="V24" s="27"/>
      <c r="W24" s="7" t="s">
        <v>464</v>
      </c>
      <c r="X24" s="7" t="s">
        <v>465</v>
      </c>
      <c r="Y24" s="7" t="s">
        <v>466</v>
      </c>
      <c r="Z24" s="27"/>
      <c r="AB24" s="7" t="s">
        <v>467</v>
      </c>
      <c r="AC24" s="27"/>
      <c r="AE24" s="8">
        <v>30.0</v>
      </c>
    </row>
    <row r="25" ht="15.75" customHeight="1">
      <c r="A25" s="219">
        <f>IFERROR(__xludf.DUMMYFUNCTION("""COMPUTED_VALUE"""),24.0)</f>
        <v>24</v>
      </c>
      <c r="B25" s="219">
        <f>IFERROR(__xludf.DUMMYFUNCTION("""COMPUTED_VALUE"""),2327.0)</f>
        <v>2327</v>
      </c>
      <c r="C25" s="219">
        <f t="shared" si="1"/>
        <v>14051</v>
      </c>
      <c r="D25" s="62">
        <v>24.0</v>
      </c>
      <c r="E25" s="61">
        <v>418.0</v>
      </c>
      <c r="F25" s="62">
        <f t="shared" si="2"/>
        <v>108</v>
      </c>
      <c r="G25" s="62">
        <v>1.0</v>
      </c>
      <c r="I25" s="50" t="s">
        <v>468</v>
      </c>
      <c r="J25" s="195">
        <f>J20+J19+J18</f>
        <v>34</v>
      </c>
      <c r="O25" s="7" t="s">
        <v>469</v>
      </c>
      <c r="P25" s="26" t="s">
        <v>364</v>
      </c>
      <c r="Q25" s="26" t="s">
        <v>374</v>
      </c>
      <c r="R25" s="7" t="s">
        <v>470</v>
      </c>
      <c r="S25" s="26" t="s">
        <v>374</v>
      </c>
      <c r="U25" s="27"/>
      <c r="V25" s="26" t="s">
        <v>374</v>
      </c>
      <c r="X25" s="7" t="s">
        <v>471</v>
      </c>
      <c r="Y25" s="7" t="s">
        <v>472</v>
      </c>
      <c r="Z25" s="26" t="s">
        <v>374</v>
      </c>
      <c r="AA25" s="26" t="s">
        <v>374</v>
      </c>
      <c r="AB25" s="7" t="s">
        <v>473</v>
      </c>
      <c r="AC25" s="26" t="s">
        <v>364</v>
      </c>
      <c r="AD25" s="26" t="s">
        <v>374</v>
      </c>
      <c r="AE25" s="8">
        <v>32.0</v>
      </c>
    </row>
    <row r="26" ht="15.75" customHeight="1">
      <c r="A26" s="219">
        <f>IFERROR(__xludf.DUMMYFUNCTION("""COMPUTED_VALUE"""),25.0)</f>
        <v>25</v>
      </c>
      <c r="B26" s="219">
        <f>IFERROR(__xludf.DUMMYFUNCTION("""COMPUTED_VALUE"""),2674.0)</f>
        <v>2674</v>
      </c>
      <c r="C26" s="219">
        <f t="shared" si="1"/>
        <v>16725</v>
      </c>
      <c r="D26" s="62">
        <v>25.0</v>
      </c>
      <c r="E26" s="61">
        <v>450.0</v>
      </c>
      <c r="F26" s="62">
        <f t="shared" si="2"/>
        <v>109</v>
      </c>
      <c r="G26" s="62">
        <v>1.0</v>
      </c>
      <c r="L26" s="297" t="s">
        <v>474</v>
      </c>
      <c r="M26" s="298">
        <f>M21+M22</f>
        <v>640</v>
      </c>
      <c r="O26" s="7" t="s">
        <v>475</v>
      </c>
      <c r="P26" s="8"/>
      <c r="R26" s="7" t="s">
        <v>476</v>
      </c>
      <c r="S26" s="8"/>
      <c r="T26" s="7" t="s">
        <v>477</v>
      </c>
      <c r="U26" s="26" t="s">
        <v>374</v>
      </c>
      <c r="V26" s="8"/>
      <c r="Y26" s="7" t="s">
        <v>478</v>
      </c>
      <c r="AC26" s="27"/>
      <c r="AD26" s="27"/>
      <c r="AE26" s="8">
        <v>32.0</v>
      </c>
    </row>
    <row r="27" ht="15.75" customHeight="1">
      <c r="A27" s="219">
        <f>IFERROR(__xludf.DUMMYFUNCTION("""COMPUTED_VALUE"""),26.0)</f>
        <v>26</v>
      </c>
      <c r="B27" s="219">
        <f>IFERROR(__xludf.DUMMYFUNCTION("""COMPUTED_VALUE"""),3047.0)</f>
        <v>3047</v>
      </c>
      <c r="C27" s="219">
        <f t="shared" si="1"/>
        <v>19772</v>
      </c>
      <c r="D27" s="62">
        <v>26.0</v>
      </c>
      <c r="E27" s="61">
        <v>482.0</v>
      </c>
      <c r="F27" s="62">
        <f t="shared" si="2"/>
        <v>110</v>
      </c>
      <c r="G27" s="62">
        <v>1.0</v>
      </c>
      <c r="I27" s="299" t="s">
        <v>479</v>
      </c>
      <c r="J27" s="297">
        <v>18.0</v>
      </c>
      <c r="L27" s="300" t="s">
        <v>480</v>
      </c>
      <c r="M27" s="301">
        <f>SUM(M21:M24)</f>
        <v>8290</v>
      </c>
      <c r="P27" s="26" t="s">
        <v>374</v>
      </c>
      <c r="V27" s="8"/>
      <c r="W27" s="7" t="s">
        <v>481</v>
      </c>
      <c r="X27" s="7" t="s">
        <v>482</v>
      </c>
      <c r="Y27" s="7" t="s">
        <v>483</v>
      </c>
      <c r="AB27" s="7" t="s">
        <v>484</v>
      </c>
      <c r="AC27" s="7" t="s">
        <v>485</v>
      </c>
      <c r="AD27" s="26"/>
      <c r="AE27" s="8">
        <v>32.0</v>
      </c>
    </row>
    <row r="28" ht="15.75" customHeight="1">
      <c r="A28" s="219">
        <f>IFERROR(__xludf.DUMMYFUNCTION("""COMPUTED_VALUE"""),27.0)</f>
        <v>27</v>
      </c>
      <c r="B28" s="219">
        <f>IFERROR(__xludf.DUMMYFUNCTION("""COMPUTED_VALUE"""),3456.0)</f>
        <v>3456</v>
      </c>
      <c r="C28" s="219">
        <f t="shared" si="1"/>
        <v>23228</v>
      </c>
      <c r="D28" s="62">
        <v>27.0</v>
      </c>
      <c r="E28" s="61">
        <v>516.0</v>
      </c>
      <c r="F28" s="62">
        <f t="shared" si="2"/>
        <v>111</v>
      </c>
      <c r="G28" s="62">
        <v>1.0</v>
      </c>
      <c r="I28" s="302" t="s">
        <v>486</v>
      </c>
      <c r="J28" s="303">
        <f>J27*3</f>
        <v>54</v>
      </c>
      <c r="L28" s="304" t="s">
        <v>487</v>
      </c>
      <c r="M28" s="303">
        <f>MAX(0, M27-J15)</f>
        <v>4365</v>
      </c>
      <c r="O28" s="8"/>
      <c r="Q28" s="8"/>
      <c r="R28" s="7" t="s">
        <v>488</v>
      </c>
      <c r="S28" s="8"/>
      <c r="T28" s="7" t="s">
        <v>489</v>
      </c>
      <c r="U28" s="8"/>
      <c r="V28" s="8"/>
      <c r="W28" s="7" t="s">
        <v>490</v>
      </c>
      <c r="X28" s="7" t="s">
        <v>491</v>
      </c>
      <c r="Y28" s="7" t="s">
        <v>492</v>
      </c>
      <c r="AE28" s="8">
        <v>34.0</v>
      </c>
    </row>
    <row r="29" ht="15.75" customHeight="1">
      <c r="A29" s="219">
        <f>IFERROR(__xludf.DUMMYFUNCTION("""COMPUTED_VALUE"""),28.0)</f>
        <v>28</v>
      </c>
      <c r="B29" s="219">
        <f>IFERROR(__xludf.DUMMYFUNCTION("""COMPUTED_VALUE"""),3899.0)</f>
        <v>3899</v>
      </c>
      <c r="C29" s="219">
        <f t="shared" si="1"/>
        <v>27127</v>
      </c>
      <c r="D29" s="62">
        <v>28.0</v>
      </c>
      <c r="E29" s="61">
        <v>550.0</v>
      </c>
      <c r="F29" s="62">
        <f t="shared" si="2"/>
        <v>112</v>
      </c>
      <c r="G29" s="62">
        <v>1.0</v>
      </c>
      <c r="O29" s="8"/>
      <c r="P29" s="8"/>
      <c r="R29" s="7" t="s">
        <v>493</v>
      </c>
      <c r="S29" s="8"/>
      <c r="T29" s="7" t="s">
        <v>494</v>
      </c>
      <c r="V29" s="8"/>
      <c r="W29" s="7" t="s">
        <v>495</v>
      </c>
      <c r="X29" s="7" t="s">
        <v>496</v>
      </c>
      <c r="Y29" s="7" t="s">
        <v>497</v>
      </c>
      <c r="AB29" s="7" t="s">
        <v>498</v>
      </c>
      <c r="AE29" s="8">
        <v>34.0</v>
      </c>
    </row>
    <row r="30" ht="15.75" customHeight="1">
      <c r="A30" s="219">
        <f>IFERROR(__xludf.DUMMYFUNCTION("""COMPUTED_VALUE"""),29.0)</f>
        <v>29</v>
      </c>
      <c r="B30" s="219">
        <f>IFERROR(__xludf.DUMMYFUNCTION("""COMPUTED_VALUE"""),4378.0)</f>
        <v>4378</v>
      </c>
      <c r="C30" s="219">
        <f t="shared" si="1"/>
        <v>31505</v>
      </c>
      <c r="D30" s="62">
        <v>29.0</v>
      </c>
      <c r="E30" s="61">
        <v>584.0</v>
      </c>
      <c r="F30" s="62">
        <f t="shared" si="2"/>
        <v>113</v>
      </c>
      <c r="G30" s="62">
        <v>1.0</v>
      </c>
      <c r="H30" s="305">
        <v>0.0</v>
      </c>
      <c r="I30" s="306" t="str">
        <f t="array" ref="I30:I33">"Ticket " &amp; ROMAN(SEQUENCE(4,1))</f>
        <v>Ticket I</v>
      </c>
      <c r="J30" s="307">
        <v>52.0</v>
      </c>
      <c r="K30" s="308">
        <v>50.0</v>
      </c>
      <c r="L30" s="217" t="s">
        <v>196</v>
      </c>
      <c r="M30" s="286">
        <f>MAX(0, ROUNDUP((M28-J15)/J28,0))</f>
        <v>9</v>
      </c>
      <c r="N30" s="308">
        <f t="array" ref="N30:N33">ROUNDDOWN((J30:J33*K30:K33)/($K$33),0)</f>
        <v>0</v>
      </c>
      <c r="O30" s="8"/>
      <c r="P30" s="8"/>
      <c r="R30" s="7" t="s">
        <v>499</v>
      </c>
      <c r="S30" s="8"/>
      <c r="T30" s="7" t="s">
        <v>500</v>
      </c>
      <c r="U30" s="8"/>
      <c r="V30" s="8"/>
      <c r="X30" s="7" t="s">
        <v>501</v>
      </c>
      <c r="AB30" s="7" t="s">
        <v>502</v>
      </c>
      <c r="AC30" s="8"/>
      <c r="AD30" s="8"/>
      <c r="AE30" s="8">
        <v>34.0</v>
      </c>
    </row>
    <row r="31" ht="15.75" customHeight="1">
      <c r="A31" s="219">
        <f>IFERROR(__xludf.DUMMYFUNCTION("""COMPUTED_VALUE"""),30.0)</f>
        <v>30</v>
      </c>
      <c r="B31" s="219">
        <f>IFERROR(__xludf.DUMMYFUNCTION("""COMPUTED_VALUE"""),4899.0)</f>
        <v>4899</v>
      </c>
      <c r="C31" s="219">
        <f t="shared" si="1"/>
        <v>36404</v>
      </c>
      <c r="D31" s="62">
        <v>30.0</v>
      </c>
      <c r="E31" s="61">
        <v>620.0</v>
      </c>
      <c r="F31" s="62">
        <f t="shared" si="2"/>
        <v>114</v>
      </c>
      <c r="G31" s="62">
        <v>1.0</v>
      </c>
      <c r="H31" s="309">
        <v>6.0</v>
      </c>
      <c r="I31" s="76" t="s">
        <v>74</v>
      </c>
      <c r="J31" s="310">
        <v>286.0</v>
      </c>
      <c r="K31" s="311">
        <v>200.0</v>
      </c>
      <c r="L31" s="312" t="s">
        <v>503</v>
      </c>
      <c r="M31" s="303">
        <f>MAX(0, ROUNDUP((M26-J15)/J28,0))</f>
        <v>0</v>
      </c>
      <c r="N31" s="311">
        <v>19.0</v>
      </c>
      <c r="O31" s="8"/>
      <c r="P31" s="8"/>
      <c r="Q31" s="8"/>
      <c r="T31" s="7" t="s">
        <v>504</v>
      </c>
      <c r="U31" s="8"/>
      <c r="V31" s="8"/>
      <c r="W31" s="7" t="s">
        <v>505</v>
      </c>
      <c r="X31" s="7" t="s">
        <v>506</v>
      </c>
      <c r="Y31" s="7" t="s">
        <v>507</v>
      </c>
      <c r="AB31" s="7" t="s">
        <v>508</v>
      </c>
      <c r="AC31" s="8"/>
      <c r="AD31" s="8"/>
      <c r="AE31" s="8">
        <v>36.0</v>
      </c>
    </row>
    <row r="32" ht="15.75" customHeight="1">
      <c r="A32" s="219">
        <f>IFERROR(__xludf.DUMMYFUNCTION("""COMPUTED_VALUE"""),31.0)</f>
        <v>31</v>
      </c>
      <c r="B32" s="219">
        <f>IFERROR(__xludf.DUMMYFUNCTION("""COMPUTED_VALUE"""),3899.0)</f>
        <v>3899</v>
      </c>
      <c r="C32" s="219">
        <f t="shared" si="1"/>
        <v>40303</v>
      </c>
      <c r="D32" s="62">
        <v>31.0</v>
      </c>
      <c r="E32" s="61">
        <v>656.0</v>
      </c>
      <c r="F32" s="62">
        <f t="shared" si="2"/>
        <v>115</v>
      </c>
      <c r="G32" s="62">
        <v>1.0</v>
      </c>
      <c r="H32" s="313">
        <v>6.0</v>
      </c>
      <c r="I32" s="71" t="s">
        <v>66</v>
      </c>
      <c r="J32" s="314">
        <v>298.0</v>
      </c>
      <c r="K32" s="315">
        <v>1000.0</v>
      </c>
      <c r="L32" s="300" t="s">
        <v>509</v>
      </c>
      <c r="M32" s="301">
        <f>MAX(0, ROUNDUP((J51-J15)/J28,0))</f>
        <v>0</v>
      </c>
      <c r="N32" s="316">
        <v>99.0</v>
      </c>
      <c r="O32" s="8"/>
      <c r="P32" s="8"/>
      <c r="Q32" s="8"/>
      <c r="R32" s="7" t="s">
        <v>510</v>
      </c>
      <c r="S32" s="8"/>
      <c r="T32" s="7" t="s">
        <v>511</v>
      </c>
      <c r="U32" s="8"/>
      <c r="V32" s="8"/>
      <c r="W32" s="7" t="s">
        <v>512</v>
      </c>
      <c r="X32" s="7" t="s">
        <v>513</v>
      </c>
      <c r="Y32" s="7" t="s">
        <v>514</v>
      </c>
      <c r="AA32" s="8"/>
      <c r="AB32" s="7" t="s">
        <v>515</v>
      </c>
      <c r="AC32" s="8"/>
      <c r="AD32" s="8"/>
      <c r="AE32" s="8">
        <v>36.0</v>
      </c>
    </row>
    <row r="33" ht="15.75" customHeight="1">
      <c r="A33" s="219">
        <f>IFERROR(__xludf.DUMMYFUNCTION("""COMPUTED_VALUE"""),32.0)</f>
        <v>32</v>
      </c>
      <c r="B33" s="219">
        <f>IFERROR(__xludf.DUMMYFUNCTION("""COMPUTED_VALUE"""),4378.0)</f>
        <v>4378</v>
      </c>
      <c r="C33" s="219">
        <f t="shared" si="1"/>
        <v>44681</v>
      </c>
      <c r="D33" s="62">
        <v>32.0</v>
      </c>
      <c r="E33" s="61">
        <v>692.0</v>
      </c>
      <c r="F33" s="62">
        <f t="shared" si="2"/>
        <v>116</v>
      </c>
      <c r="G33" s="62">
        <v>1.0</v>
      </c>
      <c r="H33" s="317">
        <v>6.0</v>
      </c>
      <c r="I33" s="318" t="s">
        <v>55</v>
      </c>
      <c r="J33" s="319">
        <v>287.0</v>
      </c>
      <c r="K33" s="320">
        <v>3000.0</v>
      </c>
      <c r="L33" s="312" t="s">
        <v>516</v>
      </c>
      <c r="M33" s="303">
        <f>MAX(0, ROUNDUP((J45-J15)/J28,0))</f>
        <v>53</v>
      </c>
      <c r="N33" s="321">
        <v>287.0</v>
      </c>
      <c r="O33" s="8"/>
      <c r="P33" s="8"/>
      <c r="Q33" s="8"/>
      <c r="R33" s="7" t="s">
        <v>517</v>
      </c>
      <c r="S33" s="8"/>
      <c r="T33" s="7" t="s">
        <v>518</v>
      </c>
      <c r="V33" s="8"/>
      <c r="Y33" s="7" t="s">
        <v>519</v>
      </c>
      <c r="AA33" s="8"/>
      <c r="AB33" s="7" t="s">
        <v>520</v>
      </c>
      <c r="AC33" s="8"/>
      <c r="AD33" s="8"/>
      <c r="AE33" s="8">
        <v>36.0</v>
      </c>
    </row>
    <row r="34" ht="15.75" customHeight="1">
      <c r="A34" s="219">
        <f>IFERROR(__xludf.DUMMYFUNCTION("""COMPUTED_VALUE"""),33.0)</f>
        <v>33</v>
      </c>
      <c r="B34" s="219">
        <f>IFERROR(__xludf.DUMMYFUNCTION("""COMPUTED_VALUE"""),4899.0)</f>
        <v>4899</v>
      </c>
      <c r="C34" s="219">
        <f t="shared" si="1"/>
        <v>49580</v>
      </c>
      <c r="D34" s="62">
        <v>33.0</v>
      </c>
      <c r="E34" s="61">
        <v>736.0</v>
      </c>
      <c r="F34" s="62">
        <f t="shared" si="2"/>
        <v>117</v>
      </c>
      <c r="G34" s="62">
        <v>1.0</v>
      </c>
      <c r="L34" s="322" t="s">
        <v>521</v>
      </c>
      <c r="M34" s="322"/>
      <c r="N34" s="321">
        <f>SUM(N30:N33)</f>
        <v>405</v>
      </c>
      <c r="O34" s="8"/>
      <c r="P34" s="8"/>
      <c r="Q34" s="8"/>
      <c r="R34" s="7" t="s">
        <v>522</v>
      </c>
      <c r="S34" s="8"/>
      <c r="T34" s="7" t="s">
        <v>523</v>
      </c>
      <c r="V34" s="8"/>
      <c r="W34" s="7" t="s">
        <v>524</v>
      </c>
      <c r="X34" s="7" t="s">
        <v>525</v>
      </c>
      <c r="Y34" s="7" t="s">
        <v>526</v>
      </c>
      <c r="Z34" s="8"/>
      <c r="AA34" s="8"/>
      <c r="AC34" s="8"/>
      <c r="AD34" s="8"/>
      <c r="AE34" s="244">
        <f t="array" ref="AE34:AE36">(ROUNDUP(SEQUENCE(3,1)/3,0)*2)+42</f>
        <v>44</v>
      </c>
    </row>
    <row r="35" ht="15.75" customHeight="1">
      <c r="A35" s="219">
        <f>IFERROR(__xludf.DUMMYFUNCTION("""COMPUTED_VALUE"""),34.0)</f>
        <v>34</v>
      </c>
      <c r="B35" s="219">
        <f>IFERROR(__xludf.DUMMYFUNCTION("""COMPUTED_VALUE"""),5468.0)</f>
        <v>5468</v>
      </c>
      <c r="C35" s="219">
        <f t="shared" si="1"/>
        <v>55048</v>
      </c>
      <c r="D35" s="62">
        <v>34.0</v>
      </c>
      <c r="E35" s="61">
        <v>780.0</v>
      </c>
      <c r="F35" s="62">
        <f t="shared" si="2"/>
        <v>118</v>
      </c>
      <c r="G35" s="62">
        <v>1.0</v>
      </c>
      <c r="I35" s="277" t="s">
        <v>527</v>
      </c>
      <c r="J35" s="277">
        <v>60.0</v>
      </c>
      <c r="L35" s="323" t="s">
        <v>528</v>
      </c>
      <c r="M35" s="324">
        <f>MAX(0, ROUNDUP((M28+J45-J15)/J28,0))</f>
        <v>134</v>
      </c>
      <c r="O35" s="8"/>
      <c r="P35" s="8"/>
      <c r="Q35" s="8"/>
      <c r="S35" s="8"/>
      <c r="V35" s="8"/>
      <c r="X35" s="7" t="s">
        <v>529</v>
      </c>
      <c r="Y35" s="7" t="s">
        <v>530</v>
      </c>
      <c r="AB35" s="7" t="s">
        <v>531</v>
      </c>
      <c r="AC35" s="8"/>
      <c r="AD35" s="8"/>
      <c r="AE35" s="8">
        <v>44.0</v>
      </c>
    </row>
    <row r="36" ht="15.75" customHeight="1">
      <c r="A36" s="219">
        <f>IFERROR(__xludf.DUMMYFUNCTION("""COMPUTED_VALUE"""),35.0)</f>
        <v>35</v>
      </c>
      <c r="B36" s="219">
        <f>IFERROR(__xludf.DUMMYFUNCTION("""COMPUTED_VALUE"""),6075.0)</f>
        <v>6075</v>
      </c>
      <c r="C36" s="219">
        <f t="shared" si="1"/>
        <v>61123</v>
      </c>
      <c r="D36" s="62">
        <v>35.0</v>
      </c>
      <c r="E36" s="61">
        <v>824.0</v>
      </c>
      <c r="F36" s="62">
        <f t="shared" si="2"/>
        <v>119</v>
      </c>
      <c r="G36" s="62">
        <v>1.0</v>
      </c>
      <c r="I36" s="280" t="s">
        <v>532</v>
      </c>
      <c r="J36" s="280">
        <v>90.0</v>
      </c>
      <c r="O36" s="8"/>
      <c r="P36" s="8"/>
      <c r="Q36" s="8"/>
      <c r="R36" s="7" t="s">
        <v>533</v>
      </c>
      <c r="S36" s="8"/>
      <c r="T36" s="7" t="s">
        <v>534</v>
      </c>
      <c r="V36" s="8"/>
      <c r="W36" s="7" t="s">
        <v>535</v>
      </c>
      <c r="X36" s="7" t="s">
        <v>536</v>
      </c>
      <c r="Y36" s="8"/>
      <c r="AB36" s="7" t="s">
        <v>537</v>
      </c>
      <c r="AC36" s="8"/>
      <c r="AD36" s="8"/>
      <c r="AE36" s="8">
        <v>44.0</v>
      </c>
    </row>
    <row r="37" ht="15.75" customHeight="1">
      <c r="A37" s="219">
        <f>IFERROR(__xludf.DUMMYFUNCTION("""COMPUTED_VALUE"""),36.0)</f>
        <v>36</v>
      </c>
      <c r="B37" s="219">
        <f>IFERROR(__xludf.DUMMYFUNCTION("""COMPUTED_VALUE"""),4899.0)</f>
        <v>4899</v>
      </c>
      <c r="C37" s="219">
        <f t="shared" si="1"/>
        <v>66022</v>
      </c>
      <c r="D37" s="62">
        <v>36.0</v>
      </c>
      <c r="E37" s="61">
        <v>871.0</v>
      </c>
      <c r="F37" s="62">
        <f t="shared" si="2"/>
        <v>120</v>
      </c>
      <c r="G37" s="62">
        <v>1.0</v>
      </c>
      <c r="H37" s="26"/>
      <c r="I37" s="280" t="s">
        <v>538</v>
      </c>
      <c r="J37" s="280">
        <v>40.0</v>
      </c>
      <c r="O37" s="8"/>
      <c r="P37" s="8"/>
      <c r="Q37" s="8"/>
      <c r="R37" s="7" t="s">
        <v>539</v>
      </c>
      <c r="S37" s="8"/>
      <c r="T37" s="7" t="s">
        <v>540</v>
      </c>
      <c r="V37" s="8"/>
      <c r="Y37" s="7" t="s">
        <v>541</v>
      </c>
      <c r="AB37" s="7" t="s">
        <v>542</v>
      </c>
      <c r="AC37" s="8"/>
      <c r="AD37" s="8"/>
      <c r="AE37" s="244">
        <f t="array" ref="AE37:AE45">(ROUNDUP(SEQUENCE(9,1)/3,0)*2)+45</f>
        <v>47</v>
      </c>
    </row>
    <row r="38" ht="15.75" customHeight="1">
      <c r="A38" s="219">
        <f>IFERROR(__xludf.DUMMYFUNCTION("""COMPUTED_VALUE"""),37.0)</f>
        <v>37</v>
      </c>
      <c r="B38" s="219">
        <f>IFERROR(__xludf.DUMMYFUNCTION("""COMPUTED_VALUE"""),5468.0)</f>
        <v>5468</v>
      </c>
      <c r="C38" s="219">
        <f t="shared" si="1"/>
        <v>71490</v>
      </c>
      <c r="D38" s="62">
        <v>37.0</v>
      </c>
      <c r="E38" s="61">
        <v>918.0</v>
      </c>
      <c r="F38" s="62">
        <f t="shared" si="2"/>
        <v>121</v>
      </c>
      <c r="G38" s="62">
        <v>1.0</v>
      </c>
      <c r="I38" s="280" t="s">
        <v>543</v>
      </c>
      <c r="J38" s="280">
        <v>60.0</v>
      </c>
      <c r="O38" s="8"/>
      <c r="P38" s="8"/>
      <c r="Q38" s="8"/>
      <c r="S38" s="8"/>
      <c r="T38" s="7" t="s">
        <v>544</v>
      </c>
      <c r="V38" s="8"/>
      <c r="X38" s="7" t="s">
        <v>545</v>
      </c>
      <c r="Y38" s="7" t="s">
        <v>546</v>
      </c>
      <c r="AA38" s="8"/>
      <c r="AB38" s="7" t="s">
        <v>547</v>
      </c>
      <c r="AC38" s="8"/>
      <c r="AD38" s="8"/>
      <c r="AE38" s="8">
        <v>47.0</v>
      </c>
    </row>
    <row r="39" ht="15.75" customHeight="1">
      <c r="A39" s="219">
        <f>IFERROR(__xludf.DUMMYFUNCTION("""COMPUTED_VALUE"""),38.0)</f>
        <v>38</v>
      </c>
      <c r="B39" s="219">
        <f>IFERROR(__xludf.DUMMYFUNCTION("""COMPUTED_VALUE"""),6075.0)</f>
        <v>6075</v>
      </c>
      <c r="C39" s="219">
        <f t="shared" si="1"/>
        <v>77565</v>
      </c>
      <c r="D39" s="62">
        <v>38.0</v>
      </c>
      <c r="E39" s="61">
        <v>965.0</v>
      </c>
      <c r="F39" s="62">
        <f t="shared" si="2"/>
        <v>122</v>
      </c>
      <c r="G39" s="62">
        <v>1.0</v>
      </c>
      <c r="I39" s="195" t="s">
        <v>548</v>
      </c>
      <c r="J39" s="325">
        <f>(J38*3)+J35</f>
        <v>240</v>
      </c>
      <c r="O39" s="8"/>
      <c r="P39" s="8"/>
      <c r="Q39" s="8"/>
      <c r="R39" s="7" t="s">
        <v>549</v>
      </c>
      <c r="S39" s="8"/>
      <c r="T39" s="7" t="s">
        <v>550</v>
      </c>
      <c r="V39" s="8"/>
      <c r="W39" s="8"/>
      <c r="X39" s="7" t="s">
        <v>551</v>
      </c>
      <c r="Y39" s="7" t="s">
        <v>552</v>
      </c>
      <c r="AA39" s="8"/>
      <c r="AB39" s="7" t="s">
        <v>553</v>
      </c>
      <c r="AC39" s="8"/>
      <c r="AD39" s="8"/>
      <c r="AE39" s="8">
        <v>47.0</v>
      </c>
    </row>
    <row r="40" ht="15.75" customHeight="1">
      <c r="A40" s="219">
        <f>IFERROR(__xludf.DUMMYFUNCTION("""COMPUTED_VALUE"""),39.0)</f>
        <v>39</v>
      </c>
      <c r="B40" s="219">
        <f>IFERROR(__xludf.DUMMYFUNCTION("""COMPUTED_VALUE"""),6722.0)</f>
        <v>6722</v>
      </c>
      <c r="C40" s="219">
        <f t="shared" si="1"/>
        <v>84287</v>
      </c>
      <c r="D40" s="62">
        <v>39.0</v>
      </c>
      <c r="E40" s="61">
        <v>1014.0</v>
      </c>
      <c r="F40" s="62">
        <f t="shared" si="2"/>
        <v>123</v>
      </c>
      <c r="G40" s="62">
        <v>1.0</v>
      </c>
      <c r="O40" s="8"/>
      <c r="P40" s="8"/>
      <c r="Q40" s="8"/>
      <c r="R40" s="7" t="s">
        <v>554</v>
      </c>
      <c r="S40" s="8"/>
      <c r="U40" s="8"/>
      <c r="V40" s="8"/>
      <c r="W40" s="8"/>
      <c r="Y40" s="7" t="s">
        <v>555</v>
      </c>
      <c r="Z40" s="8"/>
      <c r="AB40" s="7" t="s">
        <v>556</v>
      </c>
      <c r="AC40" s="8"/>
      <c r="AD40" s="8"/>
      <c r="AE40" s="8">
        <v>49.0</v>
      </c>
    </row>
    <row r="41" ht="15.75" customHeight="1">
      <c r="A41" s="219">
        <f>IFERROR(__xludf.DUMMYFUNCTION("""COMPUTED_VALUE"""),40.0)</f>
        <v>40</v>
      </c>
      <c r="B41" s="219">
        <f>IFERROR(__xludf.DUMMYFUNCTION("""COMPUTED_VALUE"""),7413.0)</f>
        <v>7413</v>
      </c>
      <c r="C41" s="219">
        <f t="shared" si="1"/>
        <v>91700</v>
      </c>
      <c r="D41" s="62">
        <v>40.0</v>
      </c>
      <c r="E41" s="61">
        <v>1063.0</v>
      </c>
      <c r="F41" s="62">
        <f t="shared" si="2"/>
        <v>124</v>
      </c>
      <c r="G41" s="62">
        <v>1.0</v>
      </c>
      <c r="I41" s="326" t="s">
        <v>557</v>
      </c>
      <c r="J41" s="327">
        <f>'EGO Old'!Z31</f>
        <v>1430</v>
      </c>
      <c r="O41" s="8"/>
      <c r="P41" s="8"/>
      <c r="Q41" s="8"/>
      <c r="R41" s="7" t="s">
        <v>558</v>
      </c>
      <c r="S41" s="8"/>
      <c r="T41" s="7" t="s">
        <v>559</v>
      </c>
      <c r="U41" s="8"/>
      <c r="V41" s="8"/>
      <c r="X41" s="7" t="s">
        <v>560</v>
      </c>
      <c r="AA41" s="8"/>
      <c r="AC41" s="8"/>
      <c r="AD41" s="8"/>
      <c r="AE41" s="8">
        <v>49.0</v>
      </c>
    </row>
    <row r="42" ht="15.75" customHeight="1">
      <c r="A42" s="219">
        <f>IFERROR(__xludf.DUMMYFUNCTION("""COMPUTED_VALUE"""),41.0)</f>
        <v>41</v>
      </c>
      <c r="B42" s="219">
        <f>IFERROR(__xludf.DUMMYFUNCTION("""COMPUTED_VALUE"""),6075.0)</f>
        <v>6075</v>
      </c>
      <c r="C42" s="219">
        <f t="shared" si="1"/>
        <v>97775</v>
      </c>
      <c r="D42" s="62">
        <v>41.0</v>
      </c>
      <c r="E42" s="61">
        <v>1112.0</v>
      </c>
      <c r="F42" s="62">
        <f t="shared" si="2"/>
        <v>125</v>
      </c>
      <c r="G42" s="62">
        <v>1.0</v>
      </c>
      <c r="I42" s="328" t="s">
        <v>561</v>
      </c>
      <c r="J42" s="329">
        <f>'EGO Old'!Z34</f>
        <v>1040</v>
      </c>
      <c r="O42" s="8"/>
      <c r="P42" s="8"/>
      <c r="Q42" s="8"/>
      <c r="S42" s="8"/>
      <c r="T42" s="7" t="s">
        <v>562</v>
      </c>
      <c r="V42" s="8"/>
      <c r="X42" s="7" t="s">
        <v>563</v>
      </c>
      <c r="Y42" s="7" t="s">
        <v>564</v>
      </c>
      <c r="AA42" s="8"/>
      <c r="AC42" s="8"/>
      <c r="AD42" s="8"/>
      <c r="AE42" s="8">
        <v>49.0</v>
      </c>
    </row>
    <row r="43" ht="15.75" customHeight="1">
      <c r="A43" s="219">
        <f>IFERROR(__xludf.DUMMYFUNCTION("""COMPUTED_VALUE"""),42.0)</f>
        <v>42</v>
      </c>
      <c r="B43" s="219">
        <f>IFERROR(__xludf.DUMMYFUNCTION("""COMPUTED_VALUE"""),6722.0)</f>
        <v>6722</v>
      </c>
      <c r="C43" s="219">
        <f t="shared" si="1"/>
        <v>104497</v>
      </c>
      <c r="D43" s="62">
        <v>42.0</v>
      </c>
      <c r="E43" s="61">
        <v>1163.0</v>
      </c>
      <c r="F43" s="35">
        <f t="shared" si="2"/>
        <v>126</v>
      </c>
      <c r="G43" s="289">
        <f t="array" ref="G43:G70">MOD(SEQUENCE(28, 1, 1), 2)</f>
        <v>1</v>
      </c>
      <c r="I43" s="330" t="s">
        <v>565</v>
      </c>
      <c r="J43" s="331">
        <f>'EGO Old'!Z37</f>
        <v>2100</v>
      </c>
      <c r="O43" s="8"/>
      <c r="P43" s="8"/>
      <c r="Q43" s="8"/>
      <c r="R43" s="7" t="s">
        <v>566</v>
      </c>
      <c r="S43" s="8"/>
      <c r="T43" s="7" t="s">
        <v>567</v>
      </c>
      <c r="V43" s="8"/>
      <c r="W43" s="8"/>
      <c r="Y43" s="7" t="s">
        <v>568</v>
      </c>
      <c r="AA43" s="8"/>
      <c r="AB43" s="7" t="s">
        <v>569</v>
      </c>
      <c r="AC43" s="8"/>
      <c r="AD43" s="8"/>
      <c r="AE43" s="8">
        <v>51.0</v>
      </c>
    </row>
    <row r="44" ht="15.75" customHeight="1">
      <c r="A44" s="219">
        <f>IFERROR(__xludf.DUMMYFUNCTION("""COMPUTED_VALUE"""),43.0)</f>
        <v>43</v>
      </c>
      <c r="B44" s="219">
        <f>IFERROR(__xludf.DUMMYFUNCTION("""COMPUTED_VALUE"""),7413.0)</f>
        <v>7413</v>
      </c>
      <c r="C44" s="219">
        <f t="shared" si="1"/>
        <v>111910</v>
      </c>
      <c r="D44" s="62">
        <v>43.0</v>
      </c>
      <c r="E44" s="61">
        <v>1214.0</v>
      </c>
      <c r="F44" s="62">
        <f t="shared" si="2"/>
        <v>126</v>
      </c>
      <c r="G44" s="62">
        <v>0.0</v>
      </c>
      <c r="I44" s="332" t="s">
        <v>570</v>
      </c>
      <c r="J44" s="333">
        <f>'EGO Old'!Z40</f>
        <v>2210</v>
      </c>
      <c r="O44" s="8"/>
      <c r="P44" s="8"/>
      <c r="Q44" s="8"/>
      <c r="R44" s="7" t="s">
        <v>571</v>
      </c>
      <c r="S44" s="8"/>
      <c r="T44" s="7" t="s">
        <v>572</v>
      </c>
      <c r="V44" s="8"/>
      <c r="W44" s="8"/>
      <c r="X44" s="7" t="s">
        <v>573</v>
      </c>
      <c r="Y44" s="7" t="s">
        <v>574</v>
      </c>
      <c r="AA44" s="8"/>
      <c r="AB44" s="7" t="s">
        <v>575</v>
      </c>
      <c r="AC44" s="8"/>
      <c r="AD44" s="8"/>
      <c r="AE44" s="8">
        <v>51.0</v>
      </c>
    </row>
    <row r="45" ht="15.75" customHeight="1">
      <c r="A45" s="219">
        <f>IFERROR(__xludf.DUMMYFUNCTION("""COMPUTED_VALUE"""),44.0)</f>
        <v>44</v>
      </c>
      <c r="B45" s="219">
        <f>IFERROR(__xludf.DUMMYFUNCTION("""COMPUTED_VALUE"""),8156.0)</f>
        <v>8156</v>
      </c>
      <c r="C45" s="219">
        <f t="shared" si="1"/>
        <v>120066</v>
      </c>
      <c r="D45" s="62">
        <v>44.0</v>
      </c>
      <c r="E45" s="61">
        <v>1265.0</v>
      </c>
      <c r="F45" s="62">
        <f t="shared" si="2"/>
        <v>127</v>
      </c>
      <c r="G45" s="62">
        <v>1.0</v>
      </c>
      <c r="I45" s="46" t="s">
        <v>576</v>
      </c>
      <c r="J45" s="334">
        <f>SUM(J41:J44)</f>
        <v>6780</v>
      </c>
      <c r="O45" s="8"/>
      <c r="P45" s="8"/>
      <c r="Q45" s="8"/>
      <c r="R45" s="7" t="s">
        <v>577</v>
      </c>
      <c r="S45" s="8"/>
      <c r="V45" s="8"/>
      <c r="W45" s="8"/>
      <c r="X45" s="7" t="s">
        <v>578</v>
      </c>
      <c r="Y45" s="7" t="s">
        <v>579</v>
      </c>
      <c r="Z45" s="8"/>
      <c r="AA45" s="8"/>
      <c r="AB45" s="7" t="s">
        <v>580</v>
      </c>
      <c r="AC45" s="8"/>
      <c r="AD45" s="8"/>
      <c r="AE45" s="8">
        <v>51.0</v>
      </c>
    </row>
    <row r="46" ht="15.75" customHeight="1">
      <c r="A46" s="219">
        <f>IFERROR(__xludf.DUMMYFUNCTION("""COMPUTED_VALUE"""),45.0)</f>
        <v>45</v>
      </c>
      <c r="B46" s="219">
        <f>IFERROR(__xludf.DUMMYFUNCTION("""COMPUTED_VALUE"""),8953.0)</f>
        <v>8953</v>
      </c>
      <c r="C46" s="219">
        <f t="shared" si="1"/>
        <v>129019</v>
      </c>
      <c r="D46" s="62">
        <v>45.0</v>
      </c>
      <c r="E46" s="61">
        <v>1322.0</v>
      </c>
      <c r="F46" s="62">
        <f t="shared" si="2"/>
        <v>127</v>
      </c>
      <c r="G46" s="62">
        <v>0.0</v>
      </c>
      <c r="O46" s="8"/>
      <c r="P46" s="8"/>
      <c r="Q46" s="8"/>
      <c r="R46" s="7" t="s">
        <v>581</v>
      </c>
      <c r="S46" s="8"/>
      <c r="T46" s="7" t="s">
        <v>582</v>
      </c>
      <c r="V46" s="8"/>
      <c r="W46" s="8"/>
      <c r="X46" s="7" t="s">
        <v>583</v>
      </c>
      <c r="AA46" s="8"/>
      <c r="AB46" s="7" t="s">
        <v>584</v>
      </c>
      <c r="AC46" s="8"/>
      <c r="AD46" s="8"/>
      <c r="AE46" s="244">
        <f t="array" ref="AE46:AE54">(ROUNDUP(SEQUENCE(9,1)/3,0)*2)+55</f>
        <v>57</v>
      </c>
    </row>
    <row r="47" ht="15.75" customHeight="1">
      <c r="A47" s="219">
        <f>IFERROR(__xludf.DUMMYFUNCTION("""COMPUTED_VALUE"""),46.0)</f>
        <v>46</v>
      </c>
      <c r="B47" s="219">
        <f>IFERROR(__xludf.DUMMYFUNCTION("""COMPUTED_VALUE"""),7413.0)</f>
        <v>7413</v>
      </c>
      <c r="C47" s="219">
        <f t="shared" si="1"/>
        <v>136432</v>
      </c>
      <c r="D47" s="62">
        <v>46.0</v>
      </c>
      <c r="E47" s="61">
        <v>1379.0</v>
      </c>
      <c r="F47" s="62">
        <f t="shared" si="2"/>
        <v>128</v>
      </c>
      <c r="G47" s="62">
        <v>1.0</v>
      </c>
      <c r="I47" s="326" t="s">
        <v>585</v>
      </c>
      <c r="J47" s="327">
        <f>'EGO Old'!Z30</f>
        <v>0</v>
      </c>
      <c r="O47" s="8"/>
      <c r="P47" s="8"/>
      <c r="Q47" s="8"/>
      <c r="S47" s="8"/>
      <c r="T47" s="7" t="s">
        <v>586</v>
      </c>
      <c r="V47" s="8"/>
      <c r="W47" s="8"/>
      <c r="X47" s="7" t="s">
        <v>587</v>
      </c>
      <c r="Y47" s="54" t="s">
        <v>588</v>
      </c>
      <c r="Z47" s="8"/>
      <c r="AA47" s="8"/>
      <c r="AB47" s="7" t="s">
        <v>589</v>
      </c>
      <c r="AC47" s="8"/>
      <c r="AD47" s="8"/>
      <c r="AE47" s="8">
        <v>57.0</v>
      </c>
    </row>
    <row r="48" ht="15.75" customHeight="1">
      <c r="A48" s="219">
        <f>IFERROR(__xludf.DUMMYFUNCTION("""COMPUTED_VALUE"""),47.0)</f>
        <v>47</v>
      </c>
      <c r="B48" s="219">
        <f>IFERROR(__xludf.DUMMYFUNCTION("""COMPUTED_VALUE"""),7413.0)</f>
        <v>7413</v>
      </c>
      <c r="C48" s="219">
        <f t="shared" si="1"/>
        <v>143845</v>
      </c>
      <c r="D48" s="62">
        <v>47.0</v>
      </c>
      <c r="E48" s="61">
        <v>1436.0</v>
      </c>
      <c r="F48" s="62">
        <f t="shared" si="2"/>
        <v>128</v>
      </c>
      <c r="G48" s="62">
        <v>0.0</v>
      </c>
      <c r="I48" s="328" t="s">
        <v>590</v>
      </c>
      <c r="J48" s="329">
        <f>'EGO Old'!Z33</f>
        <v>0</v>
      </c>
      <c r="O48" s="8"/>
      <c r="P48" s="8"/>
      <c r="Q48" s="8"/>
      <c r="R48" s="7" t="s">
        <v>591</v>
      </c>
      <c r="S48" s="8"/>
      <c r="T48" s="7" t="s">
        <v>592</v>
      </c>
      <c r="U48" s="8"/>
      <c r="V48" s="8"/>
      <c r="W48" s="8"/>
      <c r="Y48" s="7" t="s">
        <v>593</v>
      </c>
      <c r="Z48" s="8"/>
      <c r="AA48" s="8"/>
      <c r="AC48" s="8"/>
      <c r="AD48" s="8"/>
      <c r="AE48" s="8">
        <v>57.0</v>
      </c>
    </row>
    <row r="49" ht="15.75" customHeight="1">
      <c r="A49" s="219">
        <f>IFERROR(__xludf.DUMMYFUNCTION("""COMPUTED_VALUE"""),48.0)</f>
        <v>48</v>
      </c>
      <c r="B49" s="219">
        <f>IFERROR(__xludf.DUMMYFUNCTION("""COMPUTED_VALUE"""),7413.0)</f>
        <v>7413</v>
      </c>
      <c r="C49" s="219">
        <f t="shared" si="1"/>
        <v>151258</v>
      </c>
      <c r="D49" s="62">
        <v>48.0</v>
      </c>
      <c r="E49" s="61">
        <v>1495.0</v>
      </c>
      <c r="F49" s="62">
        <f t="shared" si="2"/>
        <v>129</v>
      </c>
      <c r="G49" s="62">
        <v>1.0</v>
      </c>
      <c r="I49" s="330" t="s">
        <v>594</v>
      </c>
      <c r="J49" s="331">
        <f>'EGO Old'!Z36</f>
        <v>0</v>
      </c>
      <c r="O49" s="8"/>
      <c r="P49" s="8"/>
      <c r="Q49" s="8"/>
      <c r="R49" s="7" t="s">
        <v>595</v>
      </c>
      <c r="S49" s="8"/>
      <c r="T49" s="7" t="s">
        <v>596</v>
      </c>
      <c r="U49" s="8"/>
      <c r="V49" s="8"/>
      <c r="W49" s="8"/>
      <c r="X49" s="7" t="s">
        <v>597</v>
      </c>
      <c r="Y49" s="7" t="s">
        <v>598</v>
      </c>
      <c r="Z49" s="8"/>
      <c r="AA49" s="8"/>
      <c r="AB49" s="7" t="s">
        <v>599</v>
      </c>
      <c r="AC49" s="8"/>
      <c r="AD49" s="8"/>
      <c r="AE49" s="8">
        <v>59.0</v>
      </c>
    </row>
    <row r="50" ht="15.75" customHeight="1">
      <c r="A50" s="219">
        <f>IFERROR(__xludf.DUMMYFUNCTION("""COMPUTED_VALUE"""),49.0)</f>
        <v>49</v>
      </c>
      <c r="B50" s="219">
        <f>IFERROR(__xludf.DUMMYFUNCTION("""COMPUTED_VALUE"""),7413.0)</f>
        <v>7413</v>
      </c>
      <c r="C50" s="219">
        <f t="shared" si="1"/>
        <v>158671</v>
      </c>
      <c r="D50" s="62">
        <v>49.0</v>
      </c>
      <c r="E50" s="61">
        <v>1554.0</v>
      </c>
      <c r="F50" s="62">
        <f t="shared" si="2"/>
        <v>129</v>
      </c>
      <c r="G50" s="62">
        <v>0.0</v>
      </c>
      <c r="I50" s="332" t="s">
        <v>600</v>
      </c>
      <c r="J50" s="333">
        <f>'EGO Old'!Z39</f>
        <v>125</v>
      </c>
      <c r="O50" s="8"/>
      <c r="P50" s="8"/>
      <c r="Q50" s="8"/>
      <c r="R50" s="8"/>
      <c r="S50" s="8"/>
      <c r="T50" s="8"/>
      <c r="U50" s="8"/>
      <c r="V50" s="8"/>
      <c r="W50" s="8"/>
      <c r="X50" s="7" t="s">
        <v>601</v>
      </c>
      <c r="Y50" s="7" t="s">
        <v>602</v>
      </c>
      <c r="Z50" s="8"/>
      <c r="AB50" s="7" t="s">
        <v>603</v>
      </c>
      <c r="AC50" s="8"/>
      <c r="AD50" s="8"/>
      <c r="AE50" s="8">
        <v>59.0</v>
      </c>
    </row>
    <row r="51" ht="15.75" customHeight="1">
      <c r="A51" s="219">
        <f>IFERROR(__xludf.DUMMYFUNCTION("""COMPUTED_VALUE"""),50.0)</f>
        <v>50</v>
      </c>
      <c r="B51" s="219">
        <f>IFERROR(__xludf.DUMMYFUNCTION("""COMPUTED_VALUE"""),7413.0)</f>
        <v>7413</v>
      </c>
      <c r="C51" s="219">
        <f t="shared" si="1"/>
        <v>166084</v>
      </c>
      <c r="D51" s="62">
        <v>50.0</v>
      </c>
      <c r="E51" s="61">
        <v>1613.0</v>
      </c>
      <c r="F51" s="62">
        <f t="shared" si="2"/>
        <v>130</v>
      </c>
      <c r="G51" s="62">
        <v>1.0</v>
      </c>
      <c r="I51" s="46" t="s">
        <v>604</v>
      </c>
      <c r="J51" s="334">
        <f>SUM(J47:J50)</f>
        <v>125</v>
      </c>
      <c r="O51" s="8"/>
      <c r="P51" s="8"/>
      <c r="Q51" s="8"/>
      <c r="R51" s="8"/>
      <c r="S51" s="8"/>
      <c r="T51" s="7" t="s">
        <v>605</v>
      </c>
      <c r="U51" s="8"/>
      <c r="V51" s="8"/>
      <c r="W51" s="8"/>
      <c r="X51" s="7" t="s">
        <v>606</v>
      </c>
      <c r="Z51" s="8"/>
      <c r="AA51" s="8"/>
      <c r="AB51" s="7" t="s">
        <v>607</v>
      </c>
      <c r="AC51" s="8"/>
      <c r="AD51" s="8"/>
      <c r="AE51" s="8">
        <v>59.0</v>
      </c>
    </row>
    <row r="52" ht="15.75" customHeight="1">
      <c r="A52" s="219">
        <f>IFERROR(__xludf.DUMMYFUNCTION("""COMPUTED_VALUE"""),51.0)</f>
        <v>51</v>
      </c>
      <c r="B52" s="219">
        <f>IFERROR(__xludf.DUMMYFUNCTION("""COMPUTED_VALUE"""),8156.0)</f>
        <v>8156</v>
      </c>
      <c r="C52" s="219">
        <f t="shared" si="1"/>
        <v>174240</v>
      </c>
      <c r="D52" s="62">
        <v>51.0</v>
      </c>
      <c r="E52" s="61">
        <v>1674.0</v>
      </c>
      <c r="F52" s="62">
        <f t="shared" si="2"/>
        <v>130</v>
      </c>
      <c r="G52" s="62">
        <v>0.0</v>
      </c>
      <c r="O52" s="8"/>
      <c r="P52" s="8"/>
      <c r="Q52" s="8"/>
      <c r="R52" s="8"/>
      <c r="S52" s="8"/>
      <c r="T52" s="7" t="s">
        <v>608</v>
      </c>
      <c r="V52" s="8"/>
      <c r="W52" s="8"/>
      <c r="Y52" s="7" t="s">
        <v>609</v>
      </c>
      <c r="Z52" s="8"/>
      <c r="AA52" s="8"/>
      <c r="AC52" s="8"/>
      <c r="AD52" s="8"/>
      <c r="AE52" s="8">
        <v>61.0</v>
      </c>
    </row>
    <row r="53" ht="15.75" customHeight="1">
      <c r="A53" s="219">
        <f>IFERROR(__xludf.DUMMYFUNCTION("""COMPUTED_VALUE"""),52.0)</f>
        <v>52</v>
      </c>
      <c r="B53" s="219">
        <f>IFERROR(__xludf.DUMMYFUNCTION("""COMPUTED_VALUE"""),8156.0)</f>
        <v>8156</v>
      </c>
      <c r="C53" s="219">
        <f t="shared" si="1"/>
        <v>182396</v>
      </c>
      <c r="D53" s="62">
        <v>52.0</v>
      </c>
      <c r="E53" s="61">
        <v>1735.0</v>
      </c>
      <c r="F53" s="62">
        <f t="shared" si="2"/>
        <v>131</v>
      </c>
      <c r="G53" s="62">
        <v>1.0</v>
      </c>
      <c r="O53" s="8"/>
      <c r="P53" s="8"/>
      <c r="Q53" s="8"/>
      <c r="R53" s="8"/>
      <c r="S53" s="8"/>
      <c r="T53" s="7" t="s">
        <v>610</v>
      </c>
      <c r="V53" s="8"/>
      <c r="W53" s="8"/>
      <c r="X53" s="7" t="s">
        <v>611</v>
      </c>
      <c r="Y53" s="7" t="s">
        <v>612</v>
      </c>
      <c r="Z53" s="8"/>
      <c r="AA53" s="8"/>
      <c r="AB53" s="7" t="s">
        <v>613</v>
      </c>
      <c r="AC53" s="8"/>
      <c r="AD53" s="8"/>
      <c r="AE53" s="8">
        <v>61.0</v>
      </c>
    </row>
    <row r="54" ht="15.75" customHeight="1">
      <c r="A54" s="219">
        <f>IFERROR(__xludf.DUMMYFUNCTION("""COMPUTED_VALUE"""),53.0)</f>
        <v>53</v>
      </c>
      <c r="B54" s="219">
        <f>IFERROR(__xludf.DUMMYFUNCTION("""COMPUTED_VALUE"""),8156.0)</f>
        <v>8156</v>
      </c>
      <c r="C54" s="219">
        <f t="shared" si="1"/>
        <v>190552</v>
      </c>
      <c r="D54" s="62">
        <v>53.0</v>
      </c>
      <c r="E54" s="61">
        <v>1796.0</v>
      </c>
      <c r="F54" s="62">
        <f t="shared" si="2"/>
        <v>131</v>
      </c>
      <c r="G54" s="62">
        <v>0.0</v>
      </c>
      <c r="O54" s="8"/>
      <c r="P54" s="8"/>
      <c r="Q54" s="8"/>
      <c r="R54" s="8"/>
      <c r="S54" s="8"/>
      <c r="T54" s="7" t="s">
        <v>614</v>
      </c>
      <c r="U54" s="8"/>
      <c r="V54" s="8"/>
      <c r="W54" s="8"/>
      <c r="Y54" s="26" t="s">
        <v>615</v>
      </c>
      <c r="Z54" s="8"/>
      <c r="AA54" s="8"/>
      <c r="AB54" s="7" t="s">
        <v>616</v>
      </c>
      <c r="AC54" s="8"/>
      <c r="AD54" s="8"/>
      <c r="AE54" s="8">
        <v>61.0</v>
      </c>
    </row>
    <row r="55" ht="15.75" customHeight="1">
      <c r="A55" s="219">
        <f>IFERROR(__xludf.DUMMYFUNCTION("""COMPUTED_VALUE"""),54.0)</f>
        <v>54</v>
      </c>
      <c r="B55" s="219">
        <f>IFERROR(__xludf.DUMMYFUNCTION("""COMPUTED_VALUE"""),8156.0)</f>
        <v>8156</v>
      </c>
      <c r="C55" s="219">
        <f t="shared" si="1"/>
        <v>198708</v>
      </c>
      <c r="D55" s="62">
        <v>54.0</v>
      </c>
      <c r="E55" s="61">
        <v>1860.0</v>
      </c>
      <c r="F55" s="62">
        <f t="shared" si="2"/>
        <v>132</v>
      </c>
      <c r="G55" s="62">
        <v>1.0</v>
      </c>
      <c r="O55" s="8"/>
      <c r="P55" s="8"/>
      <c r="Q55" s="8"/>
      <c r="R55" s="8"/>
      <c r="S55" s="8"/>
      <c r="T55" s="7" t="s">
        <v>617</v>
      </c>
      <c r="U55" s="8"/>
      <c r="V55" s="8"/>
      <c r="W55" s="8"/>
      <c r="X55" s="7" t="s">
        <v>618</v>
      </c>
      <c r="Y55" s="7" t="s">
        <v>619</v>
      </c>
      <c r="Z55" s="8"/>
      <c r="AA55" s="8"/>
      <c r="AB55" s="7" t="s">
        <v>620</v>
      </c>
      <c r="AC55" s="8"/>
      <c r="AD55" s="8"/>
      <c r="AE55" s="244">
        <f t="array" ref="AE55:AE57">(ROUNDUP(SEQUENCE(3,1)/3,0)*2)+62</f>
        <v>64</v>
      </c>
    </row>
    <row r="56" ht="15.75" customHeight="1">
      <c r="A56" s="219">
        <f>IFERROR(__xludf.DUMMYFUNCTION("""COMPUTED_VALUE"""),55.0)</f>
        <v>55</v>
      </c>
      <c r="B56" s="219">
        <f>IFERROR(__xludf.DUMMYFUNCTION("""COMPUTED_VALUE"""),8156.0)</f>
        <v>8156</v>
      </c>
      <c r="C56" s="219">
        <f t="shared" si="1"/>
        <v>206864</v>
      </c>
      <c r="D56" s="62">
        <v>55.0</v>
      </c>
      <c r="E56" s="61">
        <v>1924.0</v>
      </c>
      <c r="F56" s="62">
        <f t="shared" si="2"/>
        <v>132</v>
      </c>
      <c r="G56" s="62">
        <v>0.0</v>
      </c>
      <c r="O56" s="8"/>
      <c r="P56" s="8"/>
      <c r="Q56" s="8"/>
      <c r="R56" s="8"/>
      <c r="S56" s="8"/>
      <c r="T56" s="7" t="s">
        <v>621</v>
      </c>
      <c r="V56" s="8"/>
      <c r="W56" s="8"/>
      <c r="X56" s="7" t="s">
        <v>622</v>
      </c>
      <c r="Y56" s="7" t="s">
        <v>623</v>
      </c>
      <c r="AA56" s="8"/>
      <c r="AB56" s="7" t="s">
        <v>624</v>
      </c>
      <c r="AC56" s="8"/>
      <c r="AD56" s="8"/>
      <c r="AE56" s="8">
        <v>64.0</v>
      </c>
    </row>
    <row r="57" ht="15.75" customHeight="1">
      <c r="A57" s="219">
        <f>IFERROR(__xludf.DUMMYFUNCTION("""COMPUTED_VALUE"""),56.0)</f>
        <v>56</v>
      </c>
      <c r="B57" s="219">
        <f>IFERROR(__xludf.DUMMYFUNCTION("""COMPUTED_VALUE"""),8953.0)</f>
        <v>8953</v>
      </c>
      <c r="C57" s="219">
        <f t="shared" si="1"/>
        <v>215817</v>
      </c>
      <c r="D57" s="62">
        <v>56.0</v>
      </c>
      <c r="E57" s="61">
        <v>1988.0</v>
      </c>
      <c r="F57" s="62">
        <f t="shared" si="2"/>
        <v>133</v>
      </c>
      <c r="G57" s="62">
        <v>1.0</v>
      </c>
      <c r="O57" s="8"/>
      <c r="P57" s="8"/>
      <c r="Q57" s="8"/>
      <c r="R57" s="8"/>
      <c r="S57" s="8"/>
      <c r="T57" s="8"/>
      <c r="U57" s="8"/>
      <c r="V57" s="8"/>
      <c r="W57" s="8"/>
      <c r="X57" s="7" t="s">
        <v>625</v>
      </c>
      <c r="Y57" s="7" t="s">
        <v>626</v>
      </c>
      <c r="AA57" s="8"/>
      <c r="AB57" s="7" t="s">
        <v>627</v>
      </c>
      <c r="AC57" s="8"/>
      <c r="AD57" s="8"/>
      <c r="AE57" s="8">
        <v>64.0</v>
      </c>
    </row>
    <row r="58" ht="15.75" customHeight="1">
      <c r="A58" s="219">
        <f>IFERROR(__xludf.DUMMYFUNCTION("""COMPUTED_VALUE"""),57.0)</f>
        <v>57</v>
      </c>
      <c r="B58" s="219">
        <f>IFERROR(__xludf.DUMMYFUNCTION("""COMPUTED_VALUE"""),8953.0)</f>
        <v>8953</v>
      </c>
      <c r="C58" s="219">
        <f t="shared" si="1"/>
        <v>224770</v>
      </c>
      <c r="D58" s="62">
        <v>57.0</v>
      </c>
      <c r="E58" s="61">
        <v>2062.0</v>
      </c>
      <c r="F58" s="62">
        <f t="shared" si="2"/>
        <v>133</v>
      </c>
      <c r="G58" s="62">
        <v>0.0</v>
      </c>
      <c r="O58" s="8"/>
      <c r="P58" s="8"/>
      <c r="Q58" s="8"/>
      <c r="R58" s="8"/>
      <c r="S58" s="8"/>
      <c r="T58" s="7" t="s">
        <v>628</v>
      </c>
      <c r="U58" s="8"/>
      <c r="V58" s="8"/>
      <c r="W58" s="8"/>
      <c r="AA58" s="8"/>
      <c r="AC58" s="8"/>
      <c r="AD58" s="8"/>
      <c r="AE58" s="244">
        <f t="array" ref="AE58:AE69">(ROUNDUP(SEQUENCE(12,1)/3,0)*2)+72</f>
        <v>74</v>
      </c>
    </row>
    <row r="59" ht="15.75" customHeight="1">
      <c r="A59" s="219">
        <f>IFERROR(__xludf.DUMMYFUNCTION("""COMPUTED_VALUE"""),58.0)</f>
        <v>58</v>
      </c>
      <c r="B59" s="219">
        <f>IFERROR(__xludf.DUMMYFUNCTION("""COMPUTED_VALUE"""),8953.0)</f>
        <v>8953</v>
      </c>
      <c r="C59" s="219">
        <f t="shared" si="1"/>
        <v>233723</v>
      </c>
      <c r="D59" s="62">
        <v>58.0</v>
      </c>
      <c r="E59" s="61">
        <v>2136.0</v>
      </c>
      <c r="F59" s="62">
        <f t="shared" si="2"/>
        <v>134</v>
      </c>
      <c r="G59" s="62">
        <v>1.0</v>
      </c>
      <c r="O59" s="8"/>
      <c r="P59" s="8"/>
      <c r="Q59" s="8"/>
      <c r="R59" s="8"/>
      <c r="S59" s="8"/>
      <c r="T59" s="7" t="s">
        <v>629</v>
      </c>
      <c r="V59" s="8"/>
      <c r="W59" s="8"/>
      <c r="Y59" s="7" t="s">
        <v>630</v>
      </c>
      <c r="AA59" s="8"/>
      <c r="AB59" s="7" t="s">
        <v>631</v>
      </c>
      <c r="AC59" s="8"/>
      <c r="AD59" s="8"/>
      <c r="AE59" s="8">
        <v>74.0</v>
      </c>
    </row>
    <row r="60" ht="15.75" customHeight="1">
      <c r="A60" s="219">
        <f>IFERROR(__xludf.DUMMYFUNCTION("""COMPUTED_VALUE"""),59.0)</f>
        <v>59</v>
      </c>
      <c r="B60" s="219">
        <f>IFERROR(__xludf.DUMMYFUNCTION("""COMPUTED_VALUE"""),8953.0)</f>
        <v>8953</v>
      </c>
      <c r="C60" s="219">
        <f t="shared" si="1"/>
        <v>242676</v>
      </c>
      <c r="D60" s="62">
        <v>59.0</v>
      </c>
      <c r="E60" s="61">
        <v>2210.0</v>
      </c>
      <c r="F60" s="62">
        <f t="shared" si="2"/>
        <v>134</v>
      </c>
      <c r="G60" s="62">
        <v>0.0</v>
      </c>
      <c r="O60" s="8"/>
      <c r="P60" s="8"/>
      <c r="Q60" s="8"/>
      <c r="R60" s="8"/>
      <c r="S60" s="8"/>
      <c r="T60" s="7" t="s">
        <v>632</v>
      </c>
      <c r="V60" s="8"/>
      <c r="W60" s="8"/>
      <c r="X60" s="7" t="s">
        <v>633</v>
      </c>
      <c r="Y60" s="7" t="s">
        <v>634</v>
      </c>
      <c r="AA60" s="8"/>
      <c r="AB60" s="7" t="s">
        <v>635</v>
      </c>
      <c r="AC60" s="8"/>
      <c r="AD60" s="8"/>
      <c r="AE60" s="8">
        <v>74.0</v>
      </c>
    </row>
    <row r="61" ht="15.75" customHeight="1">
      <c r="A61" s="219">
        <f>IFERROR(__xludf.DUMMYFUNCTION("""COMPUTED_VALUE"""),60.0)</f>
        <v>60</v>
      </c>
      <c r="B61" s="219">
        <f>IFERROR(__xludf.DUMMYFUNCTION("""COMPUTED_VALUE"""),8953.0)</f>
        <v>8953</v>
      </c>
      <c r="C61" s="219">
        <f t="shared" si="1"/>
        <v>251629</v>
      </c>
      <c r="D61" s="62">
        <v>60.0</v>
      </c>
      <c r="E61" s="61">
        <v>2286.0</v>
      </c>
      <c r="F61" s="62">
        <f t="shared" si="2"/>
        <v>135</v>
      </c>
      <c r="G61" s="62">
        <v>1.0</v>
      </c>
      <c r="O61" s="8"/>
      <c r="P61" s="8"/>
      <c r="Q61" s="8"/>
      <c r="R61" s="8"/>
      <c r="S61" s="8"/>
      <c r="T61" s="7" t="s">
        <v>636</v>
      </c>
      <c r="V61" s="8"/>
      <c r="W61" s="8"/>
      <c r="Y61" s="7" t="s">
        <v>637</v>
      </c>
      <c r="AA61" s="8"/>
      <c r="AB61" s="7" t="s">
        <v>638</v>
      </c>
      <c r="AC61" s="8"/>
      <c r="AD61" s="8"/>
      <c r="AE61" s="8">
        <v>76.0</v>
      </c>
    </row>
    <row r="62" ht="15.75" customHeight="1">
      <c r="A62" s="219">
        <f t="array" ref="A62:A101">SEQUENCE(40,1)+60
</f>
        <v>61</v>
      </c>
      <c r="B62" s="8">
        <f t="array" ref="B62:B66">SEQUENCE(5, 1, 9696, 0)
</f>
        <v>9696</v>
      </c>
      <c r="C62" s="219">
        <f t="shared" si="1"/>
        <v>261325</v>
      </c>
      <c r="D62" s="62">
        <v>61.0</v>
      </c>
      <c r="E62" s="61">
        <v>2362.0</v>
      </c>
      <c r="F62" s="62">
        <f t="shared" si="2"/>
        <v>135</v>
      </c>
      <c r="G62" s="62">
        <v>0.0</v>
      </c>
      <c r="O62" s="8"/>
      <c r="P62" s="8"/>
      <c r="Q62" s="8"/>
      <c r="R62" s="8"/>
      <c r="S62" s="8"/>
      <c r="T62" s="7" t="s">
        <v>639</v>
      </c>
      <c r="V62" s="8"/>
      <c r="W62" s="8"/>
      <c r="X62" s="7" t="s">
        <v>640</v>
      </c>
      <c r="Y62" s="7" t="s">
        <v>641</v>
      </c>
      <c r="Z62" s="8"/>
      <c r="AA62" s="8"/>
      <c r="AC62" s="8"/>
      <c r="AD62" s="8"/>
      <c r="AE62" s="8">
        <v>76.0</v>
      </c>
    </row>
    <row r="63" ht="15.75" customHeight="1">
      <c r="A63" s="219">
        <v>62.0</v>
      </c>
      <c r="B63" s="8">
        <v>9696.0</v>
      </c>
      <c r="C63" s="219">
        <f t="shared" si="1"/>
        <v>271021</v>
      </c>
      <c r="D63" s="62">
        <v>62.0</v>
      </c>
      <c r="E63" s="61">
        <v>2438.0</v>
      </c>
      <c r="F63" s="62">
        <f t="shared" si="2"/>
        <v>136</v>
      </c>
      <c r="G63" s="62">
        <v>1.0</v>
      </c>
      <c r="O63" s="8"/>
      <c r="P63" s="8"/>
      <c r="Q63" s="8"/>
      <c r="R63" s="8"/>
      <c r="S63" s="8"/>
      <c r="U63" s="8"/>
      <c r="V63" s="8"/>
      <c r="W63" s="8"/>
      <c r="X63" s="7" t="s">
        <v>642</v>
      </c>
      <c r="Y63" s="8"/>
      <c r="AA63" s="8"/>
      <c r="AB63" s="8"/>
      <c r="AC63" s="8"/>
      <c r="AD63" s="8"/>
      <c r="AE63" s="8">
        <v>76.0</v>
      </c>
    </row>
    <row r="64" ht="15.75" customHeight="1">
      <c r="A64" s="219">
        <v>63.0</v>
      </c>
      <c r="B64" s="8">
        <v>9696.0</v>
      </c>
      <c r="C64" s="219">
        <f t="shared" si="1"/>
        <v>280717</v>
      </c>
      <c r="D64" s="62">
        <v>63.0</v>
      </c>
      <c r="E64" s="61">
        <v>2516.0</v>
      </c>
      <c r="F64" s="62">
        <f t="shared" si="2"/>
        <v>136</v>
      </c>
      <c r="G64" s="62">
        <v>0.0</v>
      </c>
      <c r="O64" s="8"/>
      <c r="P64" s="8"/>
      <c r="Q64" s="8"/>
      <c r="R64" s="8"/>
      <c r="S64" s="8"/>
      <c r="U64" s="8"/>
      <c r="V64" s="8"/>
      <c r="W64" s="8"/>
      <c r="Y64" s="7" t="s">
        <v>643</v>
      </c>
      <c r="AA64" s="8"/>
      <c r="AB64" s="8"/>
      <c r="AC64" s="8"/>
      <c r="AD64" s="8"/>
      <c r="AE64" s="8">
        <v>78.0</v>
      </c>
    </row>
    <row r="65" ht="15.75" customHeight="1">
      <c r="A65" s="219">
        <v>64.0</v>
      </c>
      <c r="B65" s="8">
        <v>9696.0</v>
      </c>
      <c r="C65" s="219">
        <f t="shared" si="1"/>
        <v>290413</v>
      </c>
      <c r="D65" s="62">
        <v>64.0</v>
      </c>
      <c r="E65" s="61">
        <v>2594.0</v>
      </c>
      <c r="F65" s="62">
        <f t="shared" si="2"/>
        <v>137</v>
      </c>
      <c r="G65" s="62">
        <v>1.0</v>
      </c>
      <c r="O65" s="8"/>
      <c r="P65" s="8"/>
      <c r="Q65" s="8"/>
      <c r="R65" s="8"/>
      <c r="S65" s="8"/>
      <c r="U65" s="8"/>
      <c r="V65" s="8"/>
      <c r="W65" s="8"/>
      <c r="X65" s="7" t="s">
        <v>644</v>
      </c>
      <c r="Y65" s="7" t="s">
        <v>645</v>
      </c>
      <c r="AA65" s="8"/>
      <c r="AB65" s="8"/>
      <c r="AC65" s="8"/>
      <c r="AD65" s="8"/>
      <c r="AE65" s="8">
        <v>78.0</v>
      </c>
    </row>
    <row r="66" ht="15.75" customHeight="1">
      <c r="A66" s="219">
        <v>65.0</v>
      </c>
      <c r="B66" s="8">
        <v>9696.0</v>
      </c>
      <c r="C66" s="219">
        <f t="shared" si="1"/>
        <v>300109</v>
      </c>
      <c r="D66" s="62">
        <v>65.0</v>
      </c>
      <c r="E66" s="61">
        <v>2672.0</v>
      </c>
      <c r="F66" s="62">
        <f t="shared" si="2"/>
        <v>137</v>
      </c>
      <c r="G66" s="62">
        <v>0.0</v>
      </c>
      <c r="O66" s="8"/>
      <c r="P66" s="8"/>
      <c r="Q66" s="8"/>
      <c r="R66" s="8"/>
      <c r="S66" s="8"/>
      <c r="V66" s="8"/>
      <c r="W66" s="8"/>
      <c r="X66" s="7" t="s">
        <v>646</v>
      </c>
      <c r="Y66" s="7" t="s">
        <v>647</v>
      </c>
      <c r="AA66" s="8"/>
      <c r="AB66" s="8"/>
      <c r="AC66" s="8"/>
      <c r="AD66" s="8"/>
      <c r="AE66" s="8">
        <v>78.0</v>
      </c>
    </row>
    <row r="67" ht="15.75" customHeight="1">
      <c r="A67" s="219">
        <v>66.0</v>
      </c>
      <c r="B67" s="8"/>
      <c r="C67" s="219">
        <f t="shared" si="1"/>
        <v>300109</v>
      </c>
      <c r="D67" s="62">
        <v>66.0</v>
      </c>
      <c r="E67" s="61">
        <v>2752.0</v>
      </c>
      <c r="F67" s="62">
        <f t="shared" si="2"/>
        <v>138</v>
      </c>
      <c r="G67" s="62">
        <v>1.0</v>
      </c>
      <c r="O67" s="8"/>
      <c r="P67" s="8"/>
      <c r="Q67" s="8"/>
      <c r="R67" s="8"/>
      <c r="S67" s="8"/>
      <c r="V67" s="8"/>
      <c r="W67" s="8"/>
      <c r="Y67" s="7" t="s">
        <v>648</v>
      </c>
      <c r="AA67" s="8"/>
      <c r="AB67" s="8"/>
      <c r="AC67" s="8"/>
      <c r="AD67" s="8"/>
      <c r="AE67" s="8">
        <v>80.0</v>
      </c>
    </row>
    <row r="68" ht="15.75" customHeight="1">
      <c r="A68" s="219">
        <v>67.0</v>
      </c>
      <c r="B68" s="8"/>
      <c r="C68" s="219">
        <f t="shared" si="1"/>
        <v>300109</v>
      </c>
      <c r="D68" s="62">
        <v>67.0</v>
      </c>
      <c r="E68" s="61">
        <v>2832.0</v>
      </c>
      <c r="F68" s="62">
        <f t="shared" si="2"/>
        <v>138</v>
      </c>
      <c r="G68" s="62">
        <v>0.0</v>
      </c>
      <c r="O68" s="8"/>
      <c r="P68" s="8"/>
      <c r="Q68" s="8"/>
      <c r="R68" s="8"/>
      <c r="S68" s="8"/>
      <c r="V68" s="8"/>
      <c r="W68" s="8"/>
      <c r="Y68" s="7" t="s">
        <v>649</v>
      </c>
      <c r="AA68" s="8"/>
      <c r="AB68" s="8"/>
      <c r="AC68" s="8"/>
      <c r="AD68" s="8"/>
      <c r="AE68" s="8">
        <v>80.0</v>
      </c>
    </row>
    <row r="69" ht="15.75" customHeight="1">
      <c r="A69" s="219">
        <v>68.0</v>
      </c>
      <c r="B69" s="8"/>
      <c r="C69" s="219">
        <f t="shared" si="1"/>
        <v>300109</v>
      </c>
      <c r="D69" s="62">
        <v>68.0</v>
      </c>
      <c r="E69" s="61">
        <v>2912.0</v>
      </c>
      <c r="F69" s="62">
        <f t="shared" si="2"/>
        <v>139</v>
      </c>
      <c r="G69" s="62">
        <v>1.0</v>
      </c>
      <c r="O69" s="8"/>
      <c r="P69" s="8"/>
      <c r="Q69" s="8"/>
      <c r="R69" s="8"/>
      <c r="S69" s="8"/>
      <c r="V69" s="8"/>
      <c r="W69" s="8"/>
      <c r="X69" s="7" t="s">
        <v>650</v>
      </c>
      <c r="AA69" s="8"/>
      <c r="AB69" s="8"/>
      <c r="AC69" s="8"/>
      <c r="AD69" s="8"/>
      <c r="AE69" s="8">
        <v>80.0</v>
      </c>
    </row>
    <row r="70" ht="15.75" customHeight="1">
      <c r="A70" s="219">
        <v>69.0</v>
      </c>
      <c r="B70" s="8"/>
      <c r="C70" s="219">
        <f t="shared" si="1"/>
        <v>300109</v>
      </c>
      <c r="D70" s="62">
        <v>69.0</v>
      </c>
      <c r="E70" s="61">
        <v>3000.0</v>
      </c>
      <c r="F70" s="62">
        <f t="shared" si="2"/>
        <v>139</v>
      </c>
      <c r="G70" s="62">
        <v>0.0</v>
      </c>
      <c r="O70" s="8"/>
      <c r="P70" s="8"/>
      <c r="Q70" s="8"/>
      <c r="R70" s="8"/>
      <c r="S70" s="8"/>
      <c r="V70" s="8"/>
      <c r="W70" s="8"/>
      <c r="X70" s="7" t="s">
        <v>651</v>
      </c>
      <c r="AA70" s="8"/>
      <c r="AB70" s="8"/>
      <c r="AC70" s="8"/>
      <c r="AD70" s="8"/>
      <c r="AE70" s="244">
        <f t="array" ref="AE70:AE81">(ROUNDUP(SEQUENCE(12,1)/3,0)*2)+86</f>
        <v>88</v>
      </c>
    </row>
    <row r="71" ht="15.75" customHeight="1">
      <c r="A71" s="219">
        <v>70.0</v>
      </c>
      <c r="B71" s="8"/>
      <c r="C71" s="219">
        <f t="shared" si="1"/>
        <v>300109</v>
      </c>
      <c r="D71" s="62">
        <v>70.0</v>
      </c>
      <c r="E71" s="61">
        <v>3088.0</v>
      </c>
      <c r="F71" s="35">
        <f t="shared" si="2"/>
        <v>140</v>
      </c>
      <c r="G71" s="335">
        <f t="array" ref="G71:G401">MOD(MOD(SEQUENCE(331, 1, 1), 3), 2)</f>
        <v>1</v>
      </c>
      <c r="O71" s="8"/>
      <c r="P71" s="8"/>
      <c r="Q71" s="8"/>
      <c r="R71" s="8"/>
      <c r="S71" s="8"/>
      <c r="V71" s="8"/>
      <c r="W71" s="8"/>
      <c r="Z71" s="8"/>
      <c r="AA71" s="8"/>
      <c r="AB71" s="8"/>
      <c r="AC71" s="8"/>
      <c r="AD71" s="8"/>
      <c r="AE71" s="8">
        <v>88.0</v>
      </c>
    </row>
    <row r="72" ht="15.75" customHeight="1">
      <c r="A72" s="219">
        <v>71.0</v>
      </c>
      <c r="B72" s="8"/>
      <c r="C72" s="219">
        <f t="shared" si="1"/>
        <v>300109</v>
      </c>
      <c r="D72" s="62">
        <v>71.0</v>
      </c>
      <c r="E72" s="61">
        <v>3176.0</v>
      </c>
      <c r="F72" s="62">
        <f t="shared" si="2"/>
        <v>140</v>
      </c>
      <c r="G72" s="62">
        <v>0.0</v>
      </c>
      <c r="O72" s="8"/>
      <c r="P72" s="8"/>
      <c r="Q72" s="8"/>
      <c r="R72" s="8"/>
      <c r="S72" s="8"/>
      <c r="T72" s="8"/>
      <c r="U72" s="8"/>
      <c r="V72" s="8"/>
      <c r="W72" s="8"/>
      <c r="X72" s="8"/>
      <c r="Z72" s="8"/>
      <c r="AA72" s="8"/>
      <c r="AB72" s="8"/>
      <c r="AC72" s="8"/>
      <c r="AD72" s="8"/>
      <c r="AE72" s="8">
        <v>88.0</v>
      </c>
    </row>
    <row r="73" ht="15.75" customHeight="1">
      <c r="A73" s="219">
        <v>72.0</v>
      </c>
      <c r="B73" s="8"/>
      <c r="C73" s="219">
        <f t="shared" si="1"/>
        <v>300109</v>
      </c>
      <c r="D73" s="62">
        <v>72.0</v>
      </c>
      <c r="E73" s="61">
        <v>3266.0</v>
      </c>
      <c r="F73" s="62">
        <f t="shared" si="2"/>
        <v>140</v>
      </c>
      <c r="G73" s="62">
        <v>0.0</v>
      </c>
      <c r="O73" s="8"/>
      <c r="P73" s="8"/>
      <c r="Q73" s="8"/>
      <c r="R73" s="8"/>
      <c r="S73" s="8"/>
      <c r="T73" s="8"/>
      <c r="U73" s="8"/>
      <c r="V73" s="8"/>
      <c r="W73" s="8"/>
      <c r="X73" s="8"/>
      <c r="Z73" s="8"/>
      <c r="AA73" s="8"/>
      <c r="AB73" s="8"/>
      <c r="AC73" s="8"/>
      <c r="AD73" s="8"/>
      <c r="AE73" s="8">
        <v>90.0</v>
      </c>
    </row>
    <row r="74" ht="15.75" customHeight="1">
      <c r="A74" s="219">
        <v>73.0</v>
      </c>
      <c r="B74" s="8"/>
      <c r="C74" s="219">
        <f t="shared" si="1"/>
        <v>300109</v>
      </c>
      <c r="D74" s="62">
        <v>73.0</v>
      </c>
      <c r="E74" s="61">
        <v>3356.0</v>
      </c>
      <c r="F74" s="62">
        <f t="shared" si="2"/>
        <v>141</v>
      </c>
      <c r="G74" s="62">
        <v>1.0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>
        <v>90.0</v>
      </c>
    </row>
    <row r="75" ht="15.75" customHeight="1">
      <c r="A75" s="219">
        <v>74.0</v>
      </c>
      <c r="B75" s="8"/>
      <c r="C75" s="219">
        <f t="shared" si="1"/>
        <v>300109</v>
      </c>
      <c r="D75" s="62">
        <v>74.0</v>
      </c>
      <c r="E75" s="61">
        <v>3446.0</v>
      </c>
      <c r="F75" s="62">
        <f t="shared" si="2"/>
        <v>141</v>
      </c>
      <c r="G75" s="62">
        <v>0.0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>
        <v>90.0</v>
      </c>
    </row>
    <row r="76" ht="15.75" customHeight="1">
      <c r="A76" s="219">
        <v>75.0</v>
      </c>
      <c r="B76" s="8"/>
      <c r="C76" s="219">
        <f t="shared" si="1"/>
        <v>300109</v>
      </c>
      <c r="D76" s="62">
        <v>75.0</v>
      </c>
      <c r="E76" s="61">
        <v>3538.0</v>
      </c>
      <c r="F76" s="62">
        <f t="shared" si="2"/>
        <v>141</v>
      </c>
      <c r="G76" s="62">
        <v>0.0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>
        <v>92.0</v>
      </c>
    </row>
    <row r="77" ht="15.75" customHeight="1">
      <c r="A77" s="219">
        <v>76.0</v>
      </c>
      <c r="B77" s="8"/>
      <c r="C77" s="219">
        <f t="shared" si="1"/>
        <v>300109</v>
      </c>
      <c r="D77" s="62">
        <v>76.0</v>
      </c>
      <c r="E77" s="61">
        <v>3630.0</v>
      </c>
      <c r="F77" s="62">
        <f t="shared" si="2"/>
        <v>142</v>
      </c>
      <c r="G77" s="62">
        <v>1.0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>
        <v>92.0</v>
      </c>
    </row>
    <row r="78" ht="15.75" customHeight="1">
      <c r="A78" s="219">
        <v>77.0</v>
      </c>
      <c r="B78" s="8"/>
      <c r="C78" s="219">
        <f t="shared" si="1"/>
        <v>300109</v>
      </c>
      <c r="D78" s="62">
        <v>77.0</v>
      </c>
      <c r="E78" s="61">
        <v>3722.0</v>
      </c>
      <c r="F78" s="62">
        <f t="shared" si="2"/>
        <v>142</v>
      </c>
      <c r="G78" s="62">
        <v>0.0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>
        <v>92.0</v>
      </c>
    </row>
    <row r="79" ht="15.75" customHeight="1">
      <c r="A79" s="219">
        <v>78.0</v>
      </c>
      <c r="B79" s="8"/>
      <c r="C79" s="219">
        <f t="shared" si="1"/>
        <v>300109</v>
      </c>
      <c r="D79" s="62">
        <v>78.0</v>
      </c>
      <c r="E79" s="61">
        <v>3816.0</v>
      </c>
      <c r="F79" s="62">
        <f t="shared" si="2"/>
        <v>142</v>
      </c>
      <c r="G79" s="62">
        <v>0.0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>
        <v>94.0</v>
      </c>
    </row>
    <row r="80" ht="15.75" customHeight="1">
      <c r="A80" s="219">
        <v>79.0</v>
      </c>
      <c r="B80" s="8"/>
      <c r="C80" s="219">
        <f t="shared" si="1"/>
        <v>300109</v>
      </c>
      <c r="D80" s="62">
        <v>79.0</v>
      </c>
      <c r="E80" s="61">
        <v>3910.0</v>
      </c>
      <c r="F80" s="62">
        <f t="shared" si="2"/>
        <v>143</v>
      </c>
      <c r="G80" s="62">
        <v>1.0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>
        <v>94.0</v>
      </c>
    </row>
    <row r="81" ht="15.75" customHeight="1">
      <c r="A81" s="219">
        <v>80.0</v>
      </c>
      <c r="B81" s="8"/>
      <c r="C81" s="219">
        <f t="shared" si="1"/>
        <v>300109</v>
      </c>
      <c r="D81" s="62">
        <v>80.0</v>
      </c>
      <c r="E81" s="61">
        <v>4004.0</v>
      </c>
      <c r="F81" s="62">
        <f t="shared" si="2"/>
        <v>143</v>
      </c>
      <c r="G81" s="62">
        <v>0.0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>
        <v>94.0</v>
      </c>
    </row>
    <row r="82" ht="15.75" customHeight="1">
      <c r="A82" s="219">
        <v>81.0</v>
      </c>
      <c r="B82" s="8"/>
      <c r="C82" s="219">
        <f t="shared" si="1"/>
        <v>300109</v>
      </c>
      <c r="D82" s="62">
        <v>81.0</v>
      </c>
      <c r="E82" s="61">
        <v>4108.0</v>
      </c>
      <c r="F82" s="62">
        <f t="shared" si="2"/>
        <v>143</v>
      </c>
      <c r="G82" s="62">
        <v>0.0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244">
        <f t="array" ref="AE82:AE93">(ROUNDUP(SEQUENCE(12,1)/3,0)*2)+102</f>
        <v>104</v>
      </c>
    </row>
    <row r="83" ht="15.75" customHeight="1">
      <c r="A83" s="219">
        <v>82.0</v>
      </c>
      <c r="B83" s="8"/>
      <c r="C83" s="219">
        <f t="shared" si="1"/>
        <v>300109</v>
      </c>
      <c r="D83" s="62">
        <v>82.0</v>
      </c>
      <c r="E83" s="61">
        <v>4212.0</v>
      </c>
      <c r="F83" s="62">
        <f t="shared" si="2"/>
        <v>144</v>
      </c>
      <c r="G83" s="62">
        <v>1.0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>
        <v>104.0</v>
      </c>
    </row>
    <row r="84" ht="15.75" customHeight="1">
      <c r="A84" s="219">
        <v>83.0</v>
      </c>
      <c r="B84" s="8"/>
      <c r="C84" s="219">
        <f t="shared" si="1"/>
        <v>300109</v>
      </c>
      <c r="D84" s="62">
        <v>83.0</v>
      </c>
      <c r="E84" s="61">
        <v>4316.0</v>
      </c>
      <c r="F84" s="62">
        <f t="shared" si="2"/>
        <v>144</v>
      </c>
      <c r="G84" s="62">
        <v>0.0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>
        <v>104.0</v>
      </c>
    </row>
    <row r="85" ht="15.75" customHeight="1">
      <c r="A85" s="219">
        <v>84.0</v>
      </c>
      <c r="B85" s="8"/>
      <c r="C85" s="219">
        <f t="shared" si="1"/>
        <v>300109</v>
      </c>
      <c r="D85" s="62">
        <v>84.0</v>
      </c>
      <c r="E85" s="61">
        <v>4422.0</v>
      </c>
      <c r="F85" s="62">
        <f t="shared" si="2"/>
        <v>144</v>
      </c>
      <c r="G85" s="62">
        <v>0.0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>
        <v>106.0</v>
      </c>
    </row>
    <row r="86" ht="15.75" customHeight="1">
      <c r="A86" s="219">
        <v>85.0</v>
      </c>
      <c r="B86" s="8"/>
      <c r="C86" s="219">
        <f t="shared" si="1"/>
        <v>300109</v>
      </c>
      <c r="D86" s="62">
        <v>85.0</v>
      </c>
      <c r="E86" s="61">
        <v>4528.0</v>
      </c>
      <c r="F86" s="62">
        <f t="shared" si="2"/>
        <v>145</v>
      </c>
      <c r="G86" s="62">
        <v>1.0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>
        <v>106.0</v>
      </c>
    </row>
    <row r="87" ht="15.75" customHeight="1">
      <c r="A87" s="219">
        <v>86.0</v>
      </c>
      <c r="B87" s="8"/>
      <c r="C87" s="219">
        <f t="shared" si="1"/>
        <v>300109</v>
      </c>
      <c r="D87" s="62">
        <v>86.0</v>
      </c>
      <c r="E87" s="61">
        <v>4634.0</v>
      </c>
      <c r="F87" s="62">
        <f t="shared" si="2"/>
        <v>145</v>
      </c>
      <c r="G87" s="62">
        <v>0.0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>
        <v>106.0</v>
      </c>
    </row>
    <row r="88" ht="15.75" customHeight="1">
      <c r="A88" s="219">
        <v>87.0</v>
      </c>
      <c r="B88" s="8"/>
      <c r="C88" s="219">
        <f t="shared" si="1"/>
        <v>300109</v>
      </c>
      <c r="D88" s="62">
        <v>87.0</v>
      </c>
      <c r="E88" s="61">
        <v>4742.0</v>
      </c>
      <c r="F88" s="62">
        <f t="shared" si="2"/>
        <v>145</v>
      </c>
      <c r="G88" s="62">
        <v>0.0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>
        <v>108.0</v>
      </c>
    </row>
    <row r="89" ht="15.75" customHeight="1">
      <c r="A89" s="219">
        <v>88.0</v>
      </c>
      <c r="B89" s="8"/>
      <c r="C89" s="219">
        <f t="shared" si="1"/>
        <v>300109</v>
      </c>
      <c r="D89" s="62">
        <v>88.0</v>
      </c>
      <c r="E89" s="61">
        <v>4850.0</v>
      </c>
      <c r="F89" s="62">
        <f t="shared" si="2"/>
        <v>146</v>
      </c>
      <c r="G89" s="62">
        <v>1.0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>
        <v>108.0</v>
      </c>
    </row>
    <row r="90" ht="15.75" customHeight="1">
      <c r="A90" s="219">
        <v>89.0</v>
      </c>
      <c r="B90" s="8"/>
      <c r="C90" s="219">
        <f t="shared" si="1"/>
        <v>300109</v>
      </c>
      <c r="D90" s="62">
        <v>89.0</v>
      </c>
      <c r="E90" s="61">
        <v>4958.0</v>
      </c>
      <c r="F90" s="62">
        <f t="shared" si="2"/>
        <v>146</v>
      </c>
      <c r="G90" s="62">
        <v>0.0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>
        <v>108.0</v>
      </c>
    </row>
    <row r="91" ht="15.75" customHeight="1">
      <c r="A91" s="219">
        <v>90.0</v>
      </c>
      <c r="B91" s="8"/>
      <c r="C91" s="219">
        <f t="shared" si="1"/>
        <v>300109</v>
      </c>
      <c r="D91" s="62">
        <v>90.0</v>
      </c>
      <c r="E91" s="61">
        <v>5068.0</v>
      </c>
      <c r="F91" s="62">
        <f t="shared" si="2"/>
        <v>146</v>
      </c>
      <c r="G91" s="62">
        <v>0.0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>
        <v>110.0</v>
      </c>
    </row>
    <row r="92" ht="15.75" customHeight="1">
      <c r="A92" s="219">
        <v>91.0</v>
      </c>
      <c r="B92" s="8"/>
      <c r="C92" s="219">
        <f t="shared" si="1"/>
        <v>300109</v>
      </c>
      <c r="D92" s="62">
        <v>91.0</v>
      </c>
      <c r="E92" s="61">
        <v>5178.0</v>
      </c>
      <c r="F92" s="62">
        <f t="shared" si="2"/>
        <v>147</v>
      </c>
      <c r="G92" s="62">
        <v>1.0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>
        <v>110.0</v>
      </c>
    </row>
    <row r="93" ht="15.75" customHeight="1">
      <c r="A93" s="219">
        <v>92.0</v>
      </c>
      <c r="B93" s="8"/>
      <c r="C93" s="219">
        <f t="shared" si="1"/>
        <v>300109</v>
      </c>
      <c r="D93" s="62">
        <v>92.0</v>
      </c>
      <c r="E93" s="61">
        <v>5288.0</v>
      </c>
      <c r="F93" s="62">
        <f t="shared" si="2"/>
        <v>147</v>
      </c>
      <c r="G93" s="62">
        <v>0.0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>
        <v>110.0</v>
      </c>
    </row>
    <row r="94" ht="15.75" customHeight="1">
      <c r="A94" s="219">
        <v>93.0</v>
      </c>
      <c r="B94" s="8"/>
      <c r="C94" s="219">
        <f t="shared" si="1"/>
        <v>300109</v>
      </c>
      <c r="D94" s="62">
        <v>93.0</v>
      </c>
      <c r="E94" s="61">
        <v>5404.0</v>
      </c>
      <c r="F94" s="62">
        <f t="shared" si="2"/>
        <v>147</v>
      </c>
      <c r="G94" s="62">
        <v>0.0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244">
        <f t="array" ref="AE94:AE99">(ROUNDUP(SEQUENCE(6,1)/3,0)*2)+114</f>
        <v>116</v>
      </c>
    </row>
    <row r="95" ht="15.75" customHeight="1">
      <c r="A95" s="219">
        <v>94.0</v>
      </c>
      <c r="B95" s="8"/>
      <c r="C95" s="219">
        <f t="shared" si="1"/>
        <v>300109</v>
      </c>
      <c r="D95" s="62">
        <v>94.0</v>
      </c>
      <c r="E95" s="61">
        <v>5520.0</v>
      </c>
      <c r="F95" s="62">
        <f t="shared" si="2"/>
        <v>148</v>
      </c>
      <c r="G95" s="62">
        <v>1.0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>
        <v>116.0</v>
      </c>
    </row>
    <row r="96" ht="15.75" customHeight="1">
      <c r="A96" s="219">
        <v>95.0</v>
      </c>
      <c r="B96" s="8"/>
      <c r="C96" s="219">
        <f t="shared" si="1"/>
        <v>300109</v>
      </c>
      <c r="D96" s="62">
        <v>95.0</v>
      </c>
      <c r="E96" s="61">
        <v>5636.0</v>
      </c>
      <c r="F96" s="62">
        <f t="shared" si="2"/>
        <v>148</v>
      </c>
      <c r="G96" s="62">
        <v>0.0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>
        <v>116.0</v>
      </c>
    </row>
    <row r="97" ht="15.75" customHeight="1">
      <c r="A97" s="219">
        <v>96.0</v>
      </c>
      <c r="B97" s="8"/>
      <c r="C97" s="219">
        <f t="shared" si="1"/>
        <v>300109</v>
      </c>
      <c r="D97" s="62">
        <v>96.0</v>
      </c>
      <c r="E97" s="61">
        <v>5754.0</v>
      </c>
      <c r="F97" s="62">
        <f t="shared" si="2"/>
        <v>148</v>
      </c>
      <c r="G97" s="62">
        <v>0.0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>
        <v>118.0</v>
      </c>
    </row>
    <row r="98" ht="15.75" customHeight="1">
      <c r="A98" s="219">
        <v>97.0</v>
      </c>
      <c r="B98" s="8"/>
      <c r="C98" s="219">
        <f t="shared" si="1"/>
        <v>300109</v>
      </c>
      <c r="D98" s="62">
        <v>97.0</v>
      </c>
      <c r="E98" s="61">
        <v>5872.0</v>
      </c>
      <c r="F98" s="62">
        <f t="shared" si="2"/>
        <v>149</v>
      </c>
      <c r="G98" s="62">
        <v>1.0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>
        <v>118.0</v>
      </c>
    </row>
    <row r="99" ht="15.75" customHeight="1">
      <c r="A99" s="219">
        <v>98.0</v>
      </c>
      <c r="B99" s="8"/>
      <c r="C99" s="219">
        <f t="shared" si="1"/>
        <v>300109</v>
      </c>
      <c r="D99" s="62">
        <v>98.0</v>
      </c>
      <c r="E99" s="61">
        <v>5990.0</v>
      </c>
      <c r="F99" s="62">
        <f t="shared" si="2"/>
        <v>149</v>
      </c>
      <c r="G99" s="62">
        <v>0.0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>
        <v>118.0</v>
      </c>
    </row>
    <row r="100" ht="15.75" customHeight="1">
      <c r="A100" s="219">
        <v>99.0</v>
      </c>
      <c r="B100" s="8"/>
      <c r="C100" s="219">
        <f t="shared" si="1"/>
        <v>300109</v>
      </c>
      <c r="D100" s="62">
        <v>99.0</v>
      </c>
      <c r="E100" s="61">
        <v>6109.0</v>
      </c>
      <c r="F100" s="62">
        <f t="shared" si="2"/>
        <v>149</v>
      </c>
      <c r="G100" s="62">
        <v>0.0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244">
        <f t="array" ref="AE100:AE400">(ROUNDUP(SEQUENCE(301,1)/3,0))+118</f>
        <v>119</v>
      </c>
    </row>
    <row r="101" ht="15.75" customHeight="1">
      <c r="A101" s="219">
        <v>100.0</v>
      </c>
      <c r="B101" s="8"/>
      <c r="C101" s="219">
        <f t="shared" si="1"/>
        <v>300109</v>
      </c>
      <c r="D101" s="62">
        <v>100.0</v>
      </c>
      <c r="E101" s="61">
        <v>6228.0</v>
      </c>
      <c r="F101" s="62">
        <f t="shared" si="2"/>
        <v>150</v>
      </c>
      <c r="G101" s="62">
        <v>1.0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>
        <v>119.0</v>
      </c>
    </row>
    <row r="102">
      <c r="A102" s="7"/>
      <c r="B102" s="7"/>
      <c r="C102" s="7"/>
      <c r="D102" s="62">
        <v>101.0</v>
      </c>
      <c r="E102" s="61">
        <v>6347.0</v>
      </c>
      <c r="F102" s="62">
        <f t="shared" si="2"/>
        <v>150</v>
      </c>
      <c r="G102" s="62">
        <v>0.0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>
        <v>119.0</v>
      </c>
    </row>
    <row r="103">
      <c r="A103" s="7"/>
      <c r="B103" s="7"/>
      <c r="C103" s="7"/>
      <c r="D103" s="62">
        <v>102.0</v>
      </c>
      <c r="E103" s="61">
        <v>6467.0</v>
      </c>
      <c r="F103" s="62">
        <f t="shared" si="2"/>
        <v>150</v>
      </c>
      <c r="G103" s="62">
        <v>0.0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>
        <v>120.0</v>
      </c>
    </row>
    <row r="104">
      <c r="A104" s="7"/>
      <c r="B104" s="7"/>
      <c r="C104" s="7"/>
      <c r="D104" s="62">
        <v>103.0</v>
      </c>
      <c r="E104" s="61">
        <v>6587.0</v>
      </c>
      <c r="F104" s="62">
        <f t="shared" si="2"/>
        <v>151</v>
      </c>
      <c r="G104" s="62">
        <v>1.0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>
        <v>120.0</v>
      </c>
    </row>
    <row r="105">
      <c r="A105" s="7"/>
      <c r="B105" s="7"/>
      <c r="C105" s="7"/>
      <c r="D105" s="62">
        <v>104.0</v>
      </c>
      <c r="E105" s="61">
        <v>6707.0</v>
      </c>
      <c r="F105" s="62">
        <f t="shared" si="2"/>
        <v>151</v>
      </c>
      <c r="G105" s="62">
        <v>0.0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>
        <v>120.0</v>
      </c>
    </row>
    <row r="106">
      <c r="A106" s="7"/>
      <c r="B106" s="7"/>
      <c r="C106" s="7"/>
      <c r="D106" s="62">
        <v>105.0</v>
      </c>
      <c r="E106" s="61">
        <v>6828.0</v>
      </c>
      <c r="F106" s="62">
        <f t="shared" si="2"/>
        <v>151</v>
      </c>
      <c r="G106" s="62">
        <v>0.0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>
        <v>121.0</v>
      </c>
    </row>
    <row r="107">
      <c r="A107" s="7"/>
      <c r="B107" s="7"/>
      <c r="C107" s="7"/>
      <c r="D107" s="62">
        <v>106.0</v>
      </c>
      <c r="E107" s="61">
        <v>6949.0</v>
      </c>
      <c r="F107" s="62">
        <f t="shared" si="2"/>
        <v>152</v>
      </c>
      <c r="G107" s="62">
        <v>1.0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>
        <v>121.0</v>
      </c>
    </row>
    <row r="108">
      <c r="A108" s="7"/>
      <c r="B108" s="7"/>
      <c r="C108" s="7"/>
      <c r="D108" s="62">
        <v>107.0</v>
      </c>
      <c r="E108" s="61">
        <v>7070.0</v>
      </c>
      <c r="F108" s="62">
        <f t="shared" si="2"/>
        <v>152</v>
      </c>
      <c r="G108" s="62">
        <v>0.0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>
        <v>121.0</v>
      </c>
    </row>
    <row r="109">
      <c r="A109" s="7"/>
      <c r="B109" s="7"/>
      <c r="C109" s="7"/>
      <c r="D109" s="62">
        <v>108.0</v>
      </c>
      <c r="E109" s="61">
        <v>7192.0</v>
      </c>
      <c r="F109" s="62">
        <f t="shared" si="2"/>
        <v>152</v>
      </c>
      <c r="G109" s="62">
        <v>0.0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>
        <v>122.0</v>
      </c>
    </row>
    <row r="110">
      <c r="A110" s="7"/>
      <c r="B110" s="7"/>
      <c r="C110" s="7"/>
      <c r="D110" s="62">
        <v>109.0</v>
      </c>
      <c r="E110" s="61">
        <v>7314.0</v>
      </c>
      <c r="F110" s="62">
        <f t="shared" si="2"/>
        <v>153</v>
      </c>
      <c r="G110" s="62">
        <v>1.0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>
        <v>122.0</v>
      </c>
    </row>
    <row r="111">
      <c r="A111" s="7"/>
      <c r="B111" s="7"/>
      <c r="C111" s="7"/>
      <c r="D111" s="62">
        <v>110.0</v>
      </c>
      <c r="E111" s="61">
        <v>7436.0</v>
      </c>
      <c r="F111" s="62">
        <f t="shared" si="2"/>
        <v>153</v>
      </c>
      <c r="G111" s="62">
        <v>0.0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>
        <v>122.0</v>
      </c>
    </row>
    <row r="112">
      <c r="A112" s="7"/>
      <c r="B112" s="7"/>
      <c r="C112" s="7"/>
      <c r="D112" s="62">
        <v>111.0</v>
      </c>
      <c r="E112" s="61">
        <v>7559.0</v>
      </c>
      <c r="F112" s="62">
        <f t="shared" si="2"/>
        <v>153</v>
      </c>
      <c r="G112" s="62">
        <v>0.0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>
        <v>123.0</v>
      </c>
    </row>
    <row r="113">
      <c r="A113" s="7"/>
      <c r="B113" s="7"/>
      <c r="C113" s="7"/>
      <c r="D113" s="62">
        <v>112.0</v>
      </c>
      <c r="E113" s="61">
        <v>7682.0</v>
      </c>
      <c r="F113" s="62">
        <f t="shared" si="2"/>
        <v>154</v>
      </c>
      <c r="G113" s="62">
        <v>1.0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>
        <v>123.0</v>
      </c>
    </row>
    <row r="114">
      <c r="A114" s="7"/>
      <c r="B114" s="7"/>
      <c r="C114" s="7"/>
      <c r="D114" s="62">
        <v>113.0</v>
      </c>
      <c r="E114" s="61">
        <v>7805.0</v>
      </c>
      <c r="F114" s="62">
        <f t="shared" si="2"/>
        <v>154</v>
      </c>
      <c r="G114" s="62">
        <v>0.0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>
        <v>123.0</v>
      </c>
    </row>
    <row r="115">
      <c r="A115" s="7"/>
      <c r="B115" s="7"/>
      <c r="C115" s="7"/>
      <c r="D115" s="62">
        <v>114.0</v>
      </c>
      <c r="E115" s="61">
        <v>7929.0</v>
      </c>
      <c r="F115" s="62">
        <f t="shared" si="2"/>
        <v>154</v>
      </c>
      <c r="G115" s="62">
        <v>0.0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>
        <v>124.0</v>
      </c>
    </row>
    <row r="116">
      <c r="A116" s="7"/>
      <c r="B116" s="7"/>
      <c r="C116" s="7"/>
      <c r="D116" s="62">
        <v>115.0</v>
      </c>
      <c r="E116" s="61">
        <v>8053.0</v>
      </c>
      <c r="F116" s="62">
        <f t="shared" si="2"/>
        <v>155</v>
      </c>
      <c r="G116" s="62">
        <v>1.0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>
        <v>124.0</v>
      </c>
    </row>
    <row r="117">
      <c r="A117" s="7"/>
      <c r="B117" s="7"/>
      <c r="C117" s="7"/>
      <c r="D117" s="62">
        <v>116.0</v>
      </c>
      <c r="E117" s="61">
        <v>8177.0</v>
      </c>
      <c r="F117" s="62">
        <f t="shared" si="2"/>
        <v>155</v>
      </c>
      <c r="G117" s="62">
        <v>0.0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>
        <v>124.0</v>
      </c>
    </row>
    <row r="118">
      <c r="A118" s="7"/>
      <c r="B118" s="7"/>
      <c r="C118" s="7"/>
      <c r="D118" s="62">
        <v>117.0</v>
      </c>
      <c r="E118" s="61">
        <v>8302.0</v>
      </c>
      <c r="F118" s="62">
        <f t="shared" si="2"/>
        <v>155</v>
      </c>
      <c r="G118" s="62">
        <v>0.0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>
        <v>125.0</v>
      </c>
    </row>
    <row r="119">
      <c r="A119" s="7"/>
      <c r="B119" s="7"/>
      <c r="C119" s="7"/>
      <c r="D119" s="62">
        <v>118.0</v>
      </c>
      <c r="E119" s="61">
        <v>8427.0</v>
      </c>
      <c r="F119" s="62">
        <f t="shared" si="2"/>
        <v>156</v>
      </c>
      <c r="G119" s="62">
        <v>1.0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>
        <v>125.0</v>
      </c>
    </row>
    <row r="120">
      <c r="A120" s="7"/>
      <c r="B120" s="7"/>
      <c r="C120" s="7"/>
      <c r="D120" s="62">
        <v>119.0</v>
      </c>
      <c r="E120" s="61">
        <v>8552.0</v>
      </c>
      <c r="F120" s="62">
        <f t="shared" si="2"/>
        <v>156</v>
      </c>
      <c r="G120" s="62">
        <v>0.0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>
        <v>125.0</v>
      </c>
    </row>
    <row r="121">
      <c r="A121" s="7"/>
      <c r="B121" s="7"/>
      <c r="C121" s="7"/>
      <c r="D121" s="62">
        <v>120.0</v>
      </c>
      <c r="E121" s="61">
        <v>8678.0</v>
      </c>
      <c r="F121" s="62">
        <f t="shared" si="2"/>
        <v>156</v>
      </c>
      <c r="G121" s="62">
        <v>0.0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>
        <v>126.0</v>
      </c>
    </row>
    <row r="122">
      <c r="A122" s="7"/>
      <c r="B122" s="7"/>
      <c r="C122" s="7"/>
      <c r="D122" s="62">
        <v>121.0</v>
      </c>
      <c r="E122" s="61">
        <v>8804.0</v>
      </c>
      <c r="F122" s="62">
        <f t="shared" si="2"/>
        <v>157</v>
      </c>
      <c r="G122" s="62">
        <v>1.0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>
        <v>126.0</v>
      </c>
    </row>
    <row r="123">
      <c r="A123" s="7"/>
      <c r="B123" s="7"/>
      <c r="C123" s="7"/>
      <c r="D123" s="62">
        <v>122.0</v>
      </c>
      <c r="E123" s="61">
        <v>8930.0</v>
      </c>
      <c r="F123" s="62">
        <f t="shared" si="2"/>
        <v>157</v>
      </c>
      <c r="G123" s="62">
        <v>0.0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>
        <v>126.0</v>
      </c>
    </row>
    <row r="124">
      <c r="A124" s="7"/>
      <c r="B124" s="7"/>
      <c r="C124" s="7"/>
      <c r="D124" s="62">
        <v>123.0</v>
      </c>
      <c r="E124" s="61">
        <v>9057.0</v>
      </c>
      <c r="F124" s="62">
        <f t="shared" si="2"/>
        <v>157</v>
      </c>
      <c r="G124" s="62">
        <v>0.0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>
        <v>127.0</v>
      </c>
    </row>
    <row r="125">
      <c r="A125" s="7"/>
      <c r="B125" s="7"/>
      <c r="C125" s="7"/>
      <c r="D125" s="62">
        <v>124.0</v>
      </c>
      <c r="E125" s="61">
        <v>9184.0</v>
      </c>
      <c r="F125" s="62">
        <f t="shared" si="2"/>
        <v>158</v>
      </c>
      <c r="G125" s="62">
        <v>1.0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>
        <v>127.0</v>
      </c>
    </row>
    <row r="126">
      <c r="A126" s="7"/>
      <c r="B126" s="7"/>
      <c r="C126" s="7"/>
      <c r="D126" s="62">
        <v>125.0</v>
      </c>
      <c r="E126" s="61">
        <v>9311.0</v>
      </c>
      <c r="F126" s="62">
        <f t="shared" si="2"/>
        <v>158</v>
      </c>
      <c r="G126" s="62">
        <v>0.0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>
        <v>127.0</v>
      </c>
    </row>
    <row r="127">
      <c r="A127" s="7"/>
      <c r="B127" s="7"/>
      <c r="C127" s="7"/>
      <c r="D127" s="62">
        <v>126.0</v>
      </c>
      <c r="E127" s="61">
        <v>9439.0</v>
      </c>
      <c r="F127" s="62">
        <f t="shared" si="2"/>
        <v>158</v>
      </c>
      <c r="G127" s="62">
        <v>0.0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>
        <v>128.0</v>
      </c>
    </row>
    <row r="128">
      <c r="A128" s="7"/>
      <c r="B128" s="7"/>
      <c r="C128" s="7"/>
      <c r="D128" s="62">
        <v>127.0</v>
      </c>
      <c r="E128" s="61">
        <v>9567.0</v>
      </c>
      <c r="F128" s="62">
        <f t="shared" si="2"/>
        <v>159</v>
      </c>
      <c r="G128" s="62">
        <v>1.0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>
        <v>128.0</v>
      </c>
    </row>
    <row r="129">
      <c r="A129" s="7"/>
      <c r="B129" s="7"/>
      <c r="C129" s="7"/>
      <c r="D129" s="62">
        <v>128.0</v>
      </c>
      <c r="E129" s="61">
        <v>9695.0</v>
      </c>
      <c r="F129" s="62">
        <f t="shared" si="2"/>
        <v>159</v>
      </c>
      <c r="G129" s="62">
        <v>0.0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>
        <v>128.0</v>
      </c>
    </row>
    <row r="130">
      <c r="A130" s="7"/>
      <c r="B130" s="7"/>
      <c r="C130" s="7"/>
      <c r="D130" s="62">
        <v>129.0</v>
      </c>
      <c r="E130" s="61">
        <v>9824.0</v>
      </c>
      <c r="F130" s="62">
        <f t="shared" si="2"/>
        <v>159</v>
      </c>
      <c r="G130" s="62">
        <v>0.0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>
        <v>129.0</v>
      </c>
    </row>
    <row r="131">
      <c r="A131" s="7"/>
      <c r="B131" s="7"/>
      <c r="C131" s="7"/>
      <c r="D131" s="62">
        <v>130.0</v>
      </c>
      <c r="E131" s="61">
        <v>9953.0</v>
      </c>
      <c r="F131" s="62">
        <f t="shared" si="2"/>
        <v>160</v>
      </c>
      <c r="G131" s="62">
        <v>1.0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>
        <v>129.0</v>
      </c>
    </row>
    <row r="132">
      <c r="A132" s="7"/>
      <c r="B132" s="7"/>
      <c r="C132" s="7"/>
      <c r="D132" s="62">
        <v>131.0</v>
      </c>
      <c r="E132" s="61">
        <v>10082.0</v>
      </c>
      <c r="F132" s="62">
        <f t="shared" si="2"/>
        <v>160</v>
      </c>
      <c r="G132" s="62">
        <v>0.0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>
        <v>129.0</v>
      </c>
    </row>
    <row r="133">
      <c r="A133" s="7"/>
      <c r="B133" s="7"/>
      <c r="C133" s="7"/>
      <c r="D133" s="62">
        <v>132.0</v>
      </c>
      <c r="E133" s="61">
        <v>10212.0</v>
      </c>
      <c r="F133" s="62">
        <f t="shared" si="2"/>
        <v>160</v>
      </c>
      <c r="G133" s="62">
        <v>0.0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>
        <v>130.0</v>
      </c>
    </row>
    <row r="134">
      <c r="A134" s="7"/>
      <c r="B134" s="7"/>
      <c r="C134" s="7"/>
      <c r="D134" s="62">
        <v>133.0</v>
      </c>
      <c r="E134" s="61">
        <v>10342.0</v>
      </c>
      <c r="F134" s="62">
        <f t="shared" si="2"/>
        <v>161</v>
      </c>
      <c r="G134" s="62">
        <v>1.0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>
        <v>130.0</v>
      </c>
    </row>
    <row r="135">
      <c r="A135" s="7"/>
      <c r="B135" s="7"/>
      <c r="C135" s="7"/>
      <c r="D135" s="62">
        <v>134.0</v>
      </c>
      <c r="E135" s="61">
        <v>10472.0</v>
      </c>
      <c r="F135" s="62">
        <f t="shared" si="2"/>
        <v>161</v>
      </c>
      <c r="G135" s="62">
        <v>0.0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>
        <v>130.0</v>
      </c>
    </row>
    <row r="136">
      <c r="A136" s="7"/>
      <c r="B136" s="7"/>
      <c r="C136" s="7"/>
      <c r="D136" s="62">
        <v>135.0</v>
      </c>
      <c r="E136" s="61">
        <v>10603.0</v>
      </c>
      <c r="F136" s="62">
        <f t="shared" si="2"/>
        <v>161</v>
      </c>
      <c r="G136" s="62">
        <v>0.0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>
        <v>131.0</v>
      </c>
    </row>
    <row r="137">
      <c r="A137" s="7"/>
      <c r="B137" s="7"/>
      <c r="C137" s="7"/>
      <c r="D137" s="62">
        <v>136.0</v>
      </c>
      <c r="E137" s="61">
        <v>10734.0</v>
      </c>
      <c r="F137" s="62">
        <f t="shared" si="2"/>
        <v>162</v>
      </c>
      <c r="G137" s="62">
        <v>1.0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>
        <v>131.0</v>
      </c>
    </row>
    <row r="138">
      <c r="A138" s="7"/>
      <c r="B138" s="7"/>
      <c r="C138" s="7"/>
      <c r="D138" s="62">
        <v>137.0</v>
      </c>
      <c r="E138" s="61">
        <v>10865.0</v>
      </c>
      <c r="F138" s="62">
        <f t="shared" si="2"/>
        <v>162</v>
      </c>
      <c r="G138" s="62">
        <v>0.0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>
        <v>131.0</v>
      </c>
    </row>
    <row r="139">
      <c r="A139" s="7"/>
      <c r="B139" s="7"/>
      <c r="C139" s="7"/>
      <c r="D139" s="62">
        <v>138.0</v>
      </c>
      <c r="E139" s="61">
        <v>10997.0</v>
      </c>
      <c r="F139" s="62">
        <f t="shared" si="2"/>
        <v>162</v>
      </c>
      <c r="G139" s="62">
        <v>0.0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>
        <v>132.0</v>
      </c>
    </row>
    <row r="140">
      <c r="A140" s="7"/>
      <c r="B140" s="7"/>
      <c r="C140" s="7"/>
      <c r="D140" s="62">
        <v>139.0</v>
      </c>
      <c r="E140" s="61">
        <v>11129.0</v>
      </c>
      <c r="F140" s="62">
        <f t="shared" si="2"/>
        <v>163</v>
      </c>
      <c r="G140" s="62">
        <v>1.0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>
        <v>132.0</v>
      </c>
    </row>
    <row r="141">
      <c r="A141" s="7"/>
      <c r="B141" s="7"/>
      <c r="C141" s="7"/>
      <c r="D141" s="62">
        <v>140.0</v>
      </c>
      <c r="E141" s="61">
        <v>11261.0</v>
      </c>
      <c r="F141" s="62">
        <f t="shared" si="2"/>
        <v>163</v>
      </c>
      <c r="G141" s="62">
        <v>0.0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>
        <v>132.0</v>
      </c>
    </row>
    <row r="142">
      <c r="A142" s="7"/>
      <c r="B142" s="7"/>
      <c r="C142" s="7"/>
      <c r="D142" s="62">
        <v>141.0</v>
      </c>
      <c r="E142" s="61">
        <v>11394.0</v>
      </c>
      <c r="F142" s="62">
        <f t="shared" si="2"/>
        <v>163</v>
      </c>
      <c r="G142" s="62">
        <v>0.0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>
        <v>133.0</v>
      </c>
    </row>
    <row r="143">
      <c r="A143" s="7"/>
      <c r="B143" s="7"/>
      <c r="C143" s="7"/>
      <c r="D143" s="62">
        <v>142.0</v>
      </c>
      <c r="E143" s="61">
        <v>11527.0</v>
      </c>
      <c r="F143" s="62">
        <f t="shared" si="2"/>
        <v>164</v>
      </c>
      <c r="G143" s="62">
        <v>1.0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>
        <v>133.0</v>
      </c>
    </row>
    <row r="144">
      <c r="A144" s="7"/>
      <c r="B144" s="7"/>
      <c r="C144" s="7"/>
      <c r="D144" s="62">
        <v>143.0</v>
      </c>
      <c r="E144" s="61">
        <v>11660.0</v>
      </c>
      <c r="F144" s="62">
        <f t="shared" si="2"/>
        <v>164</v>
      </c>
      <c r="G144" s="62">
        <v>0.0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>
        <v>133.0</v>
      </c>
    </row>
    <row r="145">
      <c r="A145" s="7"/>
      <c r="B145" s="7"/>
      <c r="C145" s="7"/>
      <c r="D145" s="62">
        <v>144.0</v>
      </c>
      <c r="E145" s="61">
        <v>11794.0</v>
      </c>
      <c r="F145" s="62">
        <f t="shared" si="2"/>
        <v>164</v>
      </c>
      <c r="G145" s="62">
        <v>0.0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>
        <v>134.0</v>
      </c>
    </row>
    <row r="146">
      <c r="A146" s="7"/>
      <c r="B146" s="7"/>
      <c r="C146" s="7"/>
      <c r="D146" s="62">
        <v>145.0</v>
      </c>
      <c r="E146" s="61">
        <v>11928.0</v>
      </c>
      <c r="F146" s="62">
        <f t="shared" si="2"/>
        <v>165</v>
      </c>
      <c r="G146" s="62">
        <v>1.0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>
        <v>134.0</v>
      </c>
    </row>
    <row r="147">
      <c r="A147" s="7"/>
      <c r="B147" s="7"/>
      <c r="C147" s="7"/>
      <c r="D147" s="62">
        <v>146.0</v>
      </c>
      <c r="E147" s="61">
        <v>12062.0</v>
      </c>
      <c r="F147" s="62">
        <f t="shared" si="2"/>
        <v>165</v>
      </c>
      <c r="G147" s="62">
        <v>0.0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>
        <v>134.0</v>
      </c>
    </row>
    <row r="148">
      <c r="A148" s="7"/>
      <c r="B148" s="7"/>
      <c r="C148" s="7"/>
      <c r="D148" s="62">
        <v>147.0</v>
      </c>
      <c r="E148" s="61">
        <v>12197.0</v>
      </c>
      <c r="F148" s="62">
        <f t="shared" si="2"/>
        <v>165</v>
      </c>
      <c r="G148" s="62">
        <v>0.0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>
        <v>135.0</v>
      </c>
    </row>
    <row r="149">
      <c r="A149" s="7"/>
      <c r="B149" s="7"/>
      <c r="C149" s="7"/>
      <c r="D149" s="62">
        <v>148.0</v>
      </c>
      <c r="E149" s="61">
        <v>12332.0</v>
      </c>
      <c r="F149" s="62">
        <f t="shared" si="2"/>
        <v>166</v>
      </c>
      <c r="G149" s="62">
        <v>1.0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>
        <v>135.0</v>
      </c>
    </row>
    <row r="150">
      <c r="A150" s="7"/>
      <c r="B150" s="7"/>
      <c r="C150" s="7"/>
      <c r="D150" s="62">
        <v>149.0</v>
      </c>
      <c r="E150" s="61">
        <v>12467.0</v>
      </c>
      <c r="F150" s="62">
        <f t="shared" si="2"/>
        <v>166</v>
      </c>
      <c r="G150" s="62">
        <v>0.0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>
        <v>135.0</v>
      </c>
    </row>
    <row r="151">
      <c r="A151" s="7"/>
      <c r="B151" s="7"/>
      <c r="C151" s="7"/>
      <c r="D151" s="62">
        <v>150.0</v>
      </c>
      <c r="E151" s="61">
        <v>12603.0</v>
      </c>
      <c r="F151" s="62">
        <f t="shared" si="2"/>
        <v>166</v>
      </c>
      <c r="G151" s="62">
        <v>0.0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>
        <v>136.0</v>
      </c>
    </row>
    <row r="152">
      <c r="A152" s="7"/>
      <c r="B152" s="7"/>
      <c r="C152" s="7"/>
      <c r="D152" s="62">
        <v>151.0</v>
      </c>
      <c r="E152" s="61">
        <v>12739.0</v>
      </c>
      <c r="F152" s="62">
        <f t="shared" si="2"/>
        <v>167</v>
      </c>
      <c r="G152" s="62">
        <v>1.0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>
        <v>136.0</v>
      </c>
    </row>
    <row r="153">
      <c r="A153" s="7"/>
      <c r="B153" s="7"/>
      <c r="C153" s="7"/>
      <c r="D153" s="62">
        <v>152.0</v>
      </c>
      <c r="E153" s="61">
        <v>12875.0</v>
      </c>
      <c r="F153" s="62">
        <f t="shared" si="2"/>
        <v>167</v>
      </c>
      <c r="G153" s="62">
        <v>0.0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>
        <v>136.0</v>
      </c>
    </row>
    <row r="154">
      <c r="A154" s="7"/>
      <c r="B154" s="7"/>
      <c r="C154" s="7"/>
      <c r="D154" s="62">
        <v>153.0</v>
      </c>
      <c r="E154" s="61">
        <v>13012.0</v>
      </c>
      <c r="F154" s="62">
        <f t="shared" si="2"/>
        <v>167</v>
      </c>
      <c r="G154" s="62">
        <v>0.0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>
        <v>137.0</v>
      </c>
    </row>
    <row r="155">
      <c r="A155" s="7"/>
      <c r="B155" s="7"/>
      <c r="C155" s="7"/>
      <c r="D155" s="62">
        <v>154.0</v>
      </c>
      <c r="E155" s="61">
        <v>13149.0</v>
      </c>
      <c r="F155" s="62">
        <f t="shared" si="2"/>
        <v>168</v>
      </c>
      <c r="G155" s="62">
        <v>1.0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>
        <v>137.0</v>
      </c>
    </row>
    <row r="156">
      <c r="A156" s="7"/>
      <c r="B156" s="7"/>
      <c r="C156" s="7"/>
      <c r="D156" s="62">
        <v>155.0</v>
      </c>
      <c r="E156" s="61">
        <v>13286.0</v>
      </c>
      <c r="F156" s="62">
        <f t="shared" si="2"/>
        <v>168</v>
      </c>
      <c r="G156" s="62">
        <v>0.0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>
        <v>137.0</v>
      </c>
    </row>
    <row r="157">
      <c r="A157" s="7"/>
      <c r="B157" s="7"/>
      <c r="C157" s="7"/>
      <c r="D157" s="62">
        <v>156.0</v>
      </c>
      <c r="E157" s="61">
        <v>13424.0</v>
      </c>
      <c r="F157" s="62">
        <f t="shared" si="2"/>
        <v>168</v>
      </c>
      <c r="G157" s="62">
        <v>0.0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>
        <v>138.0</v>
      </c>
    </row>
    <row r="158">
      <c r="A158" s="7"/>
      <c r="B158" s="7"/>
      <c r="C158" s="7"/>
      <c r="D158" s="62">
        <v>157.0</v>
      </c>
      <c r="E158" s="61">
        <v>13562.0</v>
      </c>
      <c r="F158" s="62">
        <f t="shared" si="2"/>
        <v>169</v>
      </c>
      <c r="G158" s="62">
        <v>1.0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>
        <v>138.0</v>
      </c>
    </row>
    <row r="159">
      <c r="A159" s="7"/>
      <c r="B159" s="7"/>
      <c r="C159" s="7"/>
      <c r="D159" s="62">
        <v>158.0</v>
      </c>
      <c r="E159" s="61">
        <v>13700.0</v>
      </c>
      <c r="F159" s="62">
        <f t="shared" si="2"/>
        <v>169</v>
      </c>
      <c r="G159" s="62">
        <v>0.0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>
        <v>138.0</v>
      </c>
    </row>
    <row r="160">
      <c r="A160" s="7"/>
      <c r="B160" s="7"/>
      <c r="C160" s="7"/>
      <c r="D160" s="62">
        <v>159.0</v>
      </c>
      <c r="E160" s="61">
        <v>13839.0</v>
      </c>
      <c r="F160" s="62">
        <f t="shared" si="2"/>
        <v>169</v>
      </c>
      <c r="G160" s="62">
        <v>0.0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>
        <v>139.0</v>
      </c>
    </row>
    <row r="161">
      <c r="A161" s="7"/>
      <c r="B161" s="7"/>
      <c r="C161" s="7"/>
      <c r="D161" s="62">
        <v>160.0</v>
      </c>
      <c r="E161" s="61">
        <v>13978.0</v>
      </c>
      <c r="F161" s="62">
        <f t="shared" si="2"/>
        <v>170</v>
      </c>
      <c r="G161" s="62">
        <v>1.0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>
        <v>139.0</v>
      </c>
    </row>
    <row r="162">
      <c r="A162" s="7"/>
      <c r="B162" s="7"/>
      <c r="C162" s="7"/>
      <c r="D162" s="62">
        <v>161.0</v>
      </c>
      <c r="E162" s="61">
        <v>14117.0</v>
      </c>
      <c r="F162" s="62">
        <f t="shared" si="2"/>
        <v>170</v>
      </c>
      <c r="G162" s="62">
        <v>0.0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>
        <v>139.0</v>
      </c>
    </row>
    <row r="163">
      <c r="A163" s="7"/>
      <c r="B163" s="7"/>
      <c r="C163" s="7"/>
      <c r="D163" s="62">
        <v>162.0</v>
      </c>
      <c r="E163" s="61">
        <v>14257.0</v>
      </c>
      <c r="F163" s="62">
        <f t="shared" si="2"/>
        <v>170</v>
      </c>
      <c r="G163" s="62">
        <v>0.0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>
        <v>140.0</v>
      </c>
    </row>
    <row r="164">
      <c r="A164" s="7"/>
      <c r="B164" s="7"/>
      <c r="C164" s="7"/>
      <c r="D164" s="62">
        <v>163.0</v>
      </c>
      <c r="E164" s="61">
        <v>14397.0</v>
      </c>
      <c r="F164" s="62">
        <f t="shared" si="2"/>
        <v>171</v>
      </c>
      <c r="G164" s="62">
        <v>1.0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>
        <v>140.0</v>
      </c>
    </row>
    <row r="165">
      <c r="A165" s="7"/>
      <c r="B165" s="7"/>
      <c r="C165" s="7"/>
      <c r="D165" s="62">
        <v>164.0</v>
      </c>
      <c r="E165" s="61">
        <v>14537.0</v>
      </c>
      <c r="F165" s="62">
        <f t="shared" si="2"/>
        <v>171</v>
      </c>
      <c r="G165" s="62">
        <v>0.0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>
        <v>140.0</v>
      </c>
    </row>
    <row r="166">
      <c r="A166" s="7"/>
      <c r="B166" s="7"/>
      <c r="C166" s="7"/>
      <c r="D166" s="62">
        <v>165.0</v>
      </c>
      <c r="E166" s="61">
        <v>14678.0</v>
      </c>
      <c r="F166" s="62">
        <f t="shared" si="2"/>
        <v>171</v>
      </c>
      <c r="G166" s="62">
        <v>0.0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>
        <v>141.0</v>
      </c>
    </row>
    <row r="167">
      <c r="A167" s="7"/>
      <c r="B167" s="7"/>
      <c r="C167" s="7"/>
      <c r="D167" s="62">
        <v>166.0</v>
      </c>
      <c r="E167" s="61">
        <v>14819.0</v>
      </c>
      <c r="F167" s="62">
        <f t="shared" si="2"/>
        <v>172</v>
      </c>
      <c r="G167" s="62">
        <v>1.0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>
        <v>141.0</v>
      </c>
    </row>
    <row r="168">
      <c r="A168" s="7"/>
      <c r="B168" s="7"/>
      <c r="C168" s="7"/>
      <c r="D168" s="62">
        <v>167.0</v>
      </c>
      <c r="E168" s="61">
        <v>14960.0</v>
      </c>
      <c r="F168" s="62">
        <f t="shared" si="2"/>
        <v>172</v>
      </c>
      <c r="G168" s="62">
        <v>0.0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>
        <v>141.0</v>
      </c>
    </row>
    <row r="169">
      <c r="A169" s="7"/>
      <c r="B169" s="7"/>
      <c r="C169" s="7"/>
      <c r="D169" s="62">
        <v>168.0</v>
      </c>
      <c r="E169" s="61">
        <v>15102.0</v>
      </c>
      <c r="F169" s="62">
        <f t="shared" si="2"/>
        <v>172</v>
      </c>
      <c r="G169" s="62">
        <v>0.0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>
        <v>142.0</v>
      </c>
    </row>
    <row r="170">
      <c r="A170" s="7"/>
      <c r="B170" s="7"/>
      <c r="C170" s="7"/>
      <c r="D170" s="62">
        <v>169.0</v>
      </c>
      <c r="E170" s="61">
        <v>15244.0</v>
      </c>
      <c r="F170" s="62">
        <f t="shared" si="2"/>
        <v>173</v>
      </c>
      <c r="G170" s="62">
        <v>1.0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>
        <v>142.0</v>
      </c>
    </row>
    <row r="171">
      <c r="A171" s="7"/>
      <c r="B171" s="7"/>
      <c r="C171" s="7"/>
      <c r="D171" s="62">
        <v>170.0</v>
      </c>
      <c r="E171" s="61">
        <v>15386.0</v>
      </c>
      <c r="F171" s="62">
        <f t="shared" si="2"/>
        <v>173</v>
      </c>
      <c r="G171" s="62">
        <v>0.0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>
        <v>142.0</v>
      </c>
    </row>
    <row r="172">
      <c r="A172" s="7"/>
      <c r="B172" s="7"/>
      <c r="C172" s="7"/>
      <c r="D172" s="62">
        <v>171.0</v>
      </c>
      <c r="E172" s="61">
        <v>15529.0</v>
      </c>
      <c r="F172" s="62">
        <f t="shared" si="2"/>
        <v>173</v>
      </c>
      <c r="G172" s="62">
        <v>0.0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>
        <v>143.0</v>
      </c>
    </row>
    <row r="173">
      <c r="A173" s="7"/>
      <c r="B173" s="7"/>
      <c r="C173" s="7"/>
      <c r="D173" s="62">
        <v>172.0</v>
      </c>
      <c r="E173" s="61">
        <v>15672.0</v>
      </c>
      <c r="F173" s="62">
        <f t="shared" si="2"/>
        <v>174</v>
      </c>
      <c r="G173" s="62">
        <v>1.0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>
        <v>143.0</v>
      </c>
    </row>
    <row r="174">
      <c r="A174" s="7"/>
      <c r="B174" s="7"/>
      <c r="C174" s="7"/>
      <c r="D174" s="62">
        <v>173.0</v>
      </c>
      <c r="E174" s="61">
        <v>15815.0</v>
      </c>
      <c r="F174" s="62">
        <f t="shared" si="2"/>
        <v>174</v>
      </c>
      <c r="G174" s="62">
        <v>0.0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>
        <v>143.0</v>
      </c>
    </row>
    <row r="175">
      <c r="A175" s="7"/>
      <c r="B175" s="7"/>
      <c r="C175" s="7"/>
      <c r="D175" s="62">
        <v>174.0</v>
      </c>
      <c r="E175" s="61">
        <v>15959.0</v>
      </c>
      <c r="F175" s="62">
        <f t="shared" si="2"/>
        <v>174</v>
      </c>
      <c r="G175" s="62">
        <v>0.0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>
        <v>144.0</v>
      </c>
    </row>
    <row r="176">
      <c r="A176" s="7"/>
      <c r="B176" s="7"/>
      <c r="C176" s="7"/>
      <c r="D176" s="62">
        <v>175.0</v>
      </c>
      <c r="E176" s="61">
        <v>16103.0</v>
      </c>
      <c r="F176" s="62">
        <f t="shared" si="2"/>
        <v>175</v>
      </c>
      <c r="G176" s="62">
        <v>1.0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>
        <v>144.0</v>
      </c>
    </row>
    <row r="177">
      <c r="A177" s="7"/>
      <c r="B177" s="7"/>
      <c r="C177" s="7"/>
      <c r="D177" s="62">
        <v>176.0</v>
      </c>
      <c r="E177" s="61">
        <v>16247.0</v>
      </c>
      <c r="F177" s="62">
        <f t="shared" si="2"/>
        <v>175</v>
      </c>
      <c r="G177" s="62">
        <v>0.0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>
        <v>144.0</v>
      </c>
    </row>
    <row r="178">
      <c r="A178" s="7"/>
      <c r="B178" s="7"/>
      <c r="C178" s="7"/>
      <c r="D178" s="62">
        <v>177.0</v>
      </c>
      <c r="E178" s="61">
        <v>16392.0</v>
      </c>
      <c r="F178" s="62">
        <f t="shared" si="2"/>
        <v>175</v>
      </c>
      <c r="G178" s="62">
        <v>0.0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>
        <v>145.0</v>
      </c>
    </row>
    <row r="179">
      <c r="A179" s="7"/>
      <c r="B179" s="7"/>
      <c r="C179" s="7"/>
      <c r="D179" s="62">
        <v>178.0</v>
      </c>
      <c r="E179" s="61">
        <v>16537.0</v>
      </c>
      <c r="F179" s="62">
        <f t="shared" si="2"/>
        <v>176</v>
      </c>
      <c r="G179" s="62">
        <v>1.0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>
        <v>145.0</v>
      </c>
    </row>
    <row r="180">
      <c r="A180" s="7"/>
      <c r="B180" s="7"/>
      <c r="C180" s="7"/>
      <c r="D180" s="62">
        <v>179.0</v>
      </c>
      <c r="E180" s="61">
        <v>16682.0</v>
      </c>
      <c r="F180" s="62">
        <f t="shared" si="2"/>
        <v>176</v>
      </c>
      <c r="G180" s="62">
        <v>0.0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>
        <v>145.0</v>
      </c>
    </row>
    <row r="181">
      <c r="A181" s="7"/>
      <c r="B181" s="7"/>
      <c r="C181" s="7"/>
      <c r="D181" s="62">
        <v>180.0</v>
      </c>
      <c r="E181" s="61">
        <v>16828.0</v>
      </c>
      <c r="F181" s="62">
        <f t="shared" si="2"/>
        <v>176</v>
      </c>
      <c r="G181" s="62">
        <v>0.0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>
        <v>146.0</v>
      </c>
    </row>
    <row r="182">
      <c r="A182" s="7"/>
      <c r="B182" s="7"/>
      <c r="C182" s="7"/>
      <c r="D182" s="62">
        <v>181.0</v>
      </c>
      <c r="E182" s="61">
        <v>16974.0</v>
      </c>
      <c r="F182" s="62">
        <f t="shared" si="2"/>
        <v>177</v>
      </c>
      <c r="G182" s="62">
        <v>1.0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>
        <v>146.0</v>
      </c>
    </row>
    <row r="183">
      <c r="A183" s="7"/>
      <c r="B183" s="7"/>
      <c r="C183" s="7"/>
      <c r="D183" s="62">
        <v>182.0</v>
      </c>
      <c r="E183" s="61">
        <v>17120.0</v>
      </c>
      <c r="F183" s="62">
        <f t="shared" si="2"/>
        <v>177</v>
      </c>
      <c r="G183" s="62">
        <v>0.0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>
        <v>146.0</v>
      </c>
    </row>
    <row r="184">
      <c r="A184" s="7"/>
      <c r="B184" s="7"/>
      <c r="C184" s="7"/>
      <c r="D184" s="62">
        <v>183.0</v>
      </c>
      <c r="E184" s="61">
        <v>17267.0</v>
      </c>
      <c r="F184" s="62">
        <f t="shared" si="2"/>
        <v>177</v>
      </c>
      <c r="G184" s="62">
        <v>0.0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>
        <v>147.0</v>
      </c>
    </row>
    <row r="185">
      <c r="A185" s="7"/>
      <c r="B185" s="7"/>
      <c r="C185" s="7"/>
      <c r="D185" s="62">
        <v>184.0</v>
      </c>
      <c r="E185" s="61">
        <v>17414.0</v>
      </c>
      <c r="F185" s="62">
        <f t="shared" si="2"/>
        <v>178</v>
      </c>
      <c r="G185" s="62">
        <v>1.0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>
        <v>147.0</v>
      </c>
    </row>
    <row r="186">
      <c r="A186" s="7"/>
      <c r="B186" s="7"/>
      <c r="C186" s="7"/>
      <c r="D186" s="62">
        <v>185.0</v>
      </c>
      <c r="E186" s="61">
        <v>17561.0</v>
      </c>
      <c r="F186" s="62">
        <f t="shared" si="2"/>
        <v>178</v>
      </c>
      <c r="G186" s="62">
        <v>0.0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>
        <v>147.0</v>
      </c>
    </row>
    <row r="187">
      <c r="A187" s="7"/>
      <c r="B187" s="7"/>
      <c r="C187" s="7"/>
      <c r="D187" s="62">
        <v>186.0</v>
      </c>
      <c r="E187" s="61">
        <v>17709.0</v>
      </c>
      <c r="F187" s="62">
        <f t="shared" si="2"/>
        <v>178</v>
      </c>
      <c r="G187" s="62">
        <v>0.0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>
        <v>148.0</v>
      </c>
    </row>
    <row r="188">
      <c r="A188" s="7"/>
      <c r="B188" s="7"/>
      <c r="C188" s="7"/>
      <c r="D188" s="62">
        <v>187.0</v>
      </c>
      <c r="E188" s="61">
        <v>17857.0</v>
      </c>
      <c r="F188" s="62">
        <f t="shared" si="2"/>
        <v>179</v>
      </c>
      <c r="G188" s="62">
        <v>1.0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>
        <v>148.0</v>
      </c>
    </row>
    <row r="189">
      <c r="A189" s="7"/>
      <c r="B189" s="7"/>
      <c r="C189" s="7"/>
      <c r="D189" s="62">
        <v>188.0</v>
      </c>
      <c r="E189" s="61">
        <v>18005.0</v>
      </c>
      <c r="F189" s="62">
        <f t="shared" si="2"/>
        <v>179</v>
      </c>
      <c r="G189" s="62">
        <v>0.0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>
        <v>148.0</v>
      </c>
    </row>
    <row r="190">
      <c r="A190" s="7"/>
      <c r="B190" s="7"/>
      <c r="C190" s="7"/>
      <c r="D190" s="62">
        <v>189.0</v>
      </c>
      <c r="E190" s="61">
        <v>18154.0</v>
      </c>
      <c r="F190" s="62">
        <f t="shared" si="2"/>
        <v>179</v>
      </c>
      <c r="G190" s="62">
        <v>0.0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>
        <v>149.0</v>
      </c>
    </row>
    <row r="191">
      <c r="A191" s="7"/>
      <c r="B191" s="7"/>
      <c r="C191" s="7"/>
      <c r="D191" s="62">
        <v>190.0</v>
      </c>
      <c r="E191" s="61">
        <v>18303.0</v>
      </c>
      <c r="F191" s="62">
        <f t="shared" si="2"/>
        <v>180</v>
      </c>
      <c r="G191" s="62">
        <v>1.0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>
        <v>149.0</v>
      </c>
    </row>
    <row r="192">
      <c r="A192" s="7"/>
      <c r="B192" s="7"/>
      <c r="C192" s="7"/>
      <c r="D192" s="62">
        <v>191.0</v>
      </c>
      <c r="E192" s="61">
        <v>18452.0</v>
      </c>
      <c r="F192" s="62">
        <f t="shared" si="2"/>
        <v>180</v>
      </c>
      <c r="G192" s="62">
        <v>0.0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>
        <v>149.0</v>
      </c>
    </row>
    <row r="193">
      <c r="A193" s="7"/>
      <c r="B193" s="7"/>
      <c r="C193" s="7"/>
      <c r="D193" s="62">
        <v>192.0</v>
      </c>
      <c r="E193" s="61">
        <v>18602.0</v>
      </c>
      <c r="F193" s="62">
        <f t="shared" si="2"/>
        <v>180</v>
      </c>
      <c r="G193" s="62">
        <v>0.0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>
        <v>150.0</v>
      </c>
    </row>
    <row r="194">
      <c r="A194" s="7"/>
      <c r="B194" s="7"/>
      <c r="C194" s="7"/>
      <c r="D194" s="62">
        <v>193.0</v>
      </c>
      <c r="E194" s="61">
        <v>18752.0</v>
      </c>
      <c r="F194" s="62">
        <f t="shared" si="2"/>
        <v>181</v>
      </c>
      <c r="G194" s="62">
        <v>1.0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>
        <v>150.0</v>
      </c>
    </row>
    <row r="195">
      <c r="A195" s="7"/>
      <c r="B195" s="7"/>
      <c r="C195" s="7"/>
      <c r="D195" s="62">
        <v>194.0</v>
      </c>
      <c r="E195" s="61">
        <v>18902.0</v>
      </c>
      <c r="F195" s="62">
        <f t="shared" si="2"/>
        <v>181</v>
      </c>
      <c r="G195" s="62">
        <v>0.0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>
        <v>150.0</v>
      </c>
    </row>
    <row r="196">
      <c r="A196" s="7"/>
      <c r="B196" s="7"/>
      <c r="C196" s="7"/>
      <c r="D196" s="62">
        <v>195.0</v>
      </c>
      <c r="E196" s="61">
        <v>19053.0</v>
      </c>
      <c r="F196" s="62">
        <f t="shared" si="2"/>
        <v>181</v>
      </c>
      <c r="G196" s="62">
        <v>0.0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>
        <v>151.0</v>
      </c>
    </row>
    <row r="197">
      <c r="A197" s="7"/>
      <c r="B197" s="7"/>
      <c r="C197" s="7"/>
      <c r="D197" s="62">
        <v>196.0</v>
      </c>
      <c r="E197" s="61">
        <v>19204.0</v>
      </c>
      <c r="F197" s="62">
        <f t="shared" si="2"/>
        <v>182</v>
      </c>
      <c r="G197" s="62">
        <v>1.0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>
        <v>151.0</v>
      </c>
    </row>
    <row r="198">
      <c r="A198" s="7"/>
      <c r="B198" s="7"/>
      <c r="C198" s="7"/>
      <c r="D198" s="62">
        <v>197.0</v>
      </c>
      <c r="E198" s="61">
        <v>19355.0</v>
      </c>
      <c r="F198" s="62">
        <f t="shared" si="2"/>
        <v>182</v>
      </c>
      <c r="G198" s="62">
        <v>0.0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>
        <v>151.0</v>
      </c>
    </row>
    <row r="199">
      <c r="A199" s="7"/>
      <c r="B199" s="7"/>
      <c r="C199" s="7"/>
      <c r="D199" s="62">
        <v>198.0</v>
      </c>
      <c r="E199" s="61">
        <v>19507.0</v>
      </c>
      <c r="F199" s="62">
        <f t="shared" si="2"/>
        <v>182</v>
      </c>
      <c r="G199" s="62">
        <v>0.0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>
        <v>152.0</v>
      </c>
    </row>
    <row r="200">
      <c r="A200" s="7"/>
      <c r="B200" s="7"/>
      <c r="C200" s="7"/>
      <c r="D200" s="62">
        <v>199.0</v>
      </c>
      <c r="E200" s="61">
        <v>19659.0</v>
      </c>
      <c r="F200" s="62">
        <f t="shared" si="2"/>
        <v>183</v>
      </c>
      <c r="G200" s="62">
        <v>1.0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>
        <v>152.0</v>
      </c>
    </row>
    <row r="201">
      <c r="A201" s="7"/>
      <c r="B201" s="7"/>
      <c r="C201" s="7"/>
      <c r="D201" s="62">
        <v>200.0</v>
      </c>
      <c r="E201" s="7">
        <v>19811.0</v>
      </c>
      <c r="F201" s="62">
        <f t="shared" si="2"/>
        <v>183</v>
      </c>
      <c r="G201" s="62">
        <v>0.0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>
        <v>152.0</v>
      </c>
    </row>
    <row r="202">
      <c r="A202" s="7"/>
      <c r="B202" s="7"/>
      <c r="C202" s="7"/>
      <c r="D202" s="62">
        <v>201.0</v>
      </c>
      <c r="E202" s="7">
        <v>19964.0</v>
      </c>
      <c r="F202" s="62">
        <f t="shared" si="2"/>
        <v>183</v>
      </c>
      <c r="G202" s="62">
        <v>0.0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>
        <v>153.0</v>
      </c>
    </row>
    <row r="203">
      <c r="A203" s="7"/>
      <c r="B203" s="7"/>
      <c r="C203" s="7"/>
      <c r="D203" s="62">
        <v>202.0</v>
      </c>
      <c r="E203" s="7">
        <v>20117.0</v>
      </c>
      <c r="F203" s="62">
        <f t="shared" si="2"/>
        <v>184</v>
      </c>
      <c r="G203" s="62">
        <v>1.0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>
        <v>153.0</v>
      </c>
    </row>
    <row r="204">
      <c r="A204" s="7"/>
      <c r="B204" s="7"/>
      <c r="C204" s="7"/>
      <c r="D204" s="62">
        <v>203.0</v>
      </c>
      <c r="E204" s="7">
        <v>20270.0</v>
      </c>
      <c r="F204" s="62">
        <f t="shared" si="2"/>
        <v>184</v>
      </c>
      <c r="G204" s="62">
        <v>0.0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>
        <v>153.0</v>
      </c>
    </row>
    <row r="205">
      <c r="A205" s="7"/>
      <c r="B205" s="7"/>
      <c r="C205" s="7"/>
      <c r="D205" s="62">
        <v>204.0</v>
      </c>
      <c r="E205" s="7">
        <v>20424.0</v>
      </c>
      <c r="F205" s="62">
        <f t="shared" si="2"/>
        <v>184</v>
      </c>
      <c r="G205" s="62">
        <v>0.0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>
        <v>154.0</v>
      </c>
    </row>
    <row r="206">
      <c r="A206" s="7"/>
      <c r="B206" s="7"/>
      <c r="C206" s="7"/>
      <c r="D206" s="62">
        <v>205.0</v>
      </c>
      <c r="E206" s="7">
        <v>20578.0</v>
      </c>
      <c r="F206" s="62">
        <f t="shared" si="2"/>
        <v>185</v>
      </c>
      <c r="G206" s="62">
        <v>1.0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>
        <v>154.0</v>
      </c>
    </row>
    <row r="207">
      <c r="A207" s="7"/>
      <c r="B207" s="7"/>
      <c r="C207" s="7"/>
      <c r="D207" s="62">
        <v>206.0</v>
      </c>
      <c r="E207" s="7">
        <v>20732.0</v>
      </c>
      <c r="F207" s="62">
        <f t="shared" si="2"/>
        <v>185</v>
      </c>
      <c r="G207" s="62">
        <v>0.0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>
        <v>154.0</v>
      </c>
    </row>
    <row r="208">
      <c r="A208" s="7"/>
      <c r="B208" s="7"/>
      <c r="C208" s="7"/>
      <c r="D208" s="62">
        <v>207.0</v>
      </c>
      <c r="E208" s="7">
        <v>20887.0</v>
      </c>
      <c r="F208" s="62">
        <f t="shared" si="2"/>
        <v>185</v>
      </c>
      <c r="G208" s="62">
        <v>0.0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>
        <v>155.0</v>
      </c>
    </row>
    <row r="209">
      <c r="A209" s="7"/>
      <c r="B209" s="7"/>
      <c r="C209" s="7"/>
      <c r="D209" s="62">
        <v>208.0</v>
      </c>
      <c r="E209" s="7">
        <v>21042.0</v>
      </c>
      <c r="F209" s="62">
        <f t="shared" si="2"/>
        <v>186</v>
      </c>
      <c r="G209" s="62">
        <v>1.0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>
        <v>155.0</v>
      </c>
    </row>
    <row r="210">
      <c r="A210" s="7"/>
      <c r="B210" s="7"/>
      <c r="C210" s="7"/>
      <c r="D210" s="62">
        <v>209.0</v>
      </c>
      <c r="E210" s="7">
        <v>21197.0</v>
      </c>
      <c r="F210" s="62">
        <f t="shared" si="2"/>
        <v>186</v>
      </c>
      <c r="G210" s="62">
        <v>0.0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>
        <v>155.0</v>
      </c>
    </row>
    <row r="211">
      <c r="A211" s="7"/>
      <c r="B211" s="7"/>
      <c r="C211" s="7"/>
      <c r="D211" s="62">
        <v>210.0</v>
      </c>
      <c r="E211" s="7">
        <v>21353.0</v>
      </c>
      <c r="F211" s="62">
        <f t="shared" si="2"/>
        <v>186</v>
      </c>
      <c r="G211" s="62">
        <v>0.0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>
        <v>156.0</v>
      </c>
    </row>
    <row r="212">
      <c r="A212" s="7"/>
      <c r="B212" s="7"/>
      <c r="C212" s="7"/>
      <c r="D212" s="62">
        <v>211.0</v>
      </c>
      <c r="E212" s="7">
        <v>21509.0</v>
      </c>
      <c r="F212" s="62">
        <f t="shared" si="2"/>
        <v>187</v>
      </c>
      <c r="G212" s="62">
        <v>1.0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>
        <v>156.0</v>
      </c>
    </row>
    <row r="213">
      <c r="A213" s="7"/>
      <c r="B213" s="7"/>
      <c r="C213" s="7"/>
      <c r="D213" s="62">
        <v>212.0</v>
      </c>
      <c r="E213" s="7">
        <v>21665.0</v>
      </c>
      <c r="F213" s="62">
        <f t="shared" si="2"/>
        <v>187</v>
      </c>
      <c r="G213" s="62">
        <v>0.0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>
        <v>156.0</v>
      </c>
    </row>
    <row r="214">
      <c r="A214" s="7"/>
      <c r="B214" s="7"/>
      <c r="C214" s="7"/>
      <c r="D214" s="62">
        <v>213.0</v>
      </c>
      <c r="E214" s="7">
        <v>21822.0</v>
      </c>
      <c r="F214" s="62">
        <f t="shared" si="2"/>
        <v>187</v>
      </c>
      <c r="G214" s="62">
        <v>0.0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>
        <v>157.0</v>
      </c>
    </row>
    <row r="215">
      <c r="A215" s="7"/>
      <c r="B215" s="7"/>
      <c r="C215" s="7"/>
      <c r="D215" s="62">
        <v>214.0</v>
      </c>
      <c r="E215" s="7">
        <v>21979.0</v>
      </c>
      <c r="F215" s="62">
        <f t="shared" si="2"/>
        <v>188</v>
      </c>
      <c r="G215" s="62">
        <v>1.0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>
        <v>157.0</v>
      </c>
    </row>
    <row r="216">
      <c r="A216" s="7"/>
      <c r="B216" s="7"/>
      <c r="C216" s="7"/>
      <c r="D216" s="62">
        <v>215.0</v>
      </c>
      <c r="E216" s="7">
        <v>22136.0</v>
      </c>
      <c r="F216" s="62">
        <f t="shared" si="2"/>
        <v>188</v>
      </c>
      <c r="G216" s="62">
        <v>0.0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>
        <v>157.0</v>
      </c>
    </row>
    <row r="217">
      <c r="A217" s="7"/>
      <c r="B217" s="7"/>
      <c r="C217" s="7"/>
      <c r="D217" s="62">
        <v>216.0</v>
      </c>
      <c r="E217" s="7">
        <v>22294.0</v>
      </c>
      <c r="F217" s="62">
        <f t="shared" si="2"/>
        <v>188</v>
      </c>
      <c r="G217" s="62">
        <v>0.0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>
        <v>158.0</v>
      </c>
    </row>
    <row r="218">
      <c r="A218" s="7"/>
      <c r="B218" s="7"/>
      <c r="C218" s="7"/>
      <c r="D218" s="62">
        <v>217.0</v>
      </c>
      <c r="E218" s="7">
        <v>22452.0</v>
      </c>
      <c r="F218" s="62">
        <f t="shared" si="2"/>
        <v>189</v>
      </c>
      <c r="G218" s="62">
        <v>1.0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>
        <v>158.0</v>
      </c>
    </row>
    <row r="219">
      <c r="A219" s="7"/>
      <c r="B219" s="7"/>
      <c r="C219" s="7"/>
      <c r="D219" s="62">
        <v>218.0</v>
      </c>
      <c r="E219" s="7">
        <v>22610.0</v>
      </c>
      <c r="F219" s="62">
        <f t="shared" si="2"/>
        <v>189</v>
      </c>
      <c r="G219" s="62">
        <v>0.0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>
        <v>158.0</v>
      </c>
    </row>
    <row r="220">
      <c r="A220" s="7"/>
      <c r="B220" s="7"/>
      <c r="C220" s="7"/>
      <c r="D220" s="62">
        <v>219.0</v>
      </c>
      <c r="E220" s="7">
        <v>22769.0</v>
      </c>
      <c r="F220" s="62">
        <f t="shared" si="2"/>
        <v>189</v>
      </c>
      <c r="G220" s="62">
        <v>0.0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>
        <v>159.0</v>
      </c>
    </row>
    <row r="221">
      <c r="A221" s="7"/>
      <c r="B221" s="7"/>
      <c r="C221" s="7"/>
      <c r="D221" s="62">
        <v>220.0</v>
      </c>
      <c r="E221" s="7">
        <v>22928.0</v>
      </c>
      <c r="F221" s="62">
        <f t="shared" si="2"/>
        <v>190</v>
      </c>
      <c r="G221" s="62">
        <v>1.0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>
        <v>159.0</v>
      </c>
    </row>
    <row r="222">
      <c r="A222" s="7"/>
      <c r="B222" s="7"/>
      <c r="C222" s="7"/>
      <c r="D222" s="62">
        <v>221.0</v>
      </c>
      <c r="E222" s="7">
        <v>23087.0</v>
      </c>
      <c r="F222" s="62">
        <f t="shared" si="2"/>
        <v>190</v>
      </c>
      <c r="G222" s="62">
        <v>0.0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>
        <v>159.0</v>
      </c>
    </row>
    <row r="223">
      <c r="A223" s="7"/>
      <c r="B223" s="7"/>
      <c r="C223" s="7"/>
      <c r="D223" s="62">
        <v>222.0</v>
      </c>
      <c r="E223" s="7">
        <v>23247.0</v>
      </c>
      <c r="F223" s="62">
        <f t="shared" si="2"/>
        <v>190</v>
      </c>
      <c r="G223" s="62">
        <v>0.0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>
        <v>160.0</v>
      </c>
    </row>
    <row r="224">
      <c r="A224" s="7"/>
      <c r="B224" s="7"/>
      <c r="C224" s="7"/>
      <c r="D224" s="62">
        <v>223.0</v>
      </c>
      <c r="E224" s="7">
        <v>23407.0</v>
      </c>
      <c r="F224" s="62">
        <f t="shared" si="2"/>
        <v>191</v>
      </c>
      <c r="G224" s="62">
        <v>1.0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>
        <v>160.0</v>
      </c>
    </row>
    <row r="225">
      <c r="A225" s="7"/>
      <c r="B225" s="7"/>
      <c r="C225" s="7"/>
      <c r="D225" s="62">
        <v>224.0</v>
      </c>
      <c r="E225" s="7">
        <v>23567.0</v>
      </c>
      <c r="F225" s="62">
        <f t="shared" si="2"/>
        <v>191</v>
      </c>
      <c r="G225" s="62">
        <v>0.0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>
        <v>160.0</v>
      </c>
    </row>
    <row r="226">
      <c r="A226" s="7"/>
      <c r="B226" s="7"/>
      <c r="C226" s="7"/>
      <c r="D226" s="62">
        <v>225.0</v>
      </c>
      <c r="E226" s="7">
        <v>23728.0</v>
      </c>
      <c r="F226" s="62">
        <f t="shared" si="2"/>
        <v>191</v>
      </c>
      <c r="G226" s="62">
        <v>0.0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>
        <v>161.0</v>
      </c>
    </row>
    <row r="227">
      <c r="A227" s="7"/>
      <c r="B227" s="7"/>
      <c r="C227" s="7"/>
      <c r="D227" s="62">
        <v>226.0</v>
      </c>
      <c r="E227" s="7">
        <v>23889.0</v>
      </c>
      <c r="F227" s="62">
        <f t="shared" si="2"/>
        <v>192</v>
      </c>
      <c r="G227" s="62">
        <v>1.0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>
        <v>161.0</v>
      </c>
    </row>
    <row r="228">
      <c r="A228" s="7"/>
      <c r="B228" s="7"/>
      <c r="C228" s="7"/>
      <c r="D228" s="62">
        <v>227.0</v>
      </c>
      <c r="E228" s="7">
        <v>24050.0</v>
      </c>
      <c r="F228" s="62">
        <f t="shared" si="2"/>
        <v>192</v>
      </c>
      <c r="G228" s="62">
        <v>0.0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>
        <v>161.0</v>
      </c>
    </row>
    <row r="229">
      <c r="A229" s="7"/>
      <c r="B229" s="7"/>
      <c r="C229" s="7"/>
      <c r="D229" s="62">
        <v>228.0</v>
      </c>
      <c r="E229" s="7">
        <v>24212.0</v>
      </c>
      <c r="F229" s="62">
        <f t="shared" si="2"/>
        <v>192</v>
      </c>
      <c r="G229" s="62">
        <v>0.0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>
        <v>162.0</v>
      </c>
    </row>
    <row r="230">
      <c r="A230" s="7"/>
      <c r="B230" s="7"/>
      <c r="C230" s="7"/>
      <c r="D230" s="62">
        <v>229.0</v>
      </c>
      <c r="E230" s="7">
        <v>24374.0</v>
      </c>
      <c r="F230" s="62">
        <f t="shared" si="2"/>
        <v>193</v>
      </c>
      <c r="G230" s="62">
        <v>1.0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>
        <v>162.0</v>
      </c>
    </row>
    <row r="231">
      <c r="A231" s="7"/>
      <c r="B231" s="7"/>
      <c r="C231" s="7"/>
      <c r="D231" s="62">
        <v>230.0</v>
      </c>
      <c r="E231" s="7">
        <v>24536.0</v>
      </c>
      <c r="F231" s="62">
        <f t="shared" si="2"/>
        <v>193</v>
      </c>
      <c r="G231" s="62">
        <v>0.0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>
        <v>162.0</v>
      </c>
    </row>
    <row r="232">
      <c r="A232" s="7"/>
      <c r="B232" s="7"/>
      <c r="C232" s="7"/>
      <c r="D232" s="62">
        <v>231.0</v>
      </c>
      <c r="E232" s="7">
        <v>24699.0</v>
      </c>
      <c r="F232" s="62">
        <f t="shared" si="2"/>
        <v>193</v>
      </c>
      <c r="G232" s="62">
        <v>0.0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>
        <v>163.0</v>
      </c>
    </row>
    <row r="233">
      <c r="A233" s="7"/>
      <c r="B233" s="7"/>
      <c r="C233" s="7"/>
      <c r="D233" s="62">
        <v>232.0</v>
      </c>
      <c r="E233" s="7">
        <v>24862.0</v>
      </c>
      <c r="F233" s="62">
        <f t="shared" si="2"/>
        <v>194</v>
      </c>
      <c r="G233" s="62">
        <v>1.0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>
        <v>163.0</v>
      </c>
    </row>
    <row r="234">
      <c r="A234" s="7"/>
      <c r="B234" s="7"/>
      <c r="C234" s="7"/>
      <c r="D234" s="62">
        <v>233.0</v>
      </c>
      <c r="E234" s="7">
        <v>25025.0</v>
      </c>
      <c r="F234" s="62">
        <f t="shared" si="2"/>
        <v>194</v>
      </c>
      <c r="G234" s="62">
        <v>0.0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>
        <v>163.0</v>
      </c>
    </row>
    <row r="235">
      <c r="A235" s="7"/>
      <c r="B235" s="7"/>
      <c r="C235" s="7"/>
      <c r="D235" s="62">
        <v>234.0</v>
      </c>
      <c r="E235" s="7">
        <v>25189.0</v>
      </c>
      <c r="F235" s="62">
        <f t="shared" si="2"/>
        <v>194</v>
      </c>
      <c r="G235" s="62">
        <v>0.0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>
        <v>164.0</v>
      </c>
    </row>
    <row r="236">
      <c r="A236" s="7"/>
      <c r="B236" s="7"/>
      <c r="C236" s="7"/>
      <c r="D236" s="62">
        <v>235.0</v>
      </c>
      <c r="E236" s="7">
        <v>25353.0</v>
      </c>
      <c r="F236" s="62">
        <f t="shared" si="2"/>
        <v>195</v>
      </c>
      <c r="G236" s="62">
        <v>1.0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>
        <v>164.0</v>
      </c>
    </row>
    <row r="237">
      <c r="A237" s="7"/>
      <c r="B237" s="7"/>
      <c r="C237" s="7"/>
      <c r="D237" s="62">
        <v>236.0</v>
      </c>
      <c r="E237" s="7">
        <v>25517.0</v>
      </c>
      <c r="F237" s="62">
        <f t="shared" si="2"/>
        <v>195</v>
      </c>
      <c r="G237" s="62">
        <v>0.0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>
        <v>164.0</v>
      </c>
    </row>
    <row r="238">
      <c r="A238" s="7"/>
      <c r="B238" s="7"/>
      <c r="C238" s="7"/>
      <c r="D238" s="62">
        <v>237.0</v>
      </c>
      <c r="E238" s="7">
        <v>25682.0</v>
      </c>
      <c r="F238" s="62">
        <f t="shared" si="2"/>
        <v>195</v>
      </c>
      <c r="G238" s="62">
        <v>0.0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>
        <v>165.0</v>
      </c>
    </row>
    <row r="239">
      <c r="A239" s="7"/>
      <c r="B239" s="7"/>
      <c r="C239" s="7"/>
      <c r="D239" s="62">
        <v>238.0</v>
      </c>
      <c r="E239" s="7">
        <v>25847.0</v>
      </c>
      <c r="F239" s="62">
        <f t="shared" si="2"/>
        <v>196</v>
      </c>
      <c r="G239" s="62">
        <v>1.0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>
        <v>165.0</v>
      </c>
    </row>
    <row r="240">
      <c r="A240" s="7"/>
      <c r="B240" s="7"/>
      <c r="C240" s="7"/>
      <c r="D240" s="62">
        <v>239.0</v>
      </c>
      <c r="E240" s="7">
        <v>26012.0</v>
      </c>
      <c r="F240" s="62">
        <f t="shared" si="2"/>
        <v>196</v>
      </c>
      <c r="G240" s="62">
        <v>0.0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>
        <v>165.0</v>
      </c>
    </row>
    <row r="241">
      <c r="A241" s="7"/>
      <c r="B241" s="7"/>
      <c r="C241" s="7"/>
      <c r="D241" s="62">
        <v>240.0</v>
      </c>
      <c r="E241" s="7">
        <v>26178.0</v>
      </c>
      <c r="F241" s="62">
        <f t="shared" si="2"/>
        <v>196</v>
      </c>
      <c r="G241" s="62">
        <v>0.0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>
        <v>166.0</v>
      </c>
    </row>
    <row r="242">
      <c r="A242" s="7"/>
      <c r="B242" s="7"/>
      <c r="C242" s="7"/>
      <c r="D242" s="62">
        <v>241.0</v>
      </c>
      <c r="E242" s="7">
        <v>26344.0</v>
      </c>
      <c r="F242" s="62">
        <f t="shared" si="2"/>
        <v>197</v>
      </c>
      <c r="G242" s="62">
        <v>1.0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>
        <v>166.0</v>
      </c>
    </row>
    <row r="243">
      <c r="A243" s="7"/>
      <c r="B243" s="7"/>
      <c r="C243" s="7"/>
      <c r="D243" s="62">
        <v>242.0</v>
      </c>
      <c r="E243" s="7">
        <v>26510.0</v>
      </c>
      <c r="F243" s="62">
        <f t="shared" si="2"/>
        <v>197</v>
      </c>
      <c r="G243" s="62">
        <v>0.0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>
        <v>166.0</v>
      </c>
    </row>
    <row r="244">
      <c r="A244" s="7"/>
      <c r="B244" s="7"/>
      <c r="C244" s="7"/>
      <c r="D244" s="62">
        <v>243.0</v>
      </c>
      <c r="E244" s="7">
        <v>26677.0</v>
      </c>
      <c r="F244" s="62">
        <f t="shared" si="2"/>
        <v>197</v>
      </c>
      <c r="G244" s="62">
        <v>0.0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>
        <v>167.0</v>
      </c>
    </row>
    <row r="245">
      <c r="A245" s="7"/>
      <c r="B245" s="7"/>
      <c r="C245" s="7"/>
      <c r="D245" s="62">
        <v>244.0</v>
      </c>
      <c r="E245" s="7">
        <v>26844.0</v>
      </c>
      <c r="F245" s="62">
        <f t="shared" si="2"/>
        <v>198</v>
      </c>
      <c r="G245" s="62">
        <v>1.0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>
        <v>167.0</v>
      </c>
    </row>
    <row r="246">
      <c r="A246" s="7"/>
      <c r="B246" s="7"/>
      <c r="C246" s="7"/>
      <c r="D246" s="62">
        <v>245.0</v>
      </c>
      <c r="E246" s="7">
        <v>27011.0</v>
      </c>
      <c r="F246" s="62">
        <f t="shared" si="2"/>
        <v>198</v>
      </c>
      <c r="G246" s="62">
        <v>0.0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>
        <v>167.0</v>
      </c>
    </row>
    <row r="247">
      <c r="A247" s="7"/>
      <c r="B247" s="7"/>
      <c r="C247" s="7"/>
      <c r="D247" s="62">
        <v>246.0</v>
      </c>
      <c r="E247" s="7">
        <v>27179.0</v>
      </c>
      <c r="F247" s="62">
        <f t="shared" si="2"/>
        <v>198</v>
      </c>
      <c r="G247" s="62">
        <v>0.0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>
        <v>168.0</v>
      </c>
    </row>
    <row r="248">
      <c r="A248" s="7"/>
      <c r="B248" s="7"/>
      <c r="C248" s="7"/>
      <c r="D248" s="62">
        <v>247.0</v>
      </c>
      <c r="E248" s="7">
        <v>27347.0</v>
      </c>
      <c r="F248" s="62">
        <f t="shared" si="2"/>
        <v>199</v>
      </c>
      <c r="G248" s="62">
        <v>1.0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>
        <v>168.0</v>
      </c>
    </row>
    <row r="249">
      <c r="A249" s="7"/>
      <c r="B249" s="7"/>
      <c r="C249" s="7"/>
      <c r="D249" s="62">
        <v>248.0</v>
      </c>
      <c r="E249" s="7">
        <v>27515.0</v>
      </c>
      <c r="F249" s="62">
        <f t="shared" si="2"/>
        <v>199</v>
      </c>
      <c r="G249" s="62">
        <v>0.0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>
        <v>168.0</v>
      </c>
    </row>
    <row r="250">
      <c r="A250" s="7"/>
      <c r="B250" s="7"/>
      <c r="C250" s="7"/>
      <c r="D250" s="62">
        <v>249.0</v>
      </c>
      <c r="E250" s="7">
        <v>27684.0</v>
      </c>
      <c r="F250" s="62">
        <f t="shared" si="2"/>
        <v>199</v>
      </c>
      <c r="G250" s="62">
        <v>0.0</v>
      </c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>
        <v>169.0</v>
      </c>
    </row>
    <row r="251">
      <c r="A251" s="7"/>
      <c r="B251" s="7"/>
      <c r="C251" s="7"/>
      <c r="D251" s="62">
        <v>250.0</v>
      </c>
      <c r="E251" s="7">
        <v>27853.0</v>
      </c>
      <c r="F251" s="62">
        <f t="shared" si="2"/>
        <v>200</v>
      </c>
      <c r="G251" s="62">
        <v>1.0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>
        <v>169.0</v>
      </c>
    </row>
    <row r="252">
      <c r="A252" s="7"/>
      <c r="B252" s="7"/>
      <c r="C252" s="7"/>
      <c r="D252" s="62">
        <v>251.0</v>
      </c>
      <c r="E252" s="7">
        <v>28022.0</v>
      </c>
      <c r="F252" s="62">
        <f t="shared" si="2"/>
        <v>200</v>
      </c>
      <c r="G252" s="62">
        <v>0.0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>
        <v>169.0</v>
      </c>
    </row>
    <row r="253">
      <c r="A253" s="7"/>
      <c r="B253" s="7"/>
      <c r="C253" s="7"/>
      <c r="D253" s="62">
        <v>252.0</v>
      </c>
      <c r="E253" s="7">
        <v>28192.0</v>
      </c>
      <c r="F253" s="62">
        <f t="shared" si="2"/>
        <v>200</v>
      </c>
      <c r="G253" s="62">
        <v>0.0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>
        <v>170.0</v>
      </c>
    </row>
    <row r="254">
      <c r="A254" s="7"/>
      <c r="B254" s="7"/>
      <c r="C254" s="7"/>
      <c r="D254" s="62">
        <v>253.0</v>
      </c>
      <c r="E254" s="7">
        <v>28362.0</v>
      </c>
      <c r="F254" s="62">
        <f t="shared" si="2"/>
        <v>201</v>
      </c>
      <c r="G254" s="62">
        <v>1.0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>
        <v>170.0</v>
      </c>
    </row>
    <row r="255">
      <c r="A255" s="7"/>
      <c r="B255" s="7"/>
      <c r="C255" s="7"/>
      <c r="D255" s="62">
        <v>254.0</v>
      </c>
      <c r="E255" s="7">
        <v>28532.0</v>
      </c>
      <c r="F255" s="62">
        <f t="shared" si="2"/>
        <v>201</v>
      </c>
      <c r="G255" s="62">
        <v>0.0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>
        <v>170.0</v>
      </c>
    </row>
    <row r="256">
      <c r="A256" s="7"/>
      <c r="B256" s="7"/>
      <c r="C256" s="7"/>
      <c r="D256" s="62">
        <v>255.0</v>
      </c>
      <c r="E256" s="7">
        <v>28703.0</v>
      </c>
      <c r="F256" s="62">
        <f t="shared" si="2"/>
        <v>201</v>
      </c>
      <c r="G256" s="62">
        <v>0.0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>
        <v>171.0</v>
      </c>
    </row>
    <row r="257">
      <c r="A257" s="7"/>
      <c r="B257" s="7"/>
      <c r="C257" s="7"/>
      <c r="D257" s="62">
        <v>256.0</v>
      </c>
      <c r="E257" s="7">
        <v>28874.0</v>
      </c>
      <c r="F257" s="62">
        <f t="shared" si="2"/>
        <v>202</v>
      </c>
      <c r="G257" s="62">
        <v>1.0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>
        <v>171.0</v>
      </c>
    </row>
    <row r="258">
      <c r="A258" s="7"/>
      <c r="B258" s="7"/>
      <c r="C258" s="7"/>
      <c r="D258" s="62">
        <v>257.0</v>
      </c>
      <c r="E258" s="7">
        <v>29045.0</v>
      </c>
      <c r="F258" s="62">
        <f t="shared" si="2"/>
        <v>202</v>
      </c>
      <c r="G258" s="62">
        <v>0.0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>
        <v>171.0</v>
      </c>
    </row>
    <row r="259">
      <c r="A259" s="7"/>
      <c r="B259" s="7"/>
      <c r="C259" s="7"/>
      <c r="D259" s="62">
        <v>258.0</v>
      </c>
      <c r="E259" s="7">
        <v>29217.0</v>
      </c>
      <c r="F259" s="62">
        <f t="shared" si="2"/>
        <v>202</v>
      </c>
      <c r="G259" s="62">
        <v>0.0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>
        <v>172.0</v>
      </c>
    </row>
    <row r="260">
      <c r="A260" s="7"/>
      <c r="B260" s="7"/>
      <c r="C260" s="7"/>
      <c r="D260" s="62">
        <v>259.0</v>
      </c>
      <c r="E260" s="7">
        <v>29389.0</v>
      </c>
      <c r="F260" s="62">
        <f t="shared" si="2"/>
        <v>203</v>
      </c>
      <c r="G260" s="62">
        <v>1.0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>
        <v>172.0</v>
      </c>
    </row>
    <row r="261">
      <c r="A261" s="7"/>
      <c r="B261" s="7"/>
      <c r="C261" s="7"/>
      <c r="D261" s="62">
        <v>260.0</v>
      </c>
      <c r="E261" s="7">
        <v>29561.0</v>
      </c>
      <c r="F261" s="62">
        <f t="shared" si="2"/>
        <v>203</v>
      </c>
      <c r="G261" s="62">
        <v>0.0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>
        <v>172.0</v>
      </c>
    </row>
    <row r="262">
      <c r="A262" s="7"/>
      <c r="B262" s="7"/>
      <c r="C262" s="7"/>
      <c r="D262" s="62">
        <v>261.0</v>
      </c>
      <c r="E262" s="7">
        <v>29734.0</v>
      </c>
      <c r="F262" s="62">
        <f t="shared" si="2"/>
        <v>203</v>
      </c>
      <c r="G262" s="62">
        <v>0.0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>
        <v>173.0</v>
      </c>
    </row>
    <row r="263">
      <c r="A263" s="7"/>
      <c r="B263" s="7"/>
      <c r="C263" s="7"/>
      <c r="D263" s="62">
        <v>262.0</v>
      </c>
      <c r="E263" s="7">
        <v>29907.0</v>
      </c>
      <c r="F263" s="62">
        <f t="shared" si="2"/>
        <v>204</v>
      </c>
      <c r="G263" s="62">
        <v>1.0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>
        <v>173.0</v>
      </c>
    </row>
    <row r="264">
      <c r="A264" s="7"/>
      <c r="B264" s="7"/>
      <c r="C264" s="7"/>
      <c r="D264" s="62">
        <v>263.0</v>
      </c>
      <c r="E264" s="7">
        <v>30080.0</v>
      </c>
      <c r="F264" s="62">
        <f t="shared" si="2"/>
        <v>204</v>
      </c>
      <c r="G264" s="62">
        <v>0.0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>
        <v>173.0</v>
      </c>
    </row>
    <row r="265">
      <c r="A265" s="7"/>
      <c r="B265" s="7"/>
      <c r="C265" s="7"/>
      <c r="D265" s="62">
        <v>264.0</v>
      </c>
      <c r="E265" s="7">
        <v>30254.0</v>
      </c>
      <c r="F265" s="62">
        <f t="shared" si="2"/>
        <v>204</v>
      </c>
      <c r="G265" s="62">
        <v>0.0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>
        <v>174.0</v>
      </c>
    </row>
    <row r="266">
      <c r="A266" s="7"/>
      <c r="B266" s="7"/>
      <c r="C266" s="7"/>
      <c r="D266" s="62">
        <v>265.0</v>
      </c>
      <c r="E266" s="7">
        <v>30428.0</v>
      </c>
      <c r="F266" s="62">
        <f t="shared" si="2"/>
        <v>205</v>
      </c>
      <c r="G266" s="62">
        <v>1.0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>
        <v>174.0</v>
      </c>
    </row>
    <row r="267">
      <c r="A267" s="7"/>
      <c r="B267" s="7"/>
      <c r="C267" s="7"/>
      <c r="D267" s="62">
        <v>266.0</v>
      </c>
      <c r="E267" s="7">
        <v>30602.0</v>
      </c>
      <c r="F267" s="62">
        <f t="shared" si="2"/>
        <v>205</v>
      </c>
      <c r="G267" s="62">
        <v>0.0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>
        <v>174.0</v>
      </c>
    </row>
    <row r="268">
      <c r="A268" s="7"/>
      <c r="B268" s="7"/>
      <c r="C268" s="7"/>
      <c r="D268" s="62">
        <v>267.0</v>
      </c>
      <c r="E268" s="7">
        <v>30777.0</v>
      </c>
      <c r="F268" s="62">
        <f t="shared" si="2"/>
        <v>205</v>
      </c>
      <c r="G268" s="62">
        <v>0.0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>
        <v>175.0</v>
      </c>
    </row>
    <row r="269">
      <c r="A269" s="7"/>
      <c r="B269" s="7"/>
      <c r="C269" s="7"/>
      <c r="D269" s="62">
        <v>268.0</v>
      </c>
      <c r="E269" s="7">
        <v>30952.0</v>
      </c>
      <c r="F269" s="62">
        <f t="shared" si="2"/>
        <v>206</v>
      </c>
      <c r="G269" s="62">
        <v>1.0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>
        <v>175.0</v>
      </c>
    </row>
    <row r="270">
      <c r="A270" s="7"/>
      <c r="B270" s="7"/>
      <c r="C270" s="7"/>
      <c r="D270" s="62">
        <v>269.0</v>
      </c>
      <c r="E270" s="7">
        <v>31127.0</v>
      </c>
      <c r="F270" s="62">
        <f t="shared" si="2"/>
        <v>206</v>
      </c>
      <c r="G270" s="62">
        <v>0.0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>
        <v>175.0</v>
      </c>
    </row>
    <row r="271">
      <c r="A271" s="7"/>
      <c r="B271" s="7"/>
      <c r="C271" s="7"/>
      <c r="D271" s="62">
        <v>270.0</v>
      </c>
      <c r="E271" s="7">
        <v>31303.0</v>
      </c>
      <c r="F271" s="62">
        <f t="shared" si="2"/>
        <v>206</v>
      </c>
      <c r="G271" s="62">
        <v>0.0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>
        <v>176.0</v>
      </c>
    </row>
    <row r="272">
      <c r="A272" s="7"/>
      <c r="B272" s="7"/>
      <c r="C272" s="7"/>
      <c r="D272" s="62">
        <v>271.0</v>
      </c>
      <c r="E272" s="7">
        <v>31479.0</v>
      </c>
      <c r="F272" s="62">
        <f t="shared" si="2"/>
        <v>207</v>
      </c>
      <c r="G272" s="62">
        <v>1.0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>
        <v>176.0</v>
      </c>
    </row>
    <row r="273">
      <c r="A273" s="7"/>
      <c r="B273" s="7"/>
      <c r="C273" s="7"/>
      <c r="D273" s="62">
        <v>272.0</v>
      </c>
      <c r="E273" s="7">
        <v>31655.0</v>
      </c>
      <c r="F273" s="62">
        <f t="shared" si="2"/>
        <v>207</v>
      </c>
      <c r="G273" s="62">
        <v>0.0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>
        <v>176.0</v>
      </c>
    </row>
    <row r="274">
      <c r="A274" s="7"/>
      <c r="B274" s="7"/>
      <c r="C274" s="7"/>
      <c r="D274" s="62">
        <v>273.0</v>
      </c>
      <c r="E274" s="7">
        <v>31832.0</v>
      </c>
      <c r="F274" s="62">
        <f t="shared" si="2"/>
        <v>207</v>
      </c>
      <c r="G274" s="62">
        <v>0.0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>
        <v>177.0</v>
      </c>
    </row>
    <row r="275">
      <c r="A275" s="7"/>
      <c r="B275" s="7"/>
      <c r="C275" s="7"/>
      <c r="D275" s="62">
        <v>274.0</v>
      </c>
      <c r="E275" s="7">
        <v>32009.0</v>
      </c>
      <c r="F275" s="62">
        <f t="shared" si="2"/>
        <v>208</v>
      </c>
      <c r="G275" s="62">
        <v>1.0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>
        <v>177.0</v>
      </c>
    </row>
    <row r="276">
      <c r="A276" s="7"/>
      <c r="B276" s="7"/>
      <c r="C276" s="7"/>
      <c r="D276" s="62">
        <v>275.0</v>
      </c>
      <c r="E276" s="7">
        <v>32186.0</v>
      </c>
      <c r="F276" s="62">
        <f t="shared" si="2"/>
        <v>208</v>
      </c>
      <c r="G276" s="62">
        <v>0.0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>
        <v>177.0</v>
      </c>
    </row>
    <row r="277">
      <c r="A277" s="7"/>
      <c r="B277" s="7"/>
      <c r="C277" s="7"/>
      <c r="D277" s="62">
        <v>276.0</v>
      </c>
      <c r="E277" s="7">
        <v>32364.0</v>
      </c>
      <c r="F277" s="62">
        <f t="shared" si="2"/>
        <v>208</v>
      </c>
      <c r="G277" s="62">
        <v>0.0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>
        <v>178.0</v>
      </c>
    </row>
    <row r="278">
      <c r="A278" s="7"/>
      <c r="B278" s="7"/>
      <c r="C278" s="7"/>
      <c r="D278" s="62">
        <v>277.0</v>
      </c>
      <c r="E278" s="7">
        <v>32542.0</v>
      </c>
      <c r="F278" s="62">
        <f t="shared" si="2"/>
        <v>209</v>
      </c>
      <c r="G278" s="62">
        <v>1.0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>
        <v>178.0</v>
      </c>
    </row>
    <row r="279">
      <c r="A279" s="7"/>
      <c r="B279" s="7"/>
      <c r="C279" s="7"/>
      <c r="D279" s="62">
        <v>278.0</v>
      </c>
      <c r="E279" s="7">
        <v>32720.0</v>
      </c>
      <c r="F279" s="62">
        <f t="shared" si="2"/>
        <v>209</v>
      </c>
      <c r="G279" s="62">
        <v>0.0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>
        <v>178.0</v>
      </c>
    </row>
    <row r="280">
      <c r="A280" s="7"/>
      <c r="B280" s="7"/>
      <c r="C280" s="7"/>
      <c r="D280" s="62">
        <v>279.0</v>
      </c>
      <c r="E280" s="7">
        <v>32899.0</v>
      </c>
      <c r="F280" s="62">
        <f t="shared" si="2"/>
        <v>209</v>
      </c>
      <c r="G280" s="62">
        <v>0.0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>
        <v>179.0</v>
      </c>
    </row>
    <row r="281">
      <c r="A281" s="7"/>
      <c r="B281" s="7"/>
      <c r="C281" s="7"/>
      <c r="D281" s="62">
        <v>280.0</v>
      </c>
      <c r="E281" s="7">
        <v>33078.0</v>
      </c>
      <c r="F281" s="62">
        <f t="shared" si="2"/>
        <v>210</v>
      </c>
      <c r="G281" s="62">
        <v>1.0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>
        <v>179.0</v>
      </c>
    </row>
    <row r="282">
      <c r="A282" s="7"/>
      <c r="B282" s="7"/>
      <c r="C282" s="7"/>
      <c r="D282" s="62">
        <v>281.0</v>
      </c>
      <c r="E282" s="7">
        <v>33257.0</v>
      </c>
      <c r="F282" s="62">
        <f t="shared" si="2"/>
        <v>210</v>
      </c>
      <c r="G282" s="62">
        <v>0.0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>
        <v>179.0</v>
      </c>
    </row>
    <row r="283">
      <c r="A283" s="7"/>
      <c r="B283" s="7"/>
      <c r="C283" s="7"/>
      <c r="D283" s="62">
        <v>282.0</v>
      </c>
      <c r="E283" s="7">
        <v>33437.0</v>
      </c>
      <c r="F283" s="62">
        <f t="shared" si="2"/>
        <v>210</v>
      </c>
      <c r="G283" s="62">
        <v>0.0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>
        <v>180.0</v>
      </c>
    </row>
    <row r="284">
      <c r="A284" s="7"/>
      <c r="B284" s="7"/>
      <c r="C284" s="7"/>
      <c r="D284" s="62">
        <v>283.0</v>
      </c>
      <c r="E284" s="7">
        <v>33617.0</v>
      </c>
      <c r="F284" s="62">
        <f t="shared" si="2"/>
        <v>211</v>
      </c>
      <c r="G284" s="62">
        <v>1.0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>
        <v>180.0</v>
      </c>
    </row>
    <row r="285">
      <c r="A285" s="7"/>
      <c r="B285" s="7"/>
      <c r="C285" s="7"/>
      <c r="D285" s="62">
        <v>284.0</v>
      </c>
      <c r="E285" s="7">
        <v>33797.0</v>
      </c>
      <c r="F285" s="62">
        <f t="shared" si="2"/>
        <v>211</v>
      </c>
      <c r="G285" s="62">
        <v>0.0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>
        <v>180.0</v>
      </c>
    </row>
    <row r="286">
      <c r="A286" s="7"/>
      <c r="B286" s="7"/>
      <c r="C286" s="7"/>
      <c r="D286" s="62">
        <v>285.0</v>
      </c>
      <c r="E286" s="7">
        <v>33978.0</v>
      </c>
      <c r="F286" s="62">
        <f t="shared" si="2"/>
        <v>211</v>
      </c>
      <c r="G286" s="62">
        <v>0.0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>
        <v>181.0</v>
      </c>
    </row>
    <row r="287">
      <c r="A287" s="7"/>
      <c r="B287" s="7"/>
      <c r="C287" s="7"/>
      <c r="D287" s="62">
        <v>286.0</v>
      </c>
      <c r="E287" s="7">
        <v>34159.0</v>
      </c>
      <c r="F287" s="62">
        <f t="shared" si="2"/>
        <v>212</v>
      </c>
      <c r="G287" s="62">
        <v>1.0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>
        <v>181.0</v>
      </c>
    </row>
    <row r="288">
      <c r="A288" s="7"/>
      <c r="B288" s="7"/>
      <c r="C288" s="7"/>
      <c r="D288" s="62">
        <v>287.0</v>
      </c>
      <c r="E288" s="7">
        <v>34340.0</v>
      </c>
      <c r="F288" s="62">
        <f t="shared" si="2"/>
        <v>212</v>
      </c>
      <c r="G288" s="62">
        <v>0.0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>
        <v>181.0</v>
      </c>
    </row>
    <row r="289">
      <c r="A289" s="7"/>
      <c r="B289" s="7"/>
      <c r="C289" s="7"/>
      <c r="D289" s="62">
        <v>288.0</v>
      </c>
      <c r="E289" s="7">
        <v>34522.0</v>
      </c>
      <c r="F289" s="62">
        <f t="shared" si="2"/>
        <v>212</v>
      </c>
      <c r="G289" s="62">
        <v>0.0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>
        <v>182.0</v>
      </c>
    </row>
    <row r="290">
      <c r="A290" s="7"/>
      <c r="B290" s="7"/>
      <c r="C290" s="7"/>
      <c r="D290" s="62">
        <v>289.0</v>
      </c>
      <c r="E290" s="7">
        <v>34704.0</v>
      </c>
      <c r="F290" s="62">
        <f t="shared" si="2"/>
        <v>213</v>
      </c>
      <c r="G290" s="62">
        <v>1.0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>
        <v>182.0</v>
      </c>
    </row>
    <row r="291">
      <c r="A291" s="7"/>
      <c r="B291" s="7"/>
      <c r="C291" s="7"/>
      <c r="D291" s="62">
        <v>290.0</v>
      </c>
      <c r="E291" s="7">
        <v>34886.0</v>
      </c>
      <c r="F291" s="62">
        <f t="shared" si="2"/>
        <v>213</v>
      </c>
      <c r="G291" s="62">
        <v>0.0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>
        <v>182.0</v>
      </c>
    </row>
    <row r="292">
      <c r="A292" s="7"/>
      <c r="B292" s="7"/>
      <c r="C292" s="7"/>
      <c r="D292" s="62">
        <v>291.0</v>
      </c>
      <c r="E292" s="7">
        <v>35069.0</v>
      </c>
      <c r="F292" s="62">
        <f t="shared" si="2"/>
        <v>213</v>
      </c>
      <c r="G292" s="62">
        <v>0.0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>
        <v>183.0</v>
      </c>
    </row>
    <row r="293">
      <c r="A293" s="7"/>
      <c r="B293" s="7"/>
      <c r="C293" s="7"/>
      <c r="D293" s="62">
        <v>292.0</v>
      </c>
      <c r="E293" s="7">
        <v>35252.0</v>
      </c>
      <c r="F293" s="62">
        <f t="shared" si="2"/>
        <v>214</v>
      </c>
      <c r="G293" s="62">
        <v>1.0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>
        <v>183.0</v>
      </c>
    </row>
    <row r="294">
      <c r="A294" s="7"/>
      <c r="B294" s="7"/>
      <c r="C294" s="7"/>
      <c r="D294" s="62">
        <v>293.0</v>
      </c>
      <c r="E294" s="7">
        <v>35435.0</v>
      </c>
      <c r="F294" s="62">
        <f t="shared" si="2"/>
        <v>214</v>
      </c>
      <c r="G294" s="62">
        <v>0.0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>
        <v>183.0</v>
      </c>
    </row>
    <row r="295">
      <c r="A295" s="7"/>
      <c r="B295" s="7"/>
      <c r="C295" s="7"/>
      <c r="D295" s="62">
        <v>294.0</v>
      </c>
      <c r="E295" s="7">
        <v>35619.0</v>
      </c>
      <c r="F295" s="62">
        <f t="shared" si="2"/>
        <v>214</v>
      </c>
      <c r="G295" s="62">
        <v>0.0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>
        <v>184.0</v>
      </c>
    </row>
    <row r="296">
      <c r="A296" s="7"/>
      <c r="B296" s="7"/>
      <c r="C296" s="7"/>
      <c r="D296" s="62">
        <v>295.0</v>
      </c>
      <c r="E296" s="7">
        <v>35803.0</v>
      </c>
      <c r="F296" s="62">
        <f t="shared" si="2"/>
        <v>215</v>
      </c>
      <c r="G296" s="62">
        <v>1.0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>
        <v>184.0</v>
      </c>
    </row>
    <row r="297">
      <c r="A297" s="7"/>
      <c r="B297" s="7"/>
      <c r="C297" s="7"/>
      <c r="D297" s="62">
        <v>296.0</v>
      </c>
      <c r="E297" s="7">
        <v>35987.0</v>
      </c>
      <c r="F297" s="62">
        <f t="shared" si="2"/>
        <v>215</v>
      </c>
      <c r="G297" s="62">
        <v>0.0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>
        <v>184.0</v>
      </c>
    </row>
    <row r="298">
      <c r="A298" s="7"/>
      <c r="B298" s="7"/>
      <c r="C298" s="7"/>
      <c r="D298" s="62">
        <v>297.0</v>
      </c>
      <c r="E298" s="7">
        <v>36172.0</v>
      </c>
      <c r="F298" s="62">
        <f t="shared" si="2"/>
        <v>215</v>
      </c>
      <c r="G298" s="62">
        <v>0.0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>
        <v>185.0</v>
      </c>
    </row>
    <row r="299">
      <c r="A299" s="7"/>
      <c r="B299" s="7"/>
      <c r="C299" s="7"/>
      <c r="D299" s="62">
        <v>298.0</v>
      </c>
      <c r="E299" s="7">
        <v>36357.0</v>
      </c>
      <c r="F299" s="62">
        <f t="shared" si="2"/>
        <v>216</v>
      </c>
      <c r="G299" s="62">
        <v>1.0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>
        <v>185.0</v>
      </c>
    </row>
    <row r="300">
      <c r="A300" s="7"/>
      <c r="B300" s="7"/>
      <c r="C300" s="8"/>
      <c r="D300" s="62">
        <v>299.0</v>
      </c>
      <c r="E300" s="7">
        <v>36542.0</v>
      </c>
      <c r="F300" s="62">
        <f t="shared" si="2"/>
        <v>216</v>
      </c>
      <c r="G300" s="62">
        <v>0.0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>
        <v>185.0</v>
      </c>
    </row>
    <row r="301">
      <c r="A301" s="8"/>
      <c r="B301" s="8"/>
      <c r="C301" s="8"/>
      <c r="D301" s="74">
        <v>300.0</v>
      </c>
      <c r="E301" s="336">
        <f t="shared" ref="E301:E401" si="3">E300+AE301</f>
        <v>36728</v>
      </c>
      <c r="F301" s="74">
        <f t="shared" si="2"/>
        <v>216</v>
      </c>
      <c r="G301" s="74">
        <v>0.0</v>
      </c>
      <c r="AE301" s="8">
        <v>186.0</v>
      </c>
    </row>
    <row r="302">
      <c r="A302" s="8"/>
      <c r="B302" s="8"/>
      <c r="C302" s="8"/>
      <c r="D302" s="337">
        <v>301.0</v>
      </c>
      <c r="E302" s="338">
        <f t="shared" si="3"/>
        <v>36914</v>
      </c>
      <c r="F302" s="337">
        <f t="shared" si="2"/>
        <v>217</v>
      </c>
      <c r="G302" s="337">
        <v>1.0</v>
      </c>
      <c r="AE302" s="8">
        <v>186.0</v>
      </c>
    </row>
    <row r="303">
      <c r="A303" s="8"/>
      <c r="B303" s="8"/>
      <c r="C303" s="8"/>
      <c r="D303" s="337">
        <v>302.0</v>
      </c>
      <c r="E303" s="338">
        <f t="shared" si="3"/>
        <v>37100</v>
      </c>
      <c r="F303" s="337">
        <f t="shared" si="2"/>
        <v>217</v>
      </c>
      <c r="G303" s="337">
        <v>0.0</v>
      </c>
      <c r="AE303" s="8">
        <v>186.0</v>
      </c>
    </row>
    <row r="304">
      <c r="A304" s="8"/>
      <c r="B304" s="8"/>
      <c r="C304" s="8"/>
      <c r="D304" s="337">
        <v>303.0</v>
      </c>
      <c r="E304" s="338">
        <f t="shared" si="3"/>
        <v>37287</v>
      </c>
      <c r="F304" s="337">
        <f t="shared" si="2"/>
        <v>217</v>
      </c>
      <c r="G304" s="337">
        <v>0.0</v>
      </c>
      <c r="AE304" s="8">
        <v>187.0</v>
      </c>
    </row>
    <row r="305">
      <c r="A305" s="8"/>
      <c r="B305" s="8"/>
      <c r="C305" s="8"/>
      <c r="D305" s="337">
        <v>304.0</v>
      </c>
      <c r="E305" s="338">
        <f t="shared" si="3"/>
        <v>37474</v>
      </c>
      <c r="F305" s="337">
        <f t="shared" si="2"/>
        <v>218</v>
      </c>
      <c r="G305" s="337">
        <v>1.0</v>
      </c>
      <c r="AE305" s="8">
        <v>187.0</v>
      </c>
    </row>
    <row r="306">
      <c r="A306" s="8"/>
      <c r="B306" s="8"/>
      <c r="C306" s="8"/>
      <c r="D306" s="337">
        <v>305.0</v>
      </c>
      <c r="E306" s="338">
        <f t="shared" si="3"/>
        <v>37661</v>
      </c>
      <c r="F306" s="337">
        <f t="shared" si="2"/>
        <v>218</v>
      </c>
      <c r="G306" s="337">
        <v>0.0</v>
      </c>
      <c r="AE306" s="8">
        <v>187.0</v>
      </c>
    </row>
    <row r="307">
      <c r="A307" s="8"/>
      <c r="B307" s="8"/>
      <c r="C307" s="8"/>
      <c r="D307" s="337">
        <v>306.0</v>
      </c>
      <c r="E307" s="338">
        <f t="shared" si="3"/>
        <v>37849</v>
      </c>
      <c r="F307" s="337">
        <f t="shared" si="2"/>
        <v>218</v>
      </c>
      <c r="G307" s="337">
        <v>0.0</v>
      </c>
      <c r="AE307" s="8">
        <v>188.0</v>
      </c>
    </row>
    <row r="308">
      <c r="A308" s="8"/>
      <c r="B308" s="8"/>
      <c r="C308" s="8"/>
      <c r="D308" s="337">
        <v>307.0</v>
      </c>
      <c r="E308" s="338">
        <f t="shared" si="3"/>
        <v>38037</v>
      </c>
      <c r="F308" s="337">
        <f t="shared" si="2"/>
        <v>219</v>
      </c>
      <c r="G308" s="337">
        <v>1.0</v>
      </c>
      <c r="AE308" s="8">
        <v>188.0</v>
      </c>
    </row>
    <row r="309">
      <c r="A309" s="8"/>
      <c r="B309" s="8"/>
      <c r="C309" s="8"/>
      <c r="D309" s="337">
        <v>308.0</v>
      </c>
      <c r="E309" s="338">
        <f t="shared" si="3"/>
        <v>38225</v>
      </c>
      <c r="F309" s="337">
        <f t="shared" si="2"/>
        <v>219</v>
      </c>
      <c r="G309" s="337">
        <v>0.0</v>
      </c>
      <c r="AE309" s="8">
        <v>188.0</v>
      </c>
    </row>
    <row r="310">
      <c r="A310" s="8"/>
      <c r="B310" s="8"/>
      <c r="C310" s="8"/>
      <c r="D310" s="337">
        <v>309.0</v>
      </c>
      <c r="E310" s="338">
        <f t="shared" si="3"/>
        <v>38414</v>
      </c>
      <c r="F310" s="337">
        <f t="shared" si="2"/>
        <v>219</v>
      </c>
      <c r="G310" s="337">
        <v>0.0</v>
      </c>
      <c r="AE310" s="8">
        <v>189.0</v>
      </c>
    </row>
    <row r="311">
      <c r="A311" s="8"/>
      <c r="B311" s="8"/>
      <c r="C311" s="8"/>
      <c r="D311" s="337">
        <v>310.0</v>
      </c>
      <c r="E311" s="338">
        <f t="shared" si="3"/>
        <v>38603</v>
      </c>
      <c r="F311" s="337">
        <f t="shared" si="2"/>
        <v>220</v>
      </c>
      <c r="G311" s="337">
        <v>1.0</v>
      </c>
      <c r="AE311" s="8">
        <v>189.0</v>
      </c>
    </row>
    <row r="312">
      <c r="A312" s="8"/>
      <c r="B312" s="8"/>
      <c r="C312" s="8"/>
      <c r="D312" s="337">
        <v>311.0</v>
      </c>
      <c r="E312" s="338">
        <f t="shared" si="3"/>
        <v>38792</v>
      </c>
      <c r="F312" s="337">
        <f t="shared" si="2"/>
        <v>220</v>
      </c>
      <c r="G312" s="337">
        <v>0.0</v>
      </c>
      <c r="AE312" s="8">
        <v>189.0</v>
      </c>
    </row>
    <row r="313">
      <c r="A313" s="8"/>
      <c r="B313" s="8"/>
      <c r="C313" s="8"/>
      <c r="D313" s="337">
        <v>312.0</v>
      </c>
      <c r="E313" s="338">
        <f t="shared" si="3"/>
        <v>38982</v>
      </c>
      <c r="F313" s="337">
        <f t="shared" si="2"/>
        <v>220</v>
      </c>
      <c r="G313" s="337">
        <v>0.0</v>
      </c>
      <c r="AE313" s="8">
        <v>190.0</v>
      </c>
    </row>
    <row r="314">
      <c r="A314" s="8"/>
      <c r="B314" s="8"/>
      <c r="C314" s="8"/>
      <c r="D314" s="337">
        <v>313.0</v>
      </c>
      <c r="E314" s="338">
        <f t="shared" si="3"/>
        <v>39172</v>
      </c>
      <c r="F314" s="337">
        <f t="shared" si="2"/>
        <v>221</v>
      </c>
      <c r="G314" s="337">
        <v>1.0</v>
      </c>
      <c r="AE314" s="8">
        <v>190.0</v>
      </c>
    </row>
    <row r="315">
      <c r="A315" s="8"/>
      <c r="B315" s="8"/>
      <c r="C315" s="8"/>
      <c r="D315" s="337">
        <v>314.0</v>
      </c>
      <c r="E315" s="338">
        <f t="shared" si="3"/>
        <v>39362</v>
      </c>
      <c r="F315" s="337">
        <f t="shared" si="2"/>
        <v>221</v>
      </c>
      <c r="G315" s="337">
        <v>0.0</v>
      </c>
      <c r="AE315" s="8">
        <v>190.0</v>
      </c>
    </row>
    <row r="316">
      <c r="A316" s="8"/>
      <c r="B316" s="8"/>
      <c r="C316" s="8"/>
      <c r="D316" s="337">
        <v>315.0</v>
      </c>
      <c r="E316" s="338">
        <f t="shared" si="3"/>
        <v>39553</v>
      </c>
      <c r="F316" s="337">
        <f t="shared" si="2"/>
        <v>221</v>
      </c>
      <c r="G316" s="337">
        <v>0.0</v>
      </c>
      <c r="AE316" s="8">
        <v>191.0</v>
      </c>
    </row>
    <row r="317">
      <c r="A317" s="8"/>
      <c r="B317" s="8"/>
      <c r="C317" s="8"/>
      <c r="D317" s="337">
        <v>316.0</v>
      </c>
      <c r="E317" s="338">
        <f t="shared" si="3"/>
        <v>39744</v>
      </c>
      <c r="F317" s="337">
        <f t="shared" si="2"/>
        <v>222</v>
      </c>
      <c r="G317" s="337">
        <v>1.0</v>
      </c>
      <c r="AE317" s="8">
        <v>191.0</v>
      </c>
    </row>
    <row r="318">
      <c r="A318" s="8"/>
      <c r="B318" s="8"/>
      <c r="C318" s="8"/>
      <c r="D318" s="337">
        <v>317.0</v>
      </c>
      <c r="E318" s="338">
        <f t="shared" si="3"/>
        <v>39935</v>
      </c>
      <c r="F318" s="337">
        <f t="shared" si="2"/>
        <v>222</v>
      </c>
      <c r="G318" s="337">
        <v>0.0</v>
      </c>
      <c r="AE318" s="8">
        <v>191.0</v>
      </c>
    </row>
    <row r="319">
      <c r="A319" s="8"/>
      <c r="B319" s="8"/>
      <c r="C319" s="8"/>
      <c r="D319" s="337">
        <v>318.0</v>
      </c>
      <c r="E319" s="338">
        <f t="shared" si="3"/>
        <v>40127</v>
      </c>
      <c r="F319" s="337">
        <f t="shared" si="2"/>
        <v>222</v>
      </c>
      <c r="G319" s="337">
        <v>0.0</v>
      </c>
      <c r="AE319" s="8">
        <v>192.0</v>
      </c>
    </row>
    <row r="320">
      <c r="A320" s="8"/>
      <c r="B320" s="8"/>
      <c r="C320" s="8"/>
      <c r="D320" s="337">
        <v>319.0</v>
      </c>
      <c r="E320" s="338">
        <f t="shared" si="3"/>
        <v>40319</v>
      </c>
      <c r="F320" s="337">
        <f t="shared" si="2"/>
        <v>223</v>
      </c>
      <c r="G320" s="337">
        <v>1.0</v>
      </c>
      <c r="AE320" s="8">
        <v>192.0</v>
      </c>
    </row>
    <row r="321">
      <c r="A321" s="8"/>
      <c r="B321" s="8"/>
      <c r="C321" s="8"/>
      <c r="D321" s="337">
        <v>320.0</v>
      </c>
      <c r="E321" s="338">
        <f t="shared" si="3"/>
        <v>40511</v>
      </c>
      <c r="F321" s="337">
        <f t="shared" si="2"/>
        <v>223</v>
      </c>
      <c r="G321" s="337">
        <v>0.0</v>
      </c>
      <c r="AE321" s="8">
        <v>192.0</v>
      </c>
    </row>
    <row r="322">
      <c r="A322" s="8"/>
      <c r="B322" s="8"/>
      <c r="C322" s="8"/>
      <c r="D322" s="337">
        <v>321.0</v>
      </c>
      <c r="E322" s="338">
        <f t="shared" si="3"/>
        <v>40704</v>
      </c>
      <c r="F322" s="337">
        <f t="shared" si="2"/>
        <v>223</v>
      </c>
      <c r="G322" s="337">
        <v>0.0</v>
      </c>
      <c r="AE322" s="8">
        <v>193.0</v>
      </c>
    </row>
    <row r="323">
      <c r="A323" s="8"/>
      <c r="B323" s="8"/>
      <c r="C323" s="8"/>
      <c r="D323" s="337">
        <v>322.0</v>
      </c>
      <c r="E323" s="338">
        <f t="shared" si="3"/>
        <v>40897</v>
      </c>
      <c r="F323" s="337">
        <f t="shared" si="2"/>
        <v>224</v>
      </c>
      <c r="G323" s="337">
        <v>1.0</v>
      </c>
      <c r="AE323" s="8">
        <v>193.0</v>
      </c>
    </row>
    <row r="324">
      <c r="A324" s="8"/>
      <c r="B324" s="8"/>
      <c r="C324" s="8"/>
      <c r="D324" s="337">
        <v>323.0</v>
      </c>
      <c r="E324" s="338">
        <f t="shared" si="3"/>
        <v>41090</v>
      </c>
      <c r="F324" s="337">
        <f t="shared" si="2"/>
        <v>224</v>
      </c>
      <c r="G324" s="337">
        <v>0.0</v>
      </c>
      <c r="AE324" s="8">
        <v>193.0</v>
      </c>
    </row>
    <row r="325">
      <c r="A325" s="8"/>
      <c r="B325" s="8"/>
      <c r="C325" s="8"/>
      <c r="D325" s="337">
        <v>324.0</v>
      </c>
      <c r="E325" s="338">
        <f t="shared" si="3"/>
        <v>41284</v>
      </c>
      <c r="F325" s="337">
        <f t="shared" si="2"/>
        <v>224</v>
      </c>
      <c r="G325" s="337">
        <v>0.0</v>
      </c>
      <c r="AE325" s="8">
        <v>194.0</v>
      </c>
    </row>
    <row r="326">
      <c r="A326" s="8"/>
      <c r="B326" s="8"/>
      <c r="C326" s="8"/>
      <c r="D326" s="337">
        <v>325.0</v>
      </c>
      <c r="E326" s="338">
        <f t="shared" si="3"/>
        <v>41478</v>
      </c>
      <c r="F326" s="337">
        <f t="shared" si="2"/>
        <v>225</v>
      </c>
      <c r="G326" s="337">
        <v>1.0</v>
      </c>
      <c r="AE326" s="8">
        <v>194.0</v>
      </c>
    </row>
    <row r="327">
      <c r="A327" s="8"/>
      <c r="B327" s="8"/>
      <c r="C327" s="8"/>
      <c r="D327" s="337">
        <v>326.0</v>
      </c>
      <c r="E327" s="338">
        <f t="shared" si="3"/>
        <v>41672</v>
      </c>
      <c r="F327" s="337">
        <f t="shared" si="2"/>
        <v>225</v>
      </c>
      <c r="G327" s="337">
        <v>0.0</v>
      </c>
      <c r="AE327" s="8">
        <v>194.0</v>
      </c>
    </row>
    <row r="328">
      <c r="A328" s="8"/>
      <c r="B328" s="8"/>
      <c r="C328" s="8"/>
      <c r="D328" s="337">
        <v>327.0</v>
      </c>
      <c r="E328" s="338">
        <f t="shared" si="3"/>
        <v>41867</v>
      </c>
      <c r="F328" s="337">
        <f t="shared" si="2"/>
        <v>225</v>
      </c>
      <c r="G328" s="337">
        <v>0.0</v>
      </c>
      <c r="AE328" s="8">
        <v>195.0</v>
      </c>
    </row>
    <row r="329">
      <c r="A329" s="8"/>
      <c r="B329" s="8"/>
      <c r="C329" s="8"/>
      <c r="D329" s="337">
        <v>328.0</v>
      </c>
      <c r="E329" s="338">
        <f t="shared" si="3"/>
        <v>42062</v>
      </c>
      <c r="F329" s="337">
        <f t="shared" si="2"/>
        <v>226</v>
      </c>
      <c r="G329" s="337">
        <v>1.0</v>
      </c>
      <c r="AE329" s="8">
        <v>195.0</v>
      </c>
    </row>
    <row r="330">
      <c r="A330" s="8"/>
      <c r="B330" s="8"/>
      <c r="C330" s="8"/>
      <c r="D330" s="337">
        <v>329.0</v>
      </c>
      <c r="E330" s="338">
        <f t="shared" si="3"/>
        <v>42257</v>
      </c>
      <c r="F330" s="337">
        <f t="shared" si="2"/>
        <v>226</v>
      </c>
      <c r="G330" s="337">
        <v>0.0</v>
      </c>
      <c r="AE330" s="8">
        <v>195.0</v>
      </c>
    </row>
    <row r="331">
      <c r="A331" s="8"/>
      <c r="B331" s="8"/>
      <c r="C331" s="8"/>
      <c r="D331" s="337">
        <v>330.0</v>
      </c>
      <c r="E331" s="338">
        <f t="shared" si="3"/>
        <v>42453</v>
      </c>
      <c r="F331" s="337">
        <f t="shared" si="2"/>
        <v>226</v>
      </c>
      <c r="G331" s="337">
        <v>0.0</v>
      </c>
      <c r="AE331" s="8">
        <v>196.0</v>
      </c>
    </row>
    <row r="332">
      <c r="A332" s="8"/>
      <c r="B332" s="8"/>
      <c r="C332" s="8"/>
      <c r="D332" s="337">
        <v>331.0</v>
      </c>
      <c r="E332" s="338">
        <f t="shared" si="3"/>
        <v>42649</v>
      </c>
      <c r="F332" s="337">
        <f t="shared" si="2"/>
        <v>227</v>
      </c>
      <c r="G332" s="337">
        <v>1.0</v>
      </c>
      <c r="AE332" s="8">
        <v>196.0</v>
      </c>
    </row>
    <row r="333">
      <c r="A333" s="8"/>
      <c r="B333" s="8"/>
      <c r="C333" s="8"/>
      <c r="D333" s="337">
        <v>332.0</v>
      </c>
      <c r="E333" s="338">
        <f t="shared" si="3"/>
        <v>42845</v>
      </c>
      <c r="F333" s="337">
        <f t="shared" si="2"/>
        <v>227</v>
      </c>
      <c r="G333" s="337">
        <v>0.0</v>
      </c>
      <c r="AE333" s="8">
        <v>196.0</v>
      </c>
    </row>
    <row r="334">
      <c r="A334" s="8"/>
      <c r="B334" s="8"/>
      <c r="C334" s="8"/>
      <c r="D334" s="337">
        <v>333.0</v>
      </c>
      <c r="E334" s="338">
        <f t="shared" si="3"/>
        <v>43042</v>
      </c>
      <c r="F334" s="337">
        <f t="shared" si="2"/>
        <v>227</v>
      </c>
      <c r="G334" s="337">
        <v>0.0</v>
      </c>
      <c r="AE334" s="8">
        <v>197.0</v>
      </c>
    </row>
    <row r="335">
      <c r="A335" s="8"/>
      <c r="B335" s="8"/>
      <c r="C335" s="8"/>
      <c r="D335" s="337">
        <v>334.0</v>
      </c>
      <c r="E335" s="338">
        <f t="shared" si="3"/>
        <v>43239</v>
      </c>
      <c r="F335" s="337">
        <f t="shared" si="2"/>
        <v>228</v>
      </c>
      <c r="G335" s="337">
        <v>1.0</v>
      </c>
      <c r="AE335" s="8">
        <v>197.0</v>
      </c>
    </row>
    <row r="336">
      <c r="A336" s="8"/>
      <c r="B336" s="8"/>
      <c r="C336" s="8"/>
      <c r="D336" s="337">
        <v>335.0</v>
      </c>
      <c r="E336" s="338">
        <f t="shared" si="3"/>
        <v>43436</v>
      </c>
      <c r="F336" s="337">
        <f t="shared" si="2"/>
        <v>228</v>
      </c>
      <c r="G336" s="337">
        <v>0.0</v>
      </c>
      <c r="AE336" s="8">
        <v>197.0</v>
      </c>
    </row>
    <row r="337">
      <c r="A337" s="8"/>
      <c r="B337" s="8"/>
      <c r="C337" s="8"/>
      <c r="D337" s="337">
        <v>336.0</v>
      </c>
      <c r="E337" s="338">
        <f t="shared" si="3"/>
        <v>43634</v>
      </c>
      <c r="F337" s="337">
        <f t="shared" si="2"/>
        <v>228</v>
      </c>
      <c r="G337" s="337">
        <v>0.0</v>
      </c>
      <c r="AE337" s="8">
        <v>198.0</v>
      </c>
    </row>
    <row r="338">
      <c r="A338" s="8"/>
      <c r="B338" s="8"/>
      <c r="C338" s="8"/>
      <c r="D338" s="337">
        <v>337.0</v>
      </c>
      <c r="E338" s="338">
        <f t="shared" si="3"/>
        <v>43832</v>
      </c>
      <c r="F338" s="337">
        <f t="shared" si="2"/>
        <v>229</v>
      </c>
      <c r="G338" s="337">
        <v>1.0</v>
      </c>
      <c r="AE338" s="8">
        <v>198.0</v>
      </c>
    </row>
    <row r="339">
      <c r="A339" s="8"/>
      <c r="B339" s="8"/>
      <c r="C339" s="8"/>
      <c r="D339" s="337">
        <v>338.0</v>
      </c>
      <c r="E339" s="338">
        <f t="shared" si="3"/>
        <v>44030</v>
      </c>
      <c r="F339" s="337">
        <f t="shared" si="2"/>
        <v>229</v>
      </c>
      <c r="G339" s="337">
        <v>0.0</v>
      </c>
      <c r="AE339" s="8">
        <v>198.0</v>
      </c>
    </row>
    <row r="340">
      <c r="A340" s="8"/>
      <c r="B340" s="8"/>
      <c r="C340" s="8"/>
      <c r="D340" s="337">
        <v>339.0</v>
      </c>
      <c r="E340" s="338">
        <f t="shared" si="3"/>
        <v>44229</v>
      </c>
      <c r="F340" s="337">
        <f t="shared" si="2"/>
        <v>229</v>
      </c>
      <c r="G340" s="337">
        <v>0.0</v>
      </c>
      <c r="AE340" s="8">
        <v>199.0</v>
      </c>
    </row>
    <row r="341">
      <c r="A341" s="8"/>
      <c r="B341" s="8"/>
      <c r="C341" s="8"/>
      <c r="D341" s="337">
        <v>340.0</v>
      </c>
      <c r="E341" s="338">
        <f t="shared" si="3"/>
        <v>44428</v>
      </c>
      <c r="F341" s="337">
        <f t="shared" si="2"/>
        <v>230</v>
      </c>
      <c r="G341" s="337">
        <v>1.0</v>
      </c>
      <c r="AE341" s="8">
        <v>199.0</v>
      </c>
    </row>
    <row r="342">
      <c r="A342" s="8"/>
      <c r="B342" s="8"/>
      <c r="C342" s="8"/>
      <c r="D342" s="337">
        <v>341.0</v>
      </c>
      <c r="E342" s="338">
        <f t="shared" si="3"/>
        <v>44627</v>
      </c>
      <c r="F342" s="337">
        <f t="shared" si="2"/>
        <v>230</v>
      </c>
      <c r="G342" s="337">
        <v>0.0</v>
      </c>
      <c r="AE342" s="8">
        <v>199.0</v>
      </c>
    </row>
    <row r="343">
      <c r="A343" s="8"/>
      <c r="B343" s="8"/>
      <c r="C343" s="8"/>
      <c r="D343" s="337">
        <v>342.0</v>
      </c>
      <c r="E343" s="338">
        <f t="shared" si="3"/>
        <v>44827</v>
      </c>
      <c r="F343" s="337">
        <f t="shared" si="2"/>
        <v>230</v>
      </c>
      <c r="G343" s="337">
        <v>0.0</v>
      </c>
      <c r="AE343" s="8">
        <v>200.0</v>
      </c>
    </row>
    <row r="344">
      <c r="A344" s="8"/>
      <c r="B344" s="8"/>
      <c r="C344" s="8"/>
      <c r="D344" s="337">
        <v>343.0</v>
      </c>
      <c r="E344" s="338">
        <f t="shared" si="3"/>
        <v>45027</v>
      </c>
      <c r="F344" s="337">
        <f t="shared" si="2"/>
        <v>231</v>
      </c>
      <c r="G344" s="337">
        <v>1.0</v>
      </c>
      <c r="AE344" s="8">
        <v>200.0</v>
      </c>
    </row>
    <row r="345">
      <c r="A345" s="8"/>
      <c r="B345" s="8"/>
      <c r="C345" s="8"/>
      <c r="D345" s="337">
        <v>344.0</v>
      </c>
      <c r="E345" s="338">
        <f t="shared" si="3"/>
        <v>45227</v>
      </c>
      <c r="F345" s="337">
        <f t="shared" si="2"/>
        <v>231</v>
      </c>
      <c r="G345" s="337">
        <v>0.0</v>
      </c>
      <c r="AE345" s="8">
        <v>200.0</v>
      </c>
    </row>
    <row r="346">
      <c r="A346" s="8"/>
      <c r="B346" s="8"/>
      <c r="C346" s="8"/>
      <c r="D346" s="337">
        <v>345.0</v>
      </c>
      <c r="E346" s="338">
        <f t="shared" si="3"/>
        <v>45428</v>
      </c>
      <c r="F346" s="337">
        <f t="shared" si="2"/>
        <v>231</v>
      </c>
      <c r="G346" s="337">
        <v>0.0</v>
      </c>
      <c r="AE346" s="8">
        <v>201.0</v>
      </c>
    </row>
    <row r="347">
      <c r="A347" s="8"/>
      <c r="B347" s="8"/>
      <c r="C347" s="8"/>
      <c r="D347" s="337">
        <v>346.0</v>
      </c>
      <c r="E347" s="338">
        <f t="shared" si="3"/>
        <v>45629</v>
      </c>
      <c r="F347" s="337">
        <f t="shared" si="2"/>
        <v>232</v>
      </c>
      <c r="G347" s="337">
        <v>1.0</v>
      </c>
      <c r="AE347" s="8">
        <v>201.0</v>
      </c>
    </row>
    <row r="348">
      <c r="A348" s="8"/>
      <c r="B348" s="8"/>
      <c r="C348" s="8"/>
      <c r="D348" s="337">
        <v>347.0</v>
      </c>
      <c r="E348" s="338">
        <f t="shared" si="3"/>
        <v>45830</v>
      </c>
      <c r="F348" s="337">
        <f t="shared" si="2"/>
        <v>232</v>
      </c>
      <c r="G348" s="337">
        <v>0.0</v>
      </c>
      <c r="AE348" s="8">
        <v>201.0</v>
      </c>
    </row>
    <row r="349">
      <c r="A349" s="8"/>
      <c r="B349" s="8"/>
      <c r="C349" s="8"/>
      <c r="D349" s="337">
        <v>348.0</v>
      </c>
      <c r="E349" s="338">
        <f t="shared" si="3"/>
        <v>46032</v>
      </c>
      <c r="F349" s="337">
        <f t="shared" si="2"/>
        <v>232</v>
      </c>
      <c r="G349" s="337">
        <v>0.0</v>
      </c>
      <c r="AE349" s="8">
        <v>202.0</v>
      </c>
    </row>
    <row r="350">
      <c r="A350" s="8"/>
      <c r="B350" s="8"/>
      <c r="C350" s="8"/>
      <c r="D350" s="337">
        <v>349.0</v>
      </c>
      <c r="E350" s="338">
        <f t="shared" si="3"/>
        <v>46234</v>
      </c>
      <c r="F350" s="337">
        <f t="shared" si="2"/>
        <v>233</v>
      </c>
      <c r="G350" s="337">
        <v>1.0</v>
      </c>
      <c r="AE350" s="8">
        <v>202.0</v>
      </c>
    </row>
    <row r="351">
      <c r="A351" s="8"/>
      <c r="B351" s="8"/>
      <c r="C351" s="8"/>
      <c r="D351" s="337">
        <v>350.0</v>
      </c>
      <c r="E351" s="338">
        <f t="shared" si="3"/>
        <v>46436</v>
      </c>
      <c r="F351" s="337">
        <f t="shared" si="2"/>
        <v>233</v>
      </c>
      <c r="G351" s="337">
        <v>0.0</v>
      </c>
      <c r="AE351" s="8">
        <v>202.0</v>
      </c>
    </row>
    <row r="352">
      <c r="A352" s="8"/>
      <c r="B352" s="8"/>
      <c r="C352" s="8"/>
      <c r="D352" s="337">
        <v>351.0</v>
      </c>
      <c r="E352" s="338">
        <f t="shared" si="3"/>
        <v>46639</v>
      </c>
      <c r="F352" s="337">
        <f t="shared" si="2"/>
        <v>233</v>
      </c>
      <c r="G352" s="337">
        <v>0.0</v>
      </c>
      <c r="AE352" s="8">
        <v>203.0</v>
      </c>
    </row>
    <row r="353">
      <c r="A353" s="8"/>
      <c r="B353" s="8"/>
      <c r="C353" s="8"/>
      <c r="D353" s="337">
        <v>352.0</v>
      </c>
      <c r="E353" s="338">
        <f t="shared" si="3"/>
        <v>46842</v>
      </c>
      <c r="F353" s="337">
        <f t="shared" si="2"/>
        <v>234</v>
      </c>
      <c r="G353" s="337">
        <v>1.0</v>
      </c>
      <c r="AE353" s="8">
        <v>203.0</v>
      </c>
    </row>
    <row r="354">
      <c r="A354" s="8"/>
      <c r="B354" s="8"/>
      <c r="C354" s="8"/>
      <c r="D354" s="337">
        <v>353.0</v>
      </c>
      <c r="E354" s="338">
        <f t="shared" si="3"/>
        <v>47045</v>
      </c>
      <c r="F354" s="337">
        <f t="shared" si="2"/>
        <v>234</v>
      </c>
      <c r="G354" s="337">
        <v>0.0</v>
      </c>
      <c r="AE354" s="8">
        <v>203.0</v>
      </c>
    </row>
    <row r="355">
      <c r="A355" s="8"/>
      <c r="B355" s="8"/>
      <c r="C355" s="8"/>
      <c r="D355" s="337">
        <v>354.0</v>
      </c>
      <c r="E355" s="338">
        <f t="shared" si="3"/>
        <v>47249</v>
      </c>
      <c r="F355" s="337">
        <f t="shared" si="2"/>
        <v>234</v>
      </c>
      <c r="G355" s="337">
        <v>0.0</v>
      </c>
      <c r="AE355" s="8">
        <v>204.0</v>
      </c>
    </row>
    <row r="356">
      <c r="A356" s="8"/>
      <c r="B356" s="8"/>
      <c r="C356" s="8"/>
      <c r="D356" s="337">
        <v>355.0</v>
      </c>
      <c r="E356" s="338">
        <f t="shared" si="3"/>
        <v>47453</v>
      </c>
      <c r="F356" s="337">
        <f t="shared" si="2"/>
        <v>235</v>
      </c>
      <c r="G356" s="337">
        <v>1.0</v>
      </c>
      <c r="AE356" s="8">
        <v>204.0</v>
      </c>
    </row>
    <row r="357">
      <c r="A357" s="8"/>
      <c r="B357" s="8"/>
      <c r="C357" s="8"/>
      <c r="D357" s="337">
        <v>356.0</v>
      </c>
      <c r="E357" s="338">
        <f t="shared" si="3"/>
        <v>47657</v>
      </c>
      <c r="F357" s="337">
        <f t="shared" si="2"/>
        <v>235</v>
      </c>
      <c r="G357" s="337">
        <v>0.0</v>
      </c>
      <c r="AE357" s="8">
        <v>204.0</v>
      </c>
    </row>
    <row r="358">
      <c r="A358" s="8"/>
      <c r="B358" s="8"/>
      <c r="C358" s="8"/>
      <c r="D358" s="337">
        <v>357.0</v>
      </c>
      <c r="E358" s="338">
        <f t="shared" si="3"/>
        <v>47862</v>
      </c>
      <c r="F358" s="337">
        <f t="shared" si="2"/>
        <v>235</v>
      </c>
      <c r="G358" s="337">
        <v>0.0</v>
      </c>
      <c r="AE358" s="8">
        <v>205.0</v>
      </c>
    </row>
    <row r="359">
      <c r="A359" s="8"/>
      <c r="B359" s="8"/>
      <c r="C359" s="8"/>
      <c r="D359" s="337">
        <v>358.0</v>
      </c>
      <c r="E359" s="338">
        <f t="shared" si="3"/>
        <v>48067</v>
      </c>
      <c r="F359" s="337">
        <f t="shared" si="2"/>
        <v>236</v>
      </c>
      <c r="G359" s="337">
        <v>1.0</v>
      </c>
      <c r="AE359" s="8">
        <v>205.0</v>
      </c>
    </row>
    <row r="360">
      <c r="A360" s="8"/>
      <c r="B360" s="8"/>
      <c r="C360" s="8"/>
      <c r="D360" s="337">
        <v>359.0</v>
      </c>
      <c r="E360" s="338">
        <f t="shared" si="3"/>
        <v>48272</v>
      </c>
      <c r="F360" s="337">
        <f t="shared" si="2"/>
        <v>236</v>
      </c>
      <c r="G360" s="337">
        <v>0.0</v>
      </c>
      <c r="AE360" s="8">
        <v>205.0</v>
      </c>
    </row>
    <row r="361">
      <c r="A361" s="8"/>
      <c r="B361" s="8"/>
      <c r="C361" s="8"/>
      <c r="D361" s="337">
        <v>360.0</v>
      </c>
      <c r="E361" s="338">
        <f t="shared" si="3"/>
        <v>48478</v>
      </c>
      <c r="F361" s="337">
        <f t="shared" si="2"/>
        <v>236</v>
      </c>
      <c r="G361" s="337">
        <v>0.0</v>
      </c>
      <c r="AE361" s="8">
        <v>206.0</v>
      </c>
    </row>
    <row r="362">
      <c r="A362" s="8"/>
      <c r="B362" s="8"/>
      <c r="C362" s="8"/>
      <c r="D362" s="337">
        <v>361.0</v>
      </c>
      <c r="E362" s="338">
        <f t="shared" si="3"/>
        <v>48684</v>
      </c>
      <c r="F362" s="337">
        <f t="shared" si="2"/>
        <v>237</v>
      </c>
      <c r="G362" s="337">
        <v>1.0</v>
      </c>
      <c r="AE362" s="8">
        <v>206.0</v>
      </c>
    </row>
    <row r="363">
      <c r="A363" s="8"/>
      <c r="B363" s="8"/>
      <c r="C363" s="8"/>
      <c r="D363" s="337">
        <v>362.0</v>
      </c>
      <c r="E363" s="338">
        <f t="shared" si="3"/>
        <v>48890</v>
      </c>
      <c r="F363" s="337">
        <f t="shared" si="2"/>
        <v>237</v>
      </c>
      <c r="G363" s="337">
        <v>0.0</v>
      </c>
      <c r="AE363" s="8">
        <v>206.0</v>
      </c>
    </row>
    <row r="364">
      <c r="A364" s="8"/>
      <c r="B364" s="8"/>
      <c r="C364" s="8"/>
      <c r="D364" s="337">
        <v>363.0</v>
      </c>
      <c r="E364" s="338">
        <f t="shared" si="3"/>
        <v>49097</v>
      </c>
      <c r="F364" s="337">
        <f t="shared" si="2"/>
        <v>237</v>
      </c>
      <c r="G364" s="337">
        <v>0.0</v>
      </c>
      <c r="AE364" s="8">
        <v>207.0</v>
      </c>
    </row>
    <row r="365">
      <c r="A365" s="8"/>
      <c r="B365" s="8"/>
      <c r="C365" s="8"/>
      <c r="D365" s="337">
        <v>364.0</v>
      </c>
      <c r="E365" s="338">
        <f t="shared" si="3"/>
        <v>49304</v>
      </c>
      <c r="F365" s="337">
        <f t="shared" si="2"/>
        <v>238</v>
      </c>
      <c r="G365" s="337">
        <v>1.0</v>
      </c>
      <c r="AE365" s="8">
        <v>207.0</v>
      </c>
    </row>
    <row r="366">
      <c r="A366" s="8"/>
      <c r="B366" s="8"/>
      <c r="C366" s="8"/>
      <c r="D366" s="337">
        <v>365.0</v>
      </c>
      <c r="E366" s="338">
        <f t="shared" si="3"/>
        <v>49511</v>
      </c>
      <c r="F366" s="337">
        <f t="shared" si="2"/>
        <v>238</v>
      </c>
      <c r="G366" s="337">
        <v>0.0</v>
      </c>
      <c r="AE366" s="8">
        <v>207.0</v>
      </c>
    </row>
    <row r="367">
      <c r="A367" s="8"/>
      <c r="B367" s="8"/>
      <c r="C367" s="8"/>
      <c r="D367" s="337">
        <v>366.0</v>
      </c>
      <c r="E367" s="338">
        <f t="shared" si="3"/>
        <v>49719</v>
      </c>
      <c r="F367" s="337">
        <f t="shared" si="2"/>
        <v>238</v>
      </c>
      <c r="G367" s="337">
        <v>0.0</v>
      </c>
      <c r="AE367" s="8">
        <v>208.0</v>
      </c>
    </row>
    <row r="368">
      <c r="A368" s="8"/>
      <c r="B368" s="8"/>
      <c r="C368" s="8"/>
      <c r="D368" s="337">
        <v>367.0</v>
      </c>
      <c r="E368" s="338">
        <f t="shared" si="3"/>
        <v>49927</v>
      </c>
      <c r="F368" s="337">
        <f t="shared" si="2"/>
        <v>239</v>
      </c>
      <c r="G368" s="337">
        <v>1.0</v>
      </c>
      <c r="AE368" s="8">
        <v>208.0</v>
      </c>
    </row>
    <row r="369">
      <c r="A369" s="8"/>
      <c r="B369" s="8"/>
      <c r="C369" s="8"/>
      <c r="D369" s="337">
        <v>368.0</v>
      </c>
      <c r="E369" s="338">
        <f t="shared" si="3"/>
        <v>50135</v>
      </c>
      <c r="F369" s="337">
        <f t="shared" si="2"/>
        <v>239</v>
      </c>
      <c r="G369" s="337">
        <v>0.0</v>
      </c>
      <c r="AE369" s="8">
        <v>208.0</v>
      </c>
    </row>
    <row r="370">
      <c r="A370" s="8"/>
      <c r="B370" s="8"/>
      <c r="C370" s="8"/>
      <c r="D370" s="337">
        <v>369.0</v>
      </c>
      <c r="E370" s="338">
        <f t="shared" si="3"/>
        <v>50344</v>
      </c>
      <c r="F370" s="337">
        <f t="shared" si="2"/>
        <v>239</v>
      </c>
      <c r="G370" s="337">
        <v>0.0</v>
      </c>
      <c r="AE370" s="8">
        <v>209.0</v>
      </c>
    </row>
    <row r="371">
      <c r="A371" s="8"/>
      <c r="B371" s="8"/>
      <c r="C371" s="8"/>
      <c r="D371" s="337">
        <v>370.0</v>
      </c>
      <c r="E371" s="338">
        <f t="shared" si="3"/>
        <v>50553</v>
      </c>
      <c r="F371" s="337">
        <f t="shared" si="2"/>
        <v>240</v>
      </c>
      <c r="G371" s="337">
        <v>1.0</v>
      </c>
      <c r="AE371" s="8">
        <v>209.0</v>
      </c>
    </row>
    <row r="372">
      <c r="A372" s="8"/>
      <c r="B372" s="8"/>
      <c r="C372" s="8"/>
      <c r="D372" s="337">
        <v>371.0</v>
      </c>
      <c r="E372" s="338">
        <f t="shared" si="3"/>
        <v>50762</v>
      </c>
      <c r="F372" s="337">
        <f t="shared" si="2"/>
        <v>240</v>
      </c>
      <c r="G372" s="337">
        <v>0.0</v>
      </c>
      <c r="AE372" s="8">
        <v>209.0</v>
      </c>
    </row>
    <row r="373">
      <c r="A373" s="8"/>
      <c r="B373" s="8"/>
      <c r="C373" s="8"/>
      <c r="D373" s="337">
        <v>372.0</v>
      </c>
      <c r="E373" s="338">
        <f t="shared" si="3"/>
        <v>50972</v>
      </c>
      <c r="F373" s="337">
        <f t="shared" si="2"/>
        <v>240</v>
      </c>
      <c r="G373" s="337">
        <v>0.0</v>
      </c>
      <c r="AE373" s="8">
        <v>210.0</v>
      </c>
    </row>
    <row r="374">
      <c r="A374" s="8"/>
      <c r="B374" s="8"/>
      <c r="C374" s="8"/>
      <c r="D374" s="337">
        <v>373.0</v>
      </c>
      <c r="E374" s="338">
        <f t="shared" si="3"/>
        <v>51182</v>
      </c>
      <c r="F374" s="337">
        <f t="shared" si="2"/>
        <v>241</v>
      </c>
      <c r="G374" s="337">
        <v>1.0</v>
      </c>
      <c r="AE374" s="8">
        <v>210.0</v>
      </c>
    </row>
    <row r="375">
      <c r="A375" s="8"/>
      <c r="B375" s="8"/>
      <c r="C375" s="8"/>
      <c r="D375" s="337">
        <v>374.0</v>
      </c>
      <c r="E375" s="338">
        <f t="shared" si="3"/>
        <v>51392</v>
      </c>
      <c r="F375" s="337">
        <f t="shared" si="2"/>
        <v>241</v>
      </c>
      <c r="G375" s="337">
        <v>0.0</v>
      </c>
      <c r="AE375" s="8">
        <v>210.0</v>
      </c>
    </row>
    <row r="376">
      <c r="A376" s="8"/>
      <c r="B376" s="8"/>
      <c r="C376" s="8"/>
      <c r="D376" s="337">
        <v>375.0</v>
      </c>
      <c r="E376" s="338">
        <f t="shared" si="3"/>
        <v>51603</v>
      </c>
      <c r="F376" s="337">
        <f t="shared" si="2"/>
        <v>241</v>
      </c>
      <c r="G376" s="337">
        <v>0.0</v>
      </c>
      <c r="AE376" s="8">
        <v>211.0</v>
      </c>
    </row>
    <row r="377">
      <c r="A377" s="8"/>
      <c r="B377" s="8"/>
      <c r="C377" s="8"/>
      <c r="D377" s="337">
        <v>376.0</v>
      </c>
      <c r="E377" s="338">
        <f t="shared" si="3"/>
        <v>51814</v>
      </c>
      <c r="F377" s="337">
        <f t="shared" si="2"/>
        <v>242</v>
      </c>
      <c r="G377" s="337">
        <v>1.0</v>
      </c>
      <c r="AE377" s="8">
        <v>211.0</v>
      </c>
    </row>
    <row r="378">
      <c r="A378" s="8"/>
      <c r="B378" s="8"/>
      <c r="C378" s="8"/>
      <c r="D378" s="337">
        <v>377.0</v>
      </c>
      <c r="E378" s="338">
        <f t="shared" si="3"/>
        <v>52025</v>
      </c>
      <c r="F378" s="337">
        <f t="shared" si="2"/>
        <v>242</v>
      </c>
      <c r="G378" s="337">
        <v>0.0</v>
      </c>
      <c r="AE378" s="8">
        <v>211.0</v>
      </c>
    </row>
    <row r="379">
      <c r="A379" s="8"/>
      <c r="B379" s="8"/>
      <c r="C379" s="8"/>
      <c r="D379" s="337">
        <v>378.0</v>
      </c>
      <c r="E379" s="338">
        <f t="shared" si="3"/>
        <v>52237</v>
      </c>
      <c r="F379" s="337">
        <f t="shared" si="2"/>
        <v>242</v>
      </c>
      <c r="G379" s="337">
        <v>0.0</v>
      </c>
      <c r="AE379" s="8">
        <v>212.0</v>
      </c>
    </row>
    <row r="380">
      <c r="A380" s="8"/>
      <c r="B380" s="8"/>
      <c r="C380" s="8"/>
      <c r="D380" s="337">
        <v>379.0</v>
      </c>
      <c r="E380" s="338">
        <f t="shared" si="3"/>
        <v>52449</v>
      </c>
      <c r="F380" s="337">
        <f t="shared" si="2"/>
        <v>243</v>
      </c>
      <c r="G380" s="337">
        <v>1.0</v>
      </c>
      <c r="AE380" s="8">
        <v>212.0</v>
      </c>
    </row>
    <row r="381">
      <c r="A381" s="8"/>
      <c r="B381" s="8"/>
      <c r="C381" s="8"/>
      <c r="D381" s="337">
        <v>380.0</v>
      </c>
      <c r="E381" s="338">
        <f t="shared" si="3"/>
        <v>52661</v>
      </c>
      <c r="F381" s="337">
        <f t="shared" si="2"/>
        <v>243</v>
      </c>
      <c r="G381" s="337">
        <v>0.0</v>
      </c>
      <c r="AE381" s="8">
        <v>212.0</v>
      </c>
    </row>
    <row r="382">
      <c r="A382" s="8"/>
      <c r="B382" s="8"/>
      <c r="C382" s="8"/>
      <c r="D382" s="337">
        <v>381.0</v>
      </c>
      <c r="E382" s="338">
        <f t="shared" si="3"/>
        <v>52874</v>
      </c>
      <c r="F382" s="337">
        <f t="shared" si="2"/>
        <v>243</v>
      </c>
      <c r="G382" s="337">
        <v>0.0</v>
      </c>
      <c r="AE382" s="8">
        <v>213.0</v>
      </c>
    </row>
    <row r="383">
      <c r="A383" s="8"/>
      <c r="B383" s="8"/>
      <c r="C383" s="8"/>
      <c r="D383" s="337">
        <v>382.0</v>
      </c>
      <c r="E383" s="338">
        <f t="shared" si="3"/>
        <v>53087</v>
      </c>
      <c r="F383" s="337">
        <f t="shared" si="2"/>
        <v>244</v>
      </c>
      <c r="G383" s="337">
        <v>1.0</v>
      </c>
      <c r="AE383" s="8">
        <v>213.0</v>
      </c>
    </row>
    <row r="384">
      <c r="A384" s="8"/>
      <c r="B384" s="8"/>
      <c r="C384" s="8"/>
      <c r="D384" s="337">
        <v>383.0</v>
      </c>
      <c r="E384" s="338">
        <f t="shared" si="3"/>
        <v>53300</v>
      </c>
      <c r="F384" s="337">
        <f t="shared" si="2"/>
        <v>244</v>
      </c>
      <c r="G384" s="337">
        <v>0.0</v>
      </c>
      <c r="AE384" s="8">
        <v>213.0</v>
      </c>
    </row>
    <row r="385">
      <c r="A385" s="8"/>
      <c r="B385" s="8"/>
      <c r="C385" s="8"/>
      <c r="D385" s="337">
        <v>384.0</v>
      </c>
      <c r="E385" s="338">
        <f t="shared" si="3"/>
        <v>53514</v>
      </c>
      <c r="F385" s="337">
        <f t="shared" si="2"/>
        <v>244</v>
      </c>
      <c r="G385" s="337">
        <v>0.0</v>
      </c>
      <c r="AE385" s="8">
        <v>214.0</v>
      </c>
    </row>
    <row r="386">
      <c r="A386" s="8"/>
      <c r="B386" s="8"/>
      <c r="C386" s="8"/>
      <c r="D386" s="337">
        <v>385.0</v>
      </c>
      <c r="E386" s="338">
        <f t="shared" si="3"/>
        <v>53728</v>
      </c>
      <c r="F386" s="337">
        <f t="shared" si="2"/>
        <v>245</v>
      </c>
      <c r="G386" s="337">
        <v>1.0</v>
      </c>
      <c r="AE386" s="8">
        <v>214.0</v>
      </c>
    </row>
    <row r="387">
      <c r="A387" s="8"/>
      <c r="B387" s="8"/>
      <c r="C387" s="8"/>
      <c r="D387" s="337">
        <v>386.0</v>
      </c>
      <c r="E387" s="338">
        <f t="shared" si="3"/>
        <v>53942</v>
      </c>
      <c r="F387" s="337">
        <f t="shared" si="2"/>
        <v>245</v>
      </c>
      <c r="G387" s="337">
        <v>0.0</v>
      </c>
      <c r="AE387" s="8">
        <v>214.0</v>
      </c>
    </row>
    <row r="388">
      <c r="A388" s="8"/>
      <c r="B388" s="8"/>
      <c r="C388" s="8"/>
      <c r="D388" s="337">
        <v>387.0</v>
      </c>
      <c r="E388" s="338">
        <f t="shared" si="3"/>
        <v>54157</v>
      </c>
      <c r="F388" s="337">
        <f t="shared" si="2"/>
        <v>245</v>
      </c>
      <c r="G388" s="337">
        <v>0.0</v>
      </c>
      <c r="AE388" s="8">
        <v>215.0</v>
      </c>
    </row>
    <row r="389">
      <c r="A389" s="8"/>
      <c r="B389" s="8"/>
      <c r="C389" s="8"/>
      <c r="D389" s="337">
        <v>388.0</v>
      </c>
      <c r="E389" s="338">
        <f t="shared" si="3"/>
        <v>54372</v>
      </c>
      <c r="F389" s="337">
        <f t="shared" si="2"/>
        <v>246</v>
      </c>
      <c r="G389" s="337">
        <v>1.0</v>
      </c>
      <c r="AE389" s="8">
        <v>215.0</v>
      </c>
    </row>
    <row r="390">
      <c r="A390" s="8"/>
      <c r="B390" s="8"/>
      <c r="C390" s="8"/>
      <c r="D390" s="337">
        <v>389.0</v>
      </c>
      <c r="E390" s="338">
        <f t="shared" si="3"/>
        <v>54587</v>
      </c>
      <c r="F390" s="337">
        <f t="shared" si="2"/>
        <v>246</v>
      </c>
      <c r="G390" s="337">
        <v>0.0</v>
      </c>
      <c r="AE390" s="8">
        <v>215.0</v>
      </c>
    </row>
    <row r="391">
      <c r="A391" s="8"/>
      <c r="B391" s="8"/>
      <c r="C391" s="8"/>
      <c r="D391" s="337">
        <v>390.0</v>
      </c>
      <c r="E391" s="338">
        <f t="shared" si="3"/>
        <v>54803</v>
      </c>
      <c r="F391" s="337">
        <f t="shared" si="2"/>
        <v>246</v>
      </c>
      <c r="G391" s="337">
        <v>0.0</v>
      </c>
      <c r="AE391" s="8">
        <v>216.0</v>
      </c>
    </row>
    <row r="392">
      <c r="A392" s="8"/>
      <c r="B392" s="8"/>
      <c r="C392" s="8"/>
      <c r="D392" s="337">
        <v>391.0</v>
      </c>
      <c r="E392" s="338">
        <f t="shared" si="3"/>
        <v>55019</v>
      </c>
      <c r="F392" s="337">
        <f t="shared" si="2"/>
        <v>247</v>
      </c>
      <c r="G392" s="337">
        <v>1.0</v>
      </c>
      <c r="AE392" s="8">
        <v>216.0</v>
      </c>
    </row>
    <row r="393">
      <c r="A393" s="8"/>
      <c r="B393" s="8"/>
      <c r="C393" s="8"/>
      <c r="D393" s="337">
        <v>392.0</v>
      </c>
      <c r="E393" s="338">
        <f t="shared" si="3"/>
        <v>55235</v>
      </c>
      <c r="F393" s="337">
        <f t="shared" si="2"/>
        <v>247</v>
      </c>
      <c r="G393" s="337">
        <v>0.0</v>
      </c>
      <c r="AE393" s="8">
        <v>216.0</v>
      </c>
    </row>
    <row r="394">
      <c r="A394" s="8"/>
      <c r="B394" s="8"/>
      <c r="C394" s="8"/>
      <c r="D394" s="337">
        <v>393.0</v>
      </c>
      <c r="E394" s="338">
        <f t="shared" si="3"/>
        <v>55452</v>
      </c>
      <c r="F394" s="337">
        <f t="shared" si="2"/>
        <v>247</v>
      </c>
      <c r="G394" s="337">
        <v>0.0</v>
      </c>
      <c r="AE394" s="8">
        <v>217.0</v>
      </c>
    </row>
    <row r="395">
      <c r="A395" s="8"/>
      <c r="B395" s="8"/>
      <c r="C395" s="8"/>
      <c r="D395" s="337">
        <v>394.0</v>
      </c>
      <c r="E395" s="338">
        <f t="shared" si="3"/>
        <v>55669</v>
      </c>
      <c r="F395" s="337">
        <f t="shared" si="2"/>
        <v>248</v>
      </c>
      <c r="G395" s="337">
        <v>1.0</v>
      </c>
      <c r="AE395" s="8">
        <v>217.0</v>
      </c>
    </row>
    <row r="396">
      <c r="A396" s="8"/>
      <c r="B396" s="8"/>
      <c r="C396" s="8"/>
      <c r="D396" s="337">
        <v>395.0</v>
      </c>
      <c r="E396" s="338">
        <f t="shared" si="3"/>
        <v>55886</v>
      </c>
      <c r="F396" s="337">
        <f t="shared" si="2"/>
        <v>248</v>
      </c>
      <c r="G396" s="337">
        <v>0.0</v>
      </c>
      <c r="AE396" s="8">
        <v>217.0</v>
      </c>
    </row>
    <row r="397">
      <c r="A397" s="8"/>
      <c r="B397" s="8"/>
      <c r="C397" s="8"/>
      <c r="D397" s="337">
        <v>396.0</v>
      </c>
      <c r="E397" s="338">
        <f t="shared" si="3"/>
        <v>56104</v>
      </c>
      <c r="F397" s="337">
        <f t="shared" si="2"/>
        <v>248</v>
      </c>
      <c r="G397" s="337">
        <v>0.0</v>
      </c>
      <c r="AE397" s="8">
        <v>218.0</v>
      </c>
    </row>
    <row r="398">
      <c r="A398" s="8"/>
      <c r="B398" s="8"/>
      <c r="C398" s="8"/>
      <c r="D398" s="337">
        <v>397.0</v>
      </c>
      <c r="E398" s="338">
        <f t="shared" si="3"/>
        <v>56322</v>
      </c>
      <c r="F398" s="337">
        <f t="shared" si="2"/>
        <v>249</v>
      </c>
      <c r="G398" s="337">
        <v>1.0</v>
      </c>
      <c r="AE398" s="8">
        <v>218.0</v>
      </c>
    </row>
    <row r="399">
      <c r="A399" s="8"/>
      <c r="B399" s="8"/>
      <c r="C399" s="8"/>
      <c r="D399" s="337">
        <v>398.0</v>
      </c>
      <c r="E399" s="338">
        <f t="shared" si="3"/>
        <v>56540</v>
      </c>
      <c r="F399" s="337">
        <f t="shared" si="2"/>
        <v>249</v>
      </c>
      <c r="G399" s="337">
        <v>0.0</v>
      </c>
      <c r="AE399" s="8">
        <v>218.0</v>
      </c>
    </row>
    <row r="400">
      <c r="A400" s="8"/>
      <c r="B400" s="8"/>
      <c r="C400" s="8"/>
      <c r="D400" s="337">
        <v>399.0</v>
      </c>
      <c r="E400" s="338">
        <f t="shared" si="3"/>
        <v>56759</v>
      </c>
      <c r="F400" s="337">
        <f t="shared" si="2"/>
        <v>249</v>
      </c>
      <c r="G400" s="337">
        <v>0.0</v>
      </c>
      <c r="AE400" s="8">
        <v>219.0</v>
      </c>
    </row>
    <row r="401">
      <c r="A401" s="8"/>
      <c r="B401" s="8"/>
      <c r="C401" s="8"/>
      <c r="D401" s="337">
        <v>400.0</v>
      </c>
      <c r="E401" s="338">
        <f t="shared" si="3"/>
        <v>56759</v>
      </c>
      <c r="F401" s="337">
        <f t="shared" si="2"/>
        <v>250</v>
      </c>
      <c r="G401" s="337">
        <v>1.0</v>
      </c>
    </row>
  </sheetData>
  <mergeCells count="1">
    <mergeCell ref="AE1:AE2"/>
  </mergeCells>
  <conditionalFormatting sqref="L1:L12">
    <cfRule type="cellIs" dxfId="29" priority="1" operator="equal">
      <formula>"EGO/3 Star"</formula>
    </cfRule>
  </conditionalFormatting>
  <conditionalFormatting sqref="L1:L12">
    <cfRule type="cellIs" dxfId="30" priority="2" operator="equal">
      <formula>"2 3 Star + UT4"</formula>
    </cfRule>
  </conditionalFormatting>
  <conditionalFormatting sqref="L1:L12">
    <cfRule type="cellIs" dxfId="31" priority="3" operator="equal">
      <formula>"2 Star"</formula>
    </cfRule>
  </conditionalFormatting>
  <conditionalFormatting sqref="L1:L12">
    <cfRule type="cellIs" dxfId="6" priority="4" operator="equal">
      <formula>"000 UT4"</formula>
    </cfRule>
  </conditionalFormatting>
  <conditionalFormatting sqref="L1:L12">
    <cfRule type="cellIs" dxfId="1" priority="5" operator="equal">
      <formula>"ZAYIN"</formula>
    </cfRule>
  </conditionalFormatting>
  <conditionalFormatting sqref="L1:L12">
    <cfRule type="cellIs" dxfId="3" priority="6" operator="equal">
      <formula>"TETH"</formula>
    </cfRule>
  </conditionalFormatting>
  <conditionalFormatting sqref="L1:L12">
    <cfRule type="cellIs" dxfId="32" priority="7" operator="equal">
      <formula>"HE"</formula>
    </cfRule>
  </conditionalFormatting>
  <conditionalFormatting sqref="L1:L12">
    <cfRule type="cellIs" dxfId="4" priority="8" operator="equal">
      <formula>"WAW"</formula>
    </cfRule>
  </conditionalFormatting>
  <conditionalFormatting sqref="L1:L12">
    <cfRule type="cellIs" dxfId="18" priority="9" operator="equal">
      <formula>"None"</formula>
    </cfRule>
  </conditionalFormatting>
  <conditionalFormatting sqref="L1:L12">
    <cfRule type="cellIs" dxfId="33" priority="10" operator="equal">
      <formula>"3 Star UT"</formula>
    </cfRule>
  </conditionalFormatting>
  <conditionalFormatting sqref="L1:L12">
    <cfRule type="cellIs" dxfId="31" priority="11" operator="equal">
      <formula>"00 UT4"</formula>
    </cfRule>
  </conditionalFormatting>
  <conditionalFormatting sqref="H1:H12 O3:AD300">
    <cfRule type="containsText" dxfId="18" priority="12" operator="containsText" text=" YS">
      <formula>NOT(ISERROR(SEARCH((" YS"),(H1))))</formula>
    </cfRule>
  </conditionalFormatting>
  <conditionalFormatting sqref="H1:H12 O3:AD300">
    <cfRule type="containsText" dxfId="19" priority="13" operator="containsText" text=" FT">
      <formula>NOT(ISERROR(SEARCH((" FT"),(H1))))</formula>
    </cfRule>
  </conditionalFormatting>
  <conditionalFormatting sqref="H1:H12 O3:AD300">
    <cfRule type="containsText" dxfId="6" priority="14" operator="containsText" text=" DQ">
      <formula>NOT(ISERROR(SEARCH((" DQ"),(H1))))</formula>
    </cfRule>
  </conditionalFormatting>
  <conditionalFormatting sqref="H1:H12 O3:AD300">
    <cfRule type="containsText" dxfId="20" priority="15" operator="containsText" text=" RS">
      <formula>NOT(ISERROR(SEARCH((" RS"),(H1))))</formula>
    </cfRule>
  </conditionalFormatting>
  <conditionalFormatting sqref="H1:H12 O3:AD300">
    <cfRule type="containsText" dxfId="21" priority="16" operator="containsText" text=" MS">
      <formula>NOT(ISERROR(SEARCH((" MS"),(H1))))</formula>
    </cfRule>
  </conditionalFormatting>
  <conditionalFormatting sqref="H1:H12 O3:AD300">
    <cfRule type="containsText" dxfId="22" priority="17" operator="containsText" text=" HL">
      <formula>NOT(ISERROR(SEARCH((" HL"),(H1))))</formula>
    </cfRule>
  </conditionalFormatting>
  <conditionalFormatting sqref="H1:H12 O3:AD300">
    <cfRule type="containsText" dxfId="23" priority="18" operator="containsText" text=" HC">
      <formula>NOT(ISERROR(SEARCH((" HC"),(H1))))</formula>
    </cfRule>
  </conditionalFormatting>
  <conditionalFormatting sqref="H1:H12 O3:AD300">
    <cfRule type="containsText" dxfId="25" priority="19" operator="containsText" text=" RD">
      <formula>NOT(ISERROR(SEARCH((" RD"),(H1))))</formula>
    </cfRule>
  </conditionalFormatting>
  <conditionalFormatting sqref="H1:H12 O3:AD300">
    <cfRule type="containsText" dxfId="27" priority="20" operator="containsText" text=" OT">
      <formula>NOT(ISERROR(SEARCH((" OT"),(H1))))</formula>
    </cfRule>
  </conditionalFormatting>
  <conditionalFormatting sqref="H1:H12 O3:AD300">
    <cfRule type="containsText" dxfId="24" priority="21" operator="containsText" text=" IS">
      <formula>NOT(ISERROR(SEARCH((" IS"),(H1))))</formula>
    </cfRule>
  </conditionalFormatting>
  <conditionalFormatting sqref="H1:H12 O3:AD300">
    <cfRule type="containsText" dxfId="26" priority="22" operator="containsText" text=" SC">
      <formula>NOT(ISERROR(SEARCH((" SC"),(H1))))</formula>
    </cfRule>
  </conditionalFormatting>
  <conditionalFormatting sqref="H1:H12 O3:AD300">
    <cfRule type="containsText" dxfId="28" priority="23" operator="containsText" text=" GG">
      <formula>NOT(ISERROR(SEARCH((" GG"),(H1))))</formula>
    </cfRule>
  </conditionalFormatting>
  <conditionalFormatting sqref="H37">
    <cfRule type="notContainsBlanks" dxfId="40" priority="24">
      <formula>LEN(TRIM(H37))&gt;0</formula>
    </cfRule>
  </conditionalFormatting>
  <conditionalFormatting sqref="L1:L12">
    <cfRule type="cellIs" dxfId="30" priority="25" operator="equal">
      <formula>"2 3 Star"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9EF"/>
    <outlinePr summaryBelow="0" summaryRight="0"/>
  </sheetPr>
  <sheetViews>
    <sheetView workbookViewId="0"/>
  </sheetViews>
  <sheetFormatPr customHeight="1" defaultColWidth="12.63" defaultRowHeight="15.75"/>
  <cols>
    <col customWidth="1" min="1" max="14" width="11.5"/>
  </cols>
  <sheetData>
    <row r="1">
      <c r="A1" s="51" t="s">
        <v>152</v>
      </c>
      <c r="B1" s="51" t="s">
        <v>652</v>
      </c>
      <c r="C1" s="51" t="s">
        <v>653</v>
      </c>
      <c r="D1" s="46" t="s">
        <v>13</v>
      </c>
      <c r="F1" s="51" t="s">
        <v>654</v>
      </c>
      <c r="G1" s="51" t="s">
        <v>655</v>
      </c>
      <c r="H1" s="51" t="s">
        <v>656</v>
      </c>
      <c r="I1" s="51" t="s">
        <v>657</v>
      </c>
      <c r="J1" s="46" t="s">
        <v>13</v>
      </c>
      <c r="K1" s="46" t="s">
        <v>658</v>
      </c>
      <c r="L1" s="51" t="s">
        <v>659</v>
      </c>
      <c r="M1" s="51" t="s">
        <v>660</v>
      </c>
      <c r="N1" s="51" t="s">
        <v>661</v>
      </c>
      <c r="O1" s="51" t="s">
        <v>662</v>
      </c>
      <c r="P1" s="46" t="s">
        <v>13</v>
      </c>
      <c r="Q1" s="46" t="s">
        <v>658</v>
      </c>
    </row>
    <row r="2">
      <c r="A2" s="61" t="s">
        <v>12</v>
      </c>
      <c r="B2" s="61"/>
      <c r="C2" s="61" t="s">
        <v>663</v>
      </c>
      <c r="D2" s="61" t="s">
        <v>664</v>
      </c>
      <c r="F2" s="61" t="s">
        <v>12</v>
      </c>
      <c r="G2" s="61" t="s">
        <v>665</v>
      </c>
      <c r="H2" s="188"/>
      <c r="I2" s="62"/>
      <c r="J2" s="208" t="s">
        <v>666</v>
      </c>
      <c r="K2" s="208" t="s">
        <v>667</v>
      </c>
      <c r="L2" s="61" t="s">
        <v>12</v>
      </c>
      <c r="M2" s="216" t="s">
        <v>668</v>
      </c>
      <c r="N2" s="62"/>
      <c r="O2" s="62"/>
      <c r="P2" s="47" t="s">
        <v>669</v>
      </c>
      <c r="Q2" s="339" t="s">
        <v>134</v>
      </c>
    </row>
    <row r="3">
      <c r="A3" s="61" t="s">
        <v>153</v>
      </c>
      <c r="B3" s="61" t="s">
        <v>664</v>
      </c>
      <c r="C3" s="61" t="s">
        <v>670</v>
      </c>
      <c r="D3" s="61"/>
      <c r="F3" s="61" t="s">
        <v>153</v>
      </c>
      <c r="G3" s="61" t="s">
        <v>671</v>
      </c>
      <c r="H3" s="208" t="s">
        <v>672</v>
      </c>
      <c r="I3" s="61" t="s">
        <v>673</v>
      </c>
      <c r="J3" s="280" t="s">
        <v>674</v>
      </c>
      <c r="K3" s="280"/>
      <c r="L3" s="61" t="s">
        <v>153</v>
      </c>
      <c r="M3" s="61" t="s">
        <v>675</v>
      </c>
      <c r="N3" s="340" t="s">
        <v>676</v>
      </c>
      <c r="O3" s="130" t="s">
        <v>138</v>
      </c>
      <c r="P3" s="130" t="s">
        <v>138</v>
      </c>
      <c r="Q3" s="130"/>
    </row>
    <row r="4">
      <c r="A4" s="61" t="s">
        <v>154</v>
      </c>
      <c r="B4" s="61"/>
      <c r="C4" s="61"/>
      <c r="D4" s="208"/>
      <c r="F4" s="61" t="s">
        <v>154</v>
      </c>
      <c r="G4" s="61" t="s">
        <v>677</v>
      </c>
      <c r="H4" s="188"/>
      <c r="I4" s="62"/>
      <c r="J4" s="62"/>
      <c r="K4" s="62"/>
      <c r="L4" s="61" t="s">
        <v>154</v>
      </c>
      <c r="M4" s="61" t="s">
        <v>678</v>
      </c>
      <c r="N4" s="62"/>
      <c r="O4" s="62"/>
      <c r="P4" s="62"/>
      <c r="Q4" s="62"/>
    </row>
    <row r="5">
      <c r="A5" s="61" t="s">
        <v>155</v>
      </c>
      <c r="B5" s="61"/>
      <c r="C5" s="62"/>
      <c r="D5" s="208"/>
      <c r="F5" s="61" t="s">
        <v>155</v>
      </c>
      <c r="G5" s="61" t="s">
        <v>679</v>
      </c>
      <c r="H5" s="75" t="s">
        <v>680</v>
      </c>
      <c r="I5" s="341"/>
      <c r="J5" s="208" t="s">
        <v>666</v>
      </c>
      <c r="K5" s="208"/>
      <c r="L5" s="61" t="s">
        <v>155</v>
      </c>
      <c r="M5" s="129" t="s">
        <v>681</v>
      </c>
      <c r="N5" s="342" t="s">
        <v>682</v>
      </c>
      <c r="O5" s="172"/>
      <c r="P5" s="208" t="s">
        <v>683</v>
      </c>
      <c r="Q5" s="208"/>
    </row>
    <row r="6">
      <c r="A6" s="61" t="s">
        <v>156</v>
      </c>
      <c r="B6" s="61" t="s">
        <v>684</v>
      </c>
      <c r="C6" s="61" t="s">
        <v>685</v>
      </c>
      <c r="D6" s="208" t="s">
        <v>666</v>
      </c>
      <c r="F6" s="61" t="s">
        <v>156</v>
      </c>
      <c r="G6" s="61" t="s">
        <v>686</v>
      </c>
      <c r="H6" s="75" t="s">
        <v>687</v>
      </c>
      <c r="I6" s="343"/>
      <c r="J6" s="280" t="s">
        <v>688</v>
      </c>
      <c r="K6" s="280"/>
      <c r="L6" s="61" t="s">
        <v>156</v>
      </c>
      <c r="M6" s="344" t="s">
        <v>689</v>
      </c>
      <c r="N6" s="339" t="s">
        <v>690</v>
      </c>
      <c r="O6" s="345"/>
      <c r="P6" s="345" t="s">
        <v>691</v>
      </c>
      <c r="Q6" s="345"/>
    </row>
    <row r="7">
      <c r="A7" s="61" t="s">
        <v>157</v>
      </c>
      <c r="B7" s="61"/>
      <c r="C7" s="61" t="s">
        <v>692</v>
      </c>
      <c r="D7" s="62"/>
      <c r="F7" s="61" t="s">
        <v>157</v>
      </c>
      <c r="G7" s="208" t="s">
        <v>693</v>
      </c>
      <c r="H7" s="61" t="s">
        <v>694</v>
      </c>
      <c r="J7" s="188"/>
      <c r="K7" s="188"/>
      <c r="L7" s="61" t="s">
        <v>157</v>
      </c>
      <c r="M7" s="346" t="s">
        <v>695</v>
      </c>
      <c r="N7" s="342" t="s">
        <v>696</v>
      </c>
      <c r="O7" s="62"/>
      <c r="P7" s="62"/>
      <c r="Q7" s="62"/>
    </row>
    <row r="8">
      <c r="A8" s="61" t="s">
        <v>158</v>
      </c>
      <c r="B8" s="61"/>
      <c r="C8" s="7" t="s">
        <v>697</v>
      </c>
      <c r="D8" s="208" t="s">
        <v>698</v>
      </c>
      <c r="F8" s="61" t="s">
        <v>158</v>
      </c>
      <c r="G8" s="208" t="s">
        <v>699</v>
      </c>
      <c r="H8" s="208" t="s">
        <v>700</v>
      </c>
      <c r="J8" s="208" t="s">
        <v>701</v>
      </c>
      <c r="K8" s="208"/>
      <c r="L8" s="61" t="s">
        <v>158</v>
      </c>
      <c r="M8" s="344" t="s">
        <v>702</v>
      </c>
      <c r="N8" s="129" t="s">
        <v>703</v>
      </c>
      <c r="P8" s="61" t="s">
        <v>704</v>
      </c>
      <c r="Q8" s="61"/>
    </row>
    <row r="9">
      <c r="A9" s="61" t="s">
        <v>122</v>
      </c>
      <c r="B9" s="61"/>
      <c r="C9" s="61" t="s">
        <v>705</v>
      </c>
      <c r="D9" s="208" t="s">
        <v>666</v>
      </c>
      <c r="F9" s="61" t="s">
        <v>122</v>
      </c>
      <c r="G9" s="61" t="s">
        <v>706</v>
      </c>
      <c r="H9" s="61" t="s">
        <v>707</v>
      </c>
      <c r="I9" s="62"/>
      <c r="J9" s="62"/>
      <c r="K9" s="62"/>
      <c r="L9" s="61" t="s">
        <v>122</v>
      </c>
      <c r="M9" s="61" t="s">
        <v>708</v>
      </c>
      <c r="N9" s="342" t="s">
        <v>709</v>
      </c>
      <c r="O9" s="62"/>
      <c r="P9" s="62"/>
      <c r="Q9" s="62"/>
    </row>
    <row r="10">
      <c r="A10" s="61" t="s">
        <v>159</v>
      </c>
      <c r="B10" s="61"/>
      <c r="C10" s="61" t="s">
        <v>710</v>
      </c>
      <c r="D10" s="62"/>
      <c r="F10" s="61" t="s">
        <v>159</v>
      </c>
      <c r="G10" s="61" t="s">
        <v>711</v>
      </c>
      <c r="H10" s="208" t="s">
        <v>712</v>
      </c>
      <c r="J10" s="208" t="s">
        <v>713</v>
      </c>
      <c r="K10" s="208"/>
      <c r="L10" s="61" t="s">
        <v>159</v>
      </c>
      <c r="M10" s="339" t="s">
        <v>714</v>
      </c>
      <c r="N10" s="129" t="s">
        <v>715</v>
      </c>
      <c r="O10" s="172"/>
      <c r="P10" s="344" t="s">
        <v>716</v>
      </c>
      <c r="Q10" s="344"/>
    </row>
    <row r="11">
      <c r="A11" s="61" t="s">
        <v>160</v>
      </c>
      <c r="B11" s="61"/>
      <c r="C11" s="61" t="s">
        <v>717</v>
      </c>
      <c r="D11" s="62"/>
      <c r="F11" s="61" t="s">
        <v>160</v>
      </c>
      <c r="G11" s="61" t="s">
        <v>718</v>
      </c>
      <c r="H11" s="188" t="s">
        <v>719</v>
      </c>
      <c r="I11" s="62"/>
      <c r="J11" s="61" t="s">
        <v>720</v>
      </c>
      <c r="K11" s="61"/>
      <c r="L11" s="61" t="s">
        <v>160</v>
      </c>
      <c r="M11" s="61" t="s">
        <v>721</v>
      </c>
      <c r="N11" s="347" t="s">
        <v>722</v>
      </c>
      <c r="O11" s="62"/>
      <c r="P11" s="344" t="s">
        <v>723</v>
      </c>
      <c r="Q11" s="344"/>
    </row>
    <row r="12">
      <c r="A12" s="61" t="s">
        <v>161</v>
      </c>
      <c r="B12" s="61" t="s">
        <v>664</v>
      </c>
      <c r="C12" s="61"/>
      <c r="D12" s="208"/>
      <c r="F12" s="61" t="s">
        <v>161</v>
      </c>
      <c r="G12" s="61" t="s">
        <v>724</v>
      </c>
      <c r="H12" s="61" t="s">
        <v>725</v>
      </c>
      <c r="I12" s="188"/>
      <c r="J12" s="208" t="s">
        <v>698</v>
      </c>
      <c r="K12" s="208"/>
      <c r="L12" s="61" t="s">
        <v>161</v>
      </c>
      <c r="M12" s="61" t="s">
        <v>726</v>
      </c>
      <c r="N12" s="61" t="s">
        <v>727</v>
      </c>
      <c r="O12" s="188"/>
      <c r="P12" s="344" t="s">
        <v>143</v>
      </c>
      <c r="Q12" s="344"/>
    </row>
    <row r="13">
      <c r="A13" s="50" t="s">
        <v>162</v>
      </c>
      <c r="B13" s="50"/>
      <c r="C13" s="50"/>
      <c r="D13" s="248" t="s">
        <v>728</v>
      </c>
      <c r="F13" s="50" t="s">
        <v>162</v>
      </c>
      <c r="G13" s="50" t="s">
        <v>729</v>
      </c>
      <c r="H13" s="50" t="s">
        <v>730</v>
      </c>
      <c r="I13" s="50" t="s">
        <v>731</v>
      </c>
      <c r="J13" s="74"/>
      <c r="K13" s="74"/>
      <c r="L13" s="50" t="s">
        <v>162</v>
      </c>
      <c r="M13" s="50" t="s">
        <v>732</v>
      </c>
      <c r="N13" s="348" t="s">
        <v>733</v>
      </c>
      <c r="O13" s="349" t="s">
        <v>138</v>
      </c>
      <c r="P13" s="74"/>
      <c r="Q13" s="74"/>
    </row>
    <row r="15">
      <c r="A15" s="47" t="s">
        <v>16</v>
      </c>
      <c r="B15" s="47">
        <f>COUNTIF(B2:C13, "*Thumb*")</f>
        <v>0</v>
      </c>
      <c r="F15" s="198" t="s">
        <v>16</v>
      </c>
      <c r="G15" s="69">
        <f>COUNTIF(G2:I13, "*Thumb*")</f>
        <v>2</v>
      </c>
      <c r="H15" s="350" t="s">
        <v>734</v>
      </c>
      <c r="I15" s="69">
        <f>IFERROR(__xludf.DUMMYFUNCTION("COUNTA(G2:I13) - ARRAYFORMULA(SUM(N(REGEXMATCH(G2:I13, ""Thumb|Index|Middle|Ring|Pinky""))))"),10.0)</f>
        <v>10</v>
      </c>
      <c r="L15" s="198" t="s">
        <v>138</v>
      </c>
      <c r="M15" s="351" t="str">
        <f t="array" ref="M15:M21">MAP(L15:L21, LAMBDA(row, IF(row&lt;&gt;"", "ID: " &amp; COUNTIF(M2:O13, "*"&amp;row&amp;"*") &amp; ", EGO: " &amp; COUNTIF(P2:Q13, "*"&amp;row&amp;"*"), )))</f>
        <v>ID: 12, EGO: 6</v>
      </c>
      <c r="N15" s="342" t="s">
        <v>735</v>
      </c>
      <c r="O15" s="340" t="s">
        <v>736</v>
      </c>
      <c r="P15" s="352" t="s">
        <v>737</v>
      </c>
      <c r="Q15" s="353"/>
    </row>
    <row r="16">
      <c r="A16" s="61" t="s">
        <v>738</v>
      </c>
      <c r="B16" s="61">
        <f>COUNTIF(B2:C13, "*Index*")</f>
        <v>0</v>
      </c>
      <c r="F16" s="339" t="s">
        <v>738</v>
      </c>
      <c r="G16" s="62">
        <f>COUNTIF(G2:I13, "*Index*")</f>
        <v>3</v>
      </c>
      <c r="H16" s="354" t="s">
        <v>739</v>
      </c>
      <c r="I16" s="62">
        <f>IFERROR(__xludf.DUMMYFUNCTION("COUNTA(J2:K13) - ARRAYFORMULA(SUM(N(REGEXMATCH(J2:K13, "" BP""))))"),5.0)</f>
        <v>5</v>
      </c>
      <c r="L16" s="344" t="s">
        <v>143</v>
      </c>
      <c r="M16" s="200" t="s">
        <v>740</v>
      </c>
      <c r="N16" s="344" t="s">
        <v>741</v>
      </c>
      <c r="O16" s="342" t="s">
        <v>742</v>
      </c>
      <c r="P16" s="342" t="s">
        <v>743</v>
      </c>
      <c r="Q16" s="355"/>
    </row>
    <row r="17">
      <c r="A17" s="61" t="s">
        <v>744</v>
      </c>
      <c r="B17" s="61">
        <f>COUNTIF(B2:C13, "*Middle*")</f>
        <v>0</v>
      </c>
      <c r="F17" s="356" t="s">
        <v>744</v>
      </c>
      <c r="G17" s="62">
        <f>COUNTIF(G2:I13, "*Middle*")</f>
        <v>3</v>
      </c>
      <c r="H17" s="208" t="s">
        <v>745</v>
      </c>
      <c r="I17" s="62">
        <f>IFERROR(__xludf.DUMMYFUNCTION("ARRAYFORMULA(SUM(N(REGEXMATCH(G2:I13, ""Father|Apprentice|App|Araya""))))"),10.0)</f>
        <v>10</v>
      </c>
      <c r="L17" s="129" t="s">
        <v>123</v>
      </c>
      <c r="M17" s="201" t="s">
        <v>746</v>
      </c>
      <c r="N17" s="339" t="s">
        <v>747</v>
      </c>
      <c r="O17" s="129" t="s">
        <v>748</v>
      </c>
      <c r="P17" s="340" t="s">
        <v>749</v>
      </c>
      <c r="Q17" s="357"/>
    </row>
    <row r="18">
      <c r="A18" s="61" t="s">
        <v>750</v>
      </c>
      <c r="B18" s="61">
        <f>COUNTIF(B2:C13, "*Ring*")</f>
        <v>0</v>
      </c>
      <c r="F18" s="344" t="s">
        <v>750</v>
      </c>
      <c r="G18" s="62">
        <f>COUNTIF(G2:I13, "*Ring*")</f>
        <v>4</v>
      </c>
      <c r="H18" s="61" t="s">
        <v>751</v>
      </c>
      <c r="I18" s="62">
        <f>COUNTA(G2:I13)</f>
        <v>24</v>
      </c>
      <c r="L18" s="352" t="s">
        <v>752</v>
      </c>
      <c r="M18" s="202" t="s">
        <v>753</v>
      </c>
      <c r="N18" s="129" t="s">
        <v>754</v>
      </c>
      <c r="O18" s="129" t="s">
        <v>755</v>
      </c>
      <c r="P18" s="339" t="s">
        <v>756</v>
      </c>
      <c r="Q18" s="358"/>
    </row>
    <row r="19">
      <c r="A19" s="50" t="s">
        <v>757</v>
      </c>
      <c r="B19" s="50">
        <f>COUNTIF(B2:C13, "*Pinky*")</f>
        <v>0</v>
      </c>
      <c r="F19" s="359" t="s">
        <v>757</v>
      </c>
      <c r="G19" s="62">
        <f>COUNTIF(G2:I13, "*Pinky*")</f>
        <v>2</v>
      </c>
      <c r="H19" s="61" t="s">
        <v>758</v>
      </c>
      <c r="I19" s="62">
        <f>COUNTA(J2:K13)</f>
        <v>9</v>
      </c>
      <c r="L19" s="339" t="s">
        <v>134</v>
      </c>
      <c r="M19" s="203" t="s">
        <v>759</v>
      </c>
      <c r="N19" s="352" t="s">
        <v>760</v>
      </c>
      <c r="O19" s="352" t="s">
        <v>761</v>
      </c>
      <c r="P19" s="352" t="s">
        <v>762</v>
      </c>
      <c r="Q19" s="353"/>
    </row>
    <row r="20">
      <c r="F20" s="360" t="s">
        <v>763</v>
      </c>
      <c r="G20" s="62">
        <f>COUNTIF(G2:K13, "* Walp*")</f>
        <v>6</v>
      </c>
      <c r="H20" s="61" t="s">
        <v>764</v>
      </c>
      <c r="I20" s="62">
        <f>IFERROR(__xludf.DUMMYFUNCTION("COUNTA(G2:K13) - ARRAYFORMULA(SUM(N(REGEXMATCH(G2:K13, ""Thumb|Index|Middle|Ring|Pinky| Walp| Intv| Bkgk| BP""))))"),3.0)</f>
        <v>3</v>
      </c>
      <c r="L20" s="342" t="s">
        <v>765</v>
      </c>
      <c r="M20" s="205" t="s">
        <v>766</v>
      </c>
      <c r="N20" s="340" t="s">
        <v>767</v>
      </c>
      <c r="O20" s="340" t="s">
        <v>768</v>
      </c>
      <c r="P20" s="340" t="s">
        <v>769</v>
      </c>
      <c r="Q20" s="357"/>
    </row>
    <row r="21">
      <c r="F21" s="282" t="s">
        <v>770</v>
      </c>
      <c r="G21" s="74">
        <f>COUNTIF(G2:K13, "* Intv*") + COUNTIF(G2:K13, "* Bkgk")</f>
        <v>7</v>
      </c>
      <c r="H21" s="50" t="s">
        <v>771</v>
      </c>
      <c r="I21" s="74">
        <f>COUNTIF(G2:K13, "* SF*")</f>
        <v>1</v>
      </c>
      <c r="L21" s="348" t="s">
        <v>148</v>
      </c>
      <c r="M21" s="207" t="s">
        <v>772</v>
      </c>
      <c r="N21" s="342" t="s">
        <v>773</v>
      </c>
      <c r="O21" s="342" t="s">
        <v>774</v>
      </c>
      <c r="P21" s="342" t="s">
        <v>775</v>
      </c>
      <c r="Q21" s="355"/>
    </row>
    <row r="23">
      <c r="A23" s="361" t="s">
        <v>138</v>
      </c>
      <c r="G23" s="361" t="s">
        <v>138</v>
      </c>
      <c r="H23" s="362" t="s">
        <v>123</v>
      </c>
    </row>
    <row r="24">
      <c r="A24" s="7" t="s">
        <v>776</v>
      </c>
      <c r="B24" s="7" t="s">
        <v>777</v>
      </c>
      <c r="C24" s="7" t="s">
        <v>778</v>
      </c>
      <c r="D24" s="7" t="s">
        <v>779</v>
      </c>
      <c r="E24" s="7" t="s">
        <v>780</v>
      </c>
      <c r="F24" s="7" t="s">
        <v>781</v>
      </c>
      <c r="G24" s="7" t="s">
        <v>782</v>
      </c>
      <c r="H24" s="7" t="s">
        <v>783</v>
      </c>
      <c r="I24" s="7" t="s">
        <v>784</v>
      </c>
      <c r="J24" s="7" t="s">
        <v>785</v>
      </c>
      <c r="K24" s="7" t="s">
        <v>786</v>
      </c>
      <c r="L24" s="7" t="s">
        <v>787</v>
      </c>
    </row>
    <row r="25">
      <c r="A25" s="7" t="s">
        <v>788</v>
      </c>
      <c r="B25" s="7" t="s">
        <v>789</v>
      </c>
      <c r="C25" s="7" t="s">
        <v>790</v>
      </c>
      <c r="D25" s="7" t="s">
        <v>791</v>
      </c>
      <c r="E25" s="7" t="s">
        <v>792</v>
      </c>
      <c r="F25" s="7" t="s">
        <v>793</v>
      </c>
      <c r="G25" s="7" t="s">
        <v>794</v>
      </c>
      <c r="H25" s="7" t="s">
        <v>795</v>
      </c>
      <c r="I25" s="7" t="s">
        <v>796</v>
      </c>
      <c r="J25" s="7" t="s">
        <v>797</v>
      </c>
      <c r="K25" s="7" t="s">
        <v>798</v>
      </c>
      <c r="L25" s="7" t="s">
        <v>799</v>
      </c>
    </row>
    <row r="26">
      <c r="A26" s="363" t="s">
        <v>143</v>
      </c>
      <c r="G26" s="363" t="s">
        <v>143</v>
      </c>
      <c r="H26" s="362" t="s">
        <v>123</v>
      </c>
    </row>
    <row r="27">
      <c r="A27" s="7" t="s">
        <v>800</v>
      </c>
      <c r="B27" s="7" t="s">
        <v>801</v>
      </c>
      <c r="C27" s="7" t="s">
        <v>802</v>
      </c>
      <c r="D27" s="7" t="s">
        <v>803</v>
      </c>
      <c r="E27" s="7" t="s">
        <v>804</v>
      </c>
      <c r="F27" s="7" t="s">
        <v>805</v>
      </c>
      <c r="G27" s="7" t="s">
        <v>806</v>
      </c>
      <c r="H27" s="7" t="s">
        <v>807</v>
      </c>
      <c r="I27" s="7" t="s">
        <v>808</v>
      </c>
      <c r="J27" s="7" t="s">
        <v>809</v>
      </c>
      <c r="K27" s="7" t="s">
        <v>810</v>
      </c>
      <c r="L27" s="7" t="s">
        <v>811</v>
      </c>
    </row>
    <row r="28">
      <c r="A28" s="7" t="s">
        <v>812</v>
      </c>
      <c r="B28" s="7" t="s">
        <v>813</v>
      </c>
      <c r="C28" s="7" t="s">
        <v>814</v>
      </c>
      <c r="D28" s="7" t="s">
        <v>815</v>
      </c>
      <c r="E28" s="7" t="s">
        <v>816</v>
      </c>
      <c r="F28" s="7" t="s">
        <v>817</v>
      </c>
      <c r="G28" s="7" t="s">
        <v>818</v>
      </c>
      <c r="H28" s="7" t="s">
        <v>819</v>
      </c>
      <c r="I28" s="7" t="s">
        <v>820</v>
      </c>
      <c r="J28" s="7" t="s">
        <v>821</v>
      </c>
      <c r="K28" s="7" t="s">
        <v>822</v>
      </c>
      <c r="L28" s="7" t="s">
        <v>823</v>
      </c>
    </row>
    <row r="29">
      <c r="A29" s="362" t="s">
        <v>123</v>
      </c>
      <c r="G29" s="364" t="s">
        <v>824</v>
      </c>
      <c r="H29" s="365" t="s">
        <v>134</v>
      </c>
      <c r="I29" s="361" t="s">
        <v>138</v>
      </c>
      <c r="J29" s="363" t="s">
        <v>143</v>
      </c>
    </row>
    <row r="30">
      <c r="A30" s="7" t="s">
        <v>825</v>
      </c>
      <c r="B30" s="7" t="s">
        <v>826</v>
      </c>
      <c r="C30" s="7" t="s">
        <v>827</v>
      </c>
      <c r="D30" s="7" t="s">
        <v>828</v>
      </c>
      <c r="E30" s="7" t="s">
        <v>829</v>
      </c>
      <c r="F30" s="7" t="s">
        <v>830</v>
      </c>
      <c r="G30" s="7" t="s">
        <v>831</v>
      </c>
      <c r="H30" s="7" t="s">
        <v>832</v>
      </c>
      <c r="I30" s="7" t="s">
        <v>833</v>
      </c>
      <c r="J30" s="7" t="s">
        <v>834</v>
      </c>
      <c r="K30" s="7" t="s">
        <v>835</v>
      </c>
      <c r="L30" s="7" t="s">
        <v>836</v>
      </c>
    </row>
    <row r="31">
      <c r="A31" s="7" t="s">
        <v>837</v>
      </c>
      <c r="B31" s="7" t="s">
        <v>838</v>
      </c>
      <c r="C31" s="7" t="s">
        <v>839</v>
      </c>
      <c r="D31" s="7" t="s">
        <v>840</v>
      </c>
      <c r="E31" s="7" t="s">
        <v>841</v>
      </c>
      <c r="F31" s="7" t="s">
        <v>842</v>
      </c>
      <c r="G31" s="7" t="s">
        <v>843</v>
      </c>
      <c r="H31" s="7" t="s">
        <v>844</v>
      </c>
      <c r="I31" s="7" t="s">
        <v>845</v>
      </c>
      <c r="J31" s="7" t="s">
        <v>846</v>
      </c>
      <c r="K31" s="7" t="s">
        <v>847</v>
      </c>
      <c r="L31" s="7" t="s">
        <v>848</v>
      </c>
    </row>
    <row r="32">
      <c r="A32" s="366" t="s">
        <v>752</v>
      </c>
      <c r="G32" s="367" t="s">
        <v>849</v>
      </c>
      <c r="H32" s="368" t="s">
        <v>765</v>
      </c>
      <c r="I32" s="366" t="s">
        <v>752</v>
      </c>
    </row>
    <row r="33">
      <c r="A33" s="7" t="s">
        <v>850</v>
      </c>
      <c r="B33" s="7" t="s">
        <v>851</v>
      </c>
      <c r="C33" s="7" t="s">
        <v>852</v>
      </c>
      <c r="D33" s="7" t="s">
        <v>853</v>
      </c>
      <c r="E33" s="7" t="s">
        <v>854</v>
      </c>
      <c r="F33" s="7" t="s">
        <v>855</v>
      </c>
      <c r="G33" s="369" t="s">
        <v>856</v>
      </c>
      <c r="H33" s="369" t="s">
        <v>857</v>
      </c>
      <c r="I33" s="7" t="s">
        <v>858</v>
      </c>
      <c r="J33" s="7" t="s">
        <v>859</v>
      </c>
      <c r="K33" s="369" t="s">
        <v>860</v>
      </c>
      <c r="L33" s="369" t="s">
        <v>861</v>
      </c>
    </row>
    <row r="34">
      <c r="A34" s="7" t="s">
        <v>862</v>
      </c>
      <c r="B34" s="7" t="s">
        <v>863</v>
      </c>
      <c r="C34" s="7" t="s">
        <v>864</v>
      </c>
      <c r="D34" s="7" t="s">
        <v>865</v>
      </c>
      <c r="E34" s="7" t="s">
        <v>866</v>
      </c>
      <c r="F34" s="7" t="s">
        <v>867</v>
      </c>
      <c r="G34" s="7" t="s">
        <v>868</v>
      </c>
      <c r="H34" s="369" t="s">
        <v>869</v>
      </c>
      <c r="I34" s="369" t="s">
        <v>870</v>
      </c>
      <c r="J34" s="7" t="s">
        <v>871</v>
      </c>
      <c r="K34" s="7" t="s">
        <v>872</v>
      </c>
      <c r="L34" s="369" t="s">
        <v>873</v>
      </c>
    </row>
    <row r="35">
      <c r="A35" s="365" t="s">
        <v>134</v>
      </c>
      <c r="G35" s="365" t="s">
        <v>874</v>
      </c>
      <c r="H35" s="362" t="s">
        <v>123</v>
      </c>
      <c r="I35" s="368" t="s">
        <v>765</v>
      </c>
    </row>
    <row r="36">
      <c r="A36" s="7" t="s">
        <v>875</v>
      </c>
      <c r="B36" s="7" t="s">
        <v>876</v>
      </c>
      <c r="C36" s="7" t="s">
        <v>877</v>
      </c>
      <c r="D36" s="7" t="s">
        <v>878</v>
      </c>
      <c r="E36" s="7" t="s">
        <v>879</v>
      </c>
      <c r="F36" s="7" t="s">
        <v>880</v>
      </c>
      <c r="G36" s="369" t="s">
        <v>881</v>
      </c>
      <c r="H36" s="7" t="s">
        <v>882</v>
      </c>
      <c r="I36" s="369" t="s">
        <v>883</v>
      </c>
      <c r="J36" s="7" t="s">
        <v>884</v>
      </c>
      <c r="K36" s="7" t="s">
        <v>885</v>
      </c>
      <c r="L36" s="7" t="s">
        <v>886</v>
      </c>
    </row>
    <row r="37">
      <c r="A37" s="7" t="s">
        <v>887</v>
      </c>
      <c r="B37" s="7" t="s">
        <v>888</v>
      </c>
      <c r="C37" s="7" t="s">
        <v>889</v>
      </c>
      <c r="D37" s="7" t="s">
        <v>890</v>
      </c>
      <c r="E37" s="7" t="s">
        <v>891</v>
      </c>
      <c r="F37" s="7" t="s">
        <v>892</v>
      </c>
      <c r="G37" s="369" t="s">
        <v>893</v>
      </c>
      <c r="H37" s="369" t="s">
        <v>894</v>
      </c>
      <c r="I37" s="369" t="s">
        <v>895</v>
      </c>
      <c r="J37" s="7" t="s">
        <v>896</v>
      </c>
      <c r="K37" s="369" t="s">
        <v>897</v>
      </c>
      <c r="L37" s="369" t="s">
        <v>898</v>
      </c>
    </row>
    <row r="38">
      <c r="A38" s="368" t="s">
        <v>765</v>
      </c>
      <c r="G38" s="368" t="s">
        <v>765</v>
      </c>
      <c r="H38" s="365" t="s">
        <v>134</v>
      </c>
    </row>
    <row r="39">
      <c r="A39" s="7" t="s">
        <v>899</v>
      </c>
      <c r="B39" s="7" t="s">
        <v>900</v>
      </c>
      <c r="C39" s="7" t="s">
        <v>901</v>
      </c>
      <c r="D39" s="7" t="s">
        <v>902</v>
      </c>
      <c r="E39" s="7" t="s">
        <v>903</v>
      </c>
      <c r="F39" s="7" t="s">
        <v>904</v>
      </c>
      <c r="G39" s="7" t="s">
        <v>905</v>
      </c>
      <c r="H39" s="7" t="s">
        <v>906</v>
      </c>
      <c r="I39" s="7" t="s">
        <v>907</v>
      </c>
      <c r="J39" s="7" t="s">
        <v>908</v>
      </c>
      <c r="K39" s="7" t="s">
        <v>909</v>
      </c>
      <c r="L39" s="7" t="s">
        <v>910</v>
      </c>
    </row>
    <row r="40">
      <c r="A40" s="7" t="s">
        <v>911</v>
      </c>
      <c r="B40" s="7" t="s">
        <v>912</v>
      </c>
      <c r="C40" s="7" t="s">
        <v>913</v>
      </c>
      <c r="D40" s="7" t="s">
        <v>914</v>
      </c>
      <c r="E40" s="7" t="s">
        <v>915</v>
      </c>
      <c r="F40" s="7" t="s">
        <v>916</v>
      </c>
      <c r="G40" s="7" t="s">
        <v>917</v>
      </c>
      <c r="H40" s="7" t="s">
        <v>918</v>
      </c>
      <c r="I40" s="7" t="s">
        <v>919</v>
      </c>
      <c r="J40" s="7" t="s">
        <v>920</v>
      </c>
      <c r="K40" s="7" t="s">
        <v>921</v>
      </c>
      <c r="L40" s="7" t="s">
        <v>922</v>
      </c>
    </row>
    <row r="41">
      <c r="A41" s="370" t="s">
        <v>148</v>
      </c>
      <c r="G41" s="370" t="s">
        <v>148</v>
      </c>
      <c r="H41" s="363" t="s">
        <v>143</v>
      </c>
    </row>
    <row r="42">
      <c r="A42" s="7" t="s">
        <v>923</v>
      </c>
      <c r="B42" s="7" t="s">
        <v>924</v>
      </c>
      <c r="C42" s="7" t="s">
        <v>925</v>
      </c>
      <c r="D42" s="7" t="s">
        <v>926</v>
      </c>
      <c r="E42" s="7" t="s">
        <v>927</v>
      </c>
      <c r="F42" s="7" t="s">
        <v>928</v>
      </c>
      <c r="G42" s="7" t="s">
        <v>929</v>
      </c>
      <c r="H42" s="7" t="s">
        <v>930</v>
      </c>
      <c r="I42" s="7" t="s">
        <v>931</v>
      </c>
      <c r="J42" s="7" t="s">
        <v>932</v>
      </c>
      <c r="K42" s="7" t="s">
        <v>933</v>
      </c>
      <c r="L42" s="7" t="s">
        <v>934</v>
      </c>
    </row>
    <row r="43">
      <c r="A43" s="7" t="s">
        <v>935</v>
      </c>
      <c r="B43" s="7" t="s">
        <v>936</v>
      </c>
      <c r="C43" s="7" t="s">
        <v>937</v>
      </c>
      <c r="D43" s="7" t="s">
        <v>938</v>
      </c>
      <c r="E43" s="7" t="s">
        <v>939</v>
      </c>
      <c r="F43" s="7" t="s">
        <v>940</v>
      </c>
      <c r="G43" s="7" t="s">
        <v>941</v>
      </c>
      <c r="H43" s="7" t="s">
        <v>942</v>
      </c>
      <c r="I43" s="7" t="s">
        <v>943</v>
      </c>
      <c r="J43" s="7" t="s">
        <v>944</v>
      </c>
      <c r="K43" s="7" t="s">
        <v>945</v>
      </c>
      <c r="L43" s="7" t="s">
        <v>946</v>
      </c>
    </row>
    <row r="44">
      <c r="A44" s="371" t="s">
        <v>947</v>
      </c>
      <c r="B44" s="372" t="s">
        <v>750</v>
      </c>
      <c r="C44" s="363" t="s">
        <v>143</v>
      </c>
      <c r="G44" s="373" t="s">
        <v>948</v>
      </c>
      <c r="H44" s="374" t="s">
        <v>744</v>
      </c>
      <c r="I44" s="363" t="s">
        <v>143</v>
      </c>
      <c r="J44" s="361" t="s">
        <v>138</v>
      </c>
    </row>
    <row r="45">
      <c r="A45" s="7" t="s">
        <v>949</v>
      </c>
      <c r="B45" s="7" t="s">
        <v>950</v>
      </c>
      <c r="C45" s="54" t="s">
        <v>951</v>
      </c>
      <c r="E45" s="7" t="s">
        <v>952</v>
      </c>
      <c r="F45" s="7" t="s">
        <v>953</v>
      </c>
      <c r="G45" s="369" t="s">
        <v>954</v>
      </c>
      <c r="H45" s="7" t="s">
        <v>955</v>
      </c>
      <c r="I45" s="375" t="s">
        <v>956</v>
      </c>
      <c r="J45" s="7" t="s">
        <v>957</v>
      </c>
      <c r="K45" s="369" t="s">
        <v>958</v>
      </c>
      <c r="L45" s="7" t="s">
        <v>959</v>
      </c>
    </row>
    <row r="46">
      <c r="C46" s="7" t="s">
        <v>960</v>
      </c>
      <c r="E46" s="7" t="s">
        <v>961</v>
      </c>
      <c r="F46" s="54" t="s">
        <v>962</v>
      </c>
      <c r="G46" s="369" t="s">
        <v>963</v>
      </c>
      <c r="H46" s="369" t="s">
        <v>964</v>
      </c>
      <c r="I46" s="7" t="s">
        <v>965</v>
      </c>
      <c r="J46" s="369" t="s">
        <v>966</v>
      </c>
      <c r="K46" s="369" t="s">
        <v>967</v>
      </c>
      <c r="L46" s="7" t="s">
        <v>968</v>
      </c>
    </row>
    <row r="47">
      <c r="A47" s="376" t="s">
        <v>969</v>
      </c>
      <c r="B47" s="7" t="s">
        <v>16</v>
      </c>
      <c r="C47" s="361" t="s">
        <v>138</v>
      </c>
      <c r="D47" s="362" t="s">
        <v>123</v>
      </c>
      <c r="G47" s="377" t="s">
        <v>970</v>
      </c>
      <c r="H47" s="7" t="s">
        <v>738</v>
      </c>
      <c r="I47" s="368" t="s">
        <v>765</v>
      </c>
      <c r="J47" s="365" t="s">
        <v>134</v>
      </c>
    </row>
    <row r="48">
      <c r="A48" s="7"/>
      <c r="B48" s="7"/>
      <c r="C48" s="7"/>
      <c r="D48" s="7"/>
      <c r="E48" s="7" t="s">
        <v>971</v>
      </c>
      <c r="F48" s="7"/>
      <c r="G48" s="7" t="s">
        <v>972</v>
      </c>
      <c r="H48" s="7" t="s">
        <v>973</v>
      </c>
      <c r="I48" s="7" t="s">
        <v>974</v>
      </c>
    </row>
    <row r="49">
      <c r="A49" s="7" t="s">
        <v>975</v>
      </c>
      <c r="B49" s="7"/>
      <c r="C49" s="7" t="s">
        <v>976</v>
      </c>
      <c r="D49" s="7" t="s">
        <v>977</v>
      </c>
      <c r="E49" s="7"/>
      <c r="F49" s="7"/>
      <c r="J49" s="7" t="s">
        <v>978</v>
      </c>
      <c r="K49" s="7" t="s">
        <v>979</v>
      </c>
    </row>
    <row r="50">
      <c r="A50" s="7" t="s">
        <v>980</v>
      </c>
      <c r="B50" s="361" t="s">
        <v>138</v>
      </c>
      <c r="G50" s="368" t="s">
        <v>765</v>
      </c>
      <c r="H50" s="363" t="s">
        <v>143</v>
      </c>
      <c r="I50" s="378" t="s">
        <v>981</v>
      </c>
    </row>
    <row r="51">
      <c r="A51" s="7" t="s">
        <v>982</v>
      </c>
      <c r="B51" s="7" t="s">
        <v>983</v>
      </c>
      <c r="C51" s="7" t="s">
        <v>984</v>
      </c>
      <c r="D51" s="7" t="s">
        <v>985</v>
      </c>
      <c r="E51" s="379" t="s">
        <v>986</v>
      </c>
      <c r="F51" s="7" t="s">
        <v>987</v>
      </c>
      <c r="G51" s="7" t="s">
        <v>988</v>
      </c>
      <c r="H51" s="7" t="s">
        <v>989</v>
      </c>
      <c r="I51" s="7" t="s">
        <v>990</v>
      </c>
      <c r="J51" s="7" t="s">
        <v>991</v>
      </c>
      <c r="K51" s="7" t="s">
        <v>992</v>
      </c>
      <c r="L51" s="7" t="s">
        <v>993</v>
      </c>
    </row>
    <row r="52">
      <c r="A52" s="7" t="s">
        <v>994</v>
      </c>
      <c r="B52" s="7" t="s">
        <v>995</v>
      </c>
      <c r="C52" s="7" t="s">
        <v>996</v>
      </c>
      <c r="D52" s="7" t="s">
        <v>997</v>
      </c>
      <c r="E52" s="7" t="s">
        <v>998</v>
      </c>
      <c r="G52" s="7" t="s">
        <v>999</v>
      </c>
      <c r="H52" s="7" t="s">
        <v>1000</v>
      </c>
      <c r="I52" s="7" t="s">
        <v>1001</v>
      </c>
      <c r="J52" s="7" t="s">
        <v>1002</v>
      </c>
      <c r="K52" s="7" t="s">
        <v>1003</v>
      </c>
      <c r="L52" s="7" t="s">
        <v>1004</v>
      </c>
    </row>
    <row r="53">
      <c r="A53" s="370" t="s">
        <v>148</v>
      </c>
      <c r="B53" s="366" t="s">
        <v>752</v>
      </c>
      <c r="C53" s="363" t="s">
        <v>143</v>
      </c>
      <c r="D53" s="380" t="s">
        <v>1005</v>
      </c>
      <c r="G53" s="370" t="s">
        <v>148</v>
      </c>
      <c r="H53" s="366" t="s">
        <v>752</v>
      </c>
      <c r="I53" s="365" t="s">
        <v>134</v>
      </c>
    </row>
    <row r="54">
      <c r="A54" s="7" t="s">
        <v>1006</v>
      </c>
      <c r="B54" s="369" t="s">
        <v>1007</v>
      </c>
      <c r="C54" s="7" t="s">
        <v>1008</v>
      </c>
      <c r="D54" s="7" t="s">
        <v>1009</v>
      </c>
      <c r="E54" s="369" t="s">
        <v>1010</v>
      </c>
      <c r="F54" s="369" t="s">
        <v>1011</v>
      </c>
      <c r="G54" s="7" t="s">
        <v>1012</v>
      </c>
      <c r="H54" s="7" t="s">
        <v>1013</v>
      </c>
      <c r="I54" s="369" t="s">
        <v>1014</v>
      </c>
      <c r="J54" s="7" t="s">
        <v>1015</v>
      </c>
      <c r="K54" s="7" t="s">
        <v>1016</v>
      </c>
      <c r="L54" s="369" t="s">
        <v>1017</v>
      </c>
    </row>
    <row r="55">
      <c r="A55" s="369" t="s">
        <v>114</v>
      </c>
      <c r="B55" s="7" t="s">
        <v>1018</v>
      </c>
      <c r="C55" s="369" t="s">
        <v>1019</v>
      </c>
      <c r="D55" s="7" t="s">
        <v>1020</v>
      </c>
      <c r="E55" s="369" t="s">
        <v>1021</v>
      </c>
      <c r="F55" s="369" t="s">
        <v>1022</v>
      </c>
      <c r="G55" s="369" t="s">
        <v>1023</v>
      </c>
      <c r="H55" s="369" t="s">
        <v>1024</v>
      </c>
      <c r="I55" s="369" t="s">
        <v>1025</v>
      </c>
      <c r="J55" s="7" t="s">
        <v>1026</v>
      </c>
      <c r="K55" s="369" t="s">
        <v>1027</v>
      </c>
      <c r="L55" s="369" t="s">
        <v>1028</v>
      </c>
    </row>
    <row r="56">
      <c r="A56" s="362" t="s">
        <v>123</v>
      </c>
      <c r="B56" s="370" t="s">
        <v>148</v>
      </c>
      <c r="C56" s="366" t="s">
        <v>752</v>
      </c>
      <c r="G56" s="370" t="s">
        <v>148</v>
      </c>
      <c r="H56" s="365" t="s">
        <v>134</v>
      </c>
      <c r="I56" s="363" t="s">
        <v>143</v>
      </c>
      <c r="J56" s="381" t="str">
        <f>"+ 1 Charge Bleed Sinking"</f>
        <v>+ 1 Charge Bleed Sinking</v>
      </c>
    </row>
    <row r="57">
      <c r="A57" s="369" t="s">
        <v>1029</v>
      </c>
      <c r="B57" s="7" t="s">
        <v>1030</v>
      </c>
      <c r="C57" s="369" t="s">
        <v>1031</v>
      </c>
      <c r="D57" s="369" t="s">
        <v>1032</v>
      </c>
      <c r="E57" s="369" t="s">
        <v>1033</v>
      </c>
      <c r="F57" s="7" t="s">
        <v>1034</v>
      </c>
      <c r="G57" s="7" t="s">
        <v>1035</v>
      </c>
      <c r="H57" s="7" t="s">
        <v>1036</v>
      </c>
      <c r="I57" s="7" t="s">
        <v>1037</v>
      </c>
      <c r="J57" s="7" t="s">
        <v>1038</v>
      </c>
      <c r="K57" s="7" t="s">
        <v>1039</v>
      </c>
      <c r="L57" s="7" t="s">
        <v>1040</v>
      </c>
    </row>
    <row r="58">
      <c r="A58" s="369" t="s">
        <v>1041</v>
      </c>
      <c r="B58" s="369" t="s">
        <v>1018</v>
      </c>
      <c r="C58" s="369" t="s">
        <v>60</v>
      </c>
      <c r="D58" s="7" t="s">
        <v>1042</v>
      </c>
      <c r="E58" s="7" t="s">
        <v>1043</v>
      </c>
      <c r="F58" s="369" t="s">
        <v>1044</v>
      </c>
      <c r="G58" s="7" t="s">
        <v>1045</v>
      </c>
      <c r="H58" s="7" t="s">
        <v>1046</v>
      </c>
      <c r="I58" s="7" t="s">
        <v>1047</v>
      </c>
      <c r="J58" s="7" t="s">
        <v>1048</v>
      </c>
      <c r="K58" s="7" t="s">
        <v>1049</v>
      </c>
      <c r="L58" s="7" t="s">
        <v>1050</v>
      </c>
    </row>
    <row r="59">
      <c r="A59" s="362" t="s">
        <v>123</v>
      </c>
      <c r="B59" s="368" t="s">
        <v>765</v>
      </c>
      <c r="C59" s="366" t="s">
        <v>752</v>
      </c>
      <c r="D59" s="381" t="str">
        <f>"+ 1 Poise Tremor"</f>
        <v>+ 1 Poise Tremor</v>
      </c>
      <c r="G59" s="361" t="s">
        <v>138</v>
      </c>
      <c r="H59" s="363" t="s">
        <v>143</v>
      </c>
      <c r="I59" s="368" t="s">
        <v>765</v>
      </c>
    </row>
    <row r="60">
      <c r="A60" s="7" t="s">
        <v>1051</v>
      </c>
      <c r="B60" s="8"/>
      <c r="C60" s="8"/>
      <c r="D60" s="7" t="s">
        <v>1052</v>
      </c>
      <c r="E60" s="8"/>
      <c r="F60" s="7" t="s">
        <v>1053</v>
      </c>
      <c r="G60" s="7" t="s">
        <v>1054</v>
      </c>
      <c r="H60" s="7" t="s">
        <v>1055</v>
      </c>
      <c r="I60" s="7" t="s">
        <v>1056</v>
      </c>
      <c r="J60" s="7" t="s">
        <v>1057</v>
      </c>
      <c r="K60" s="7" t="s">
        <v>1058</v>
      </c>
      <c r="L60" s="7" t="s">
        <v>1059</v>
      </c>
    </row>
    <row r="61">
      <c r="A61" s="8"/>
      <c r="B61" s="7" t="s">
        <v>1060</v>
      </c>
      <c r="C61" s="7" t="s">
        <v>1061</v>
      </c>
      <c r="D61" s="8"/>
      <c r="E61" s="8"/>
      <c r="F61" s="7" t="s">
        <v>1062</v>
      </c>
      <c r="G61" s="7" t="s">
        <v>1063</v>
      </c>
      <c r="H61" s="7" t="s">
        <v>1064</v>
      </c>
      <c r="I61" s="8"/>
      <c r="J61" s="7" t="s">
        <v>1065</v>
      </c>
      <c r="K61" s="7" t="s">
        <v>1066</v>
      </c>
      <c r="L61" s="8"/>
    </row>
  </sheetData>
  <conditionalFormatting sqref="A2:A13 F2:F13 L2:L13">
    <cfRule type="containsText" dxfId="18" priority="1" operator="containsText" text="Yi Sang">
      <formula>NOT(ISERROR(SEARCH(("Yi Sang"),(A2))))</formula>
    </cfRule>
  </conditionalFormatting>
  <conditionalFormatting sqref="A2:A13 F2:F13 L2:L13">
    <cfRule type="containsText" dxfId="19" priority="2" operator="containsText" text="Faust">
      <formula>NOT(ISERROR(SEARCH(("Faust"),(A2))))</formula>
    </cfRule>
  </conditionalFormatting>
  <conditionalFormatting sqref="A2:A13 F2:F13 L2:L13">
    <cfRule type="containsText" dxfId="6" priority="3" operator="containsText" text="Don Quixote">
      <formula>NOT(ISERROR(SEARCH(("Don Quixote"),(A2))))</formula>
    </cfRule>
  </conditionalFormatting>
  <conditionalFormatting sqref="A2:A13 F2:F13 L2:L13">
    <cfRule type="containsText" dxfId="20" priority="4" operator="containsText" text="Ryoshu">
      <formula>NOT(ISERROR(SEARCH(("Ryoshu"),(A2))))</formula>
    </cfRule>
  </conditionalFormatting>
  <conditionalFormatting sqref="A2:A13 F2:F13 L2:L13">
    <cfRule type="containsText" dxfId="21" priority="5" operator="containsText" text="Meursault">
      <formula>NOT(ISERROR(SEARCH(("Meursault"),(A2))))</formula>
    </cfRule>
  </conditionalFormatting>
  <conditionalFormatting sqref="A2:A13 F2:F13 L2:L13">
    <cfRule type="containsText" dxfId="22" priority="6" operator="containsText" text="Hong Lu">
      <formula>NOT(ISERROR(SEARCH(("Hong Lu"),(A2))))</formula>
    </cfRule>
  </conditionalFormatting>
  <conditionalFormatting sqref="A2:A13 F2:F13 L2:L13">
    <cfRule type="containsText" dxfId="23" priority="7" operator="containsText" text="Heathcliff">
      <formula>NOT(ISERROR(SEARCH(("Heathcliff"),(A2))))</formula>
    </cfRule>
  </conditionalFormatting>
  <conditionalFormatting sqref="A2:A13 F2:F13 L2:L13">
    <cfRule type="containsText" dxfId="24" priority="8" operator="containsText" text="Ishmael">
      <formula>NOT(ISERROR(SEARCH(("Ishmael"),(A2))))</formula>
    </cfRule>
  </conditionalFormatting>
  <conditionalFormatting sqref="A2:A13 F2:F13 L2:L13">
    <cfRule type="containsText" dxfId="25" priority="9" operator="containsText" text="Rodion">
      <formula>NOT(ISERROR(SEARCH(("Rodion"),(A2))))</formula>
    </cfRule>
  </conditionalFormatting>
  <conditionalFormatting sqref="A2:A13 F2:F13 L2:L13">
    <cfRule type="containsText" dxfId="26" priority="10" operator="containsText" text="Sinclair">
      <formula>NOT(ISERROR(SEARCH(("Sinclair"),(A2))))</formula>
    </cfRule>
  </conditionalFormatting>
  <conditionalFormatting sqref="A2:A13 F2:F13 L2:L13">
    <cfRule type="containsText" dxfId="27" priority="11" operator="containsText" text="Outis">
      <formula>NOT(ISERROR(SEARCH(("Outis"),(A2))))</formula>
    </cfRule>
  </conditionalFormatting>
  <conditionalFormatting sqref="A2:A13 F2:F13 L2:L13">
    <cfRule type="containsText" dxfId="28" priority="12" operator="containsText" text="Gregor">
      <formula>NOT(ISERROR(SEARCH(("Gregor"),(A2))))</formula>
    </cfRule>
  </conditionalFormatting>
  <conditionalFormatting sqref="A23:L61">
    <cfRule type="containsText" dxfId="18" priority="13" operator="containsText" text=" YS">
      <formula>NOT(ISERROR(SEARCH((" YS"),(A23))))</formula>
    </cfRule>
  </conditionalFormatting>
  <conditionalFormatting sqref="A23:L61">
    <cfRule type="containsText" dxfId="19" priority="14" operator="containsText" text=" FT">
      <formula>NOT(ISERROR(SEARCH((" FT"),(A23))))</formula>
    </cfRule>
  </conditionalFormatting>
  <conditionalFormatting sqref="A23:L61">
    <cfRule type="containsText" dxfId="6" priority="15" operator="containsText" text=" DQ">
      <formula>NOT(ISERROR(SEARCH((" DQ"),(A23))))</formula>
    </cfRule>
  </conditionalFormatting>
  <conditionalFormatting sqref="A23:L61">
    <cfRule type="containsText" dxfId="20" priority="16" operator="containsText" text=" RS">
      <formula>NOT(ISERROR(SEARCH((" RS"),(A23))))</formula>
    </cfRule>
  </conditionalFormatting>
  <conditionalFormatting sqref="A23:L61">
    <cfRule type="containsText" dxfId="21" priority="17" operator="containsText" text=" MS">
      <formula>NOT(ISERROR(SEARCH((" MS"),(A23))))</formula>
    </cfRule>
  </conditionalFormatting>
  <conditionalFormatting sqref="A23:L61">
    <cfRule type="containsText" dxfId="22" priority="18" operator="containsText" text=" HL">
      <formula>NOT(ISERROR(SEARCH((" HL"),(A23))))</formula>
    </cfRule>
  </conditionalFormatting>
  <conditionalFormatting sqref="A23:L61">
    <cfRule type="containsText" dxfId="23" priority="19" operator="containsText" text=" HC">
      <formula>NOT(ISERROR(SEARCH((" HC"),(A23))))</formula>
    </cfRule>
  </conditionalFormatting>
  <conditionalFormatting sqref="A23:L61">
    <cfRule type="containsText" dxfId="24" priority="20" operator="containsText" text=" IS">
      <formula>NOT(ISERROR(SEARCH((" IS"),(A23))))</formula>
    </cfRule>
  </conditionalFormatting>
  <conditionalFormatting sqref="A23:L61">
    <cfRule type="containsText" dxfId="25" priority="21" operator="containsText" text=" RD">
      <formula>NOT(ISERROR(SEARCH((" RD"),(A23))))</formula>
    </cfRule>
  </conditionalFormatting>
  <conditionalFormatting sqref="A23:L61">
    <cfRule type="containsText" dxfId="26" priority="22" operator="containsText" text=" SC">
      <formula>NOT(ISERROR(SEARCH((" SC"),(A23))))</formula>
    </cfRule>
  </conditionalFormatting>
  <conditionalFormatting sqref="A23:L61">
    <cfRule type="containsText" dxfId="27" priority="23" operator="containsText" text=" OT">
      <formula>NOT(ISERROR(SEARCH((" OT"),(A23))))</formula>
    </cfRule>
  </conditionalFormatting>
  <conditionalFormatting sqref="A23:L61">
    <cfRule type="containsText" dxfId="28" priority="24" operator="containsText" text=" GG">
      <formula>NOT(ISERROR(SEARCH((" GG"),(A23))))</formula>
    </cfRule>
  </conditionalFormatting>
  <conditionalFormatting sqref="B2:D13 G2:K13 A15:A19 F15:F19 B44 H44 B47 H47">
    <cfRule type="containsText" dxfId="13" priority="25" operator="containsText" text="Thumb">
      <formula>NOT(ISERROR(SEARCH(("Thumb"),(B2))))</formula>
    </cfRule>
  </conditionalFormatting>
  <conditionalFormatting sqref="B2:D13 G2:K13 A15:A19 F15:F19 B44 H44 B47 H47">
    <cfRule type="containsText" dxfId="14" priority="26" operator="containsText" text="Index">
      <formula>NOT(ISERROR(SEARCH(("Index"),(B2))))</formula>
    </cfRule>
  </conditionalFormatting>
  <conditionalFormatting sqref="B2:D13 G2:K13 A15:A19 F15:F19 B44 H44 B47 H47">
    <cfRule type="containsText" dxfId="15" priority="27" operator="containsText" text="Middle">
      <formula>NOT(ISERROR(SEARCH(("Middle"),(B2))))</formula>
    </cfRule>
  </conditionalFormatting>
  <conditionalFormatting sqref="B2:D13 G2:K13 A15:A19 F15:F19 B44 H44 B47 H47">
    <cfRule type="containsText" dxfId="16" priority="28" operator="containsText" text="Ring">
      <formula>NOT(ISERROR(SEARCH(("Ring"),(B2))))</formula>
    </cfRule>
  </conditionalFormatting>
  <conditionalFormatting sqref="B2:D13 G2:K13 A15:A19 F15:F19 B44 H44 B47 H47">
    <cfRule type="containsText" dxfId="17" priority="29" operator="containsText" text="Pinky">
      <formula>NOT(ISERROR(SEARCH(("Pinky"),(B2))))</formula>
    </cfRule>
  </conditionalFormatting>
  <conditionalFormatting sqref="B2:D13 G2:K13 A15:A19 F15:F19 B44 H44 B47 H47">
    <cfRule type="containsText" dxfId="41" priority="30" operator="containsText" text=" Walp">
      <formula>NOT(ISERROR(SEARCH((" Walp"),(B2))))</formula>
    </cfRule>
  </conditionalFormatting>
  <conditionalFormatting sqref="B2:D13 G2:K13 A15:A19 F15:F19 B44 H44 B47 H47">
    <cfRule type="containsText" dxfId="42" priority="31" operator="containsText" text=" Intv">
      <formula>NOT(ISERROR(SEARCH((" Intv"),(B2))))</formula>
    </cfRule>
  </conditionalFormatting>
  <conditionalFormatting sqref="B2:D13 G2:K13 A15:A19 F15:F19 B44 H44 B47 H47">
    <cfRule type="containsText" dxfId="43" priority="32" operator="containsText" text=" Bkgk">
      <formula>NOT(ISERROR(SEARCH((" Bkgk"),(B2))))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CFF2"/>
    <outlinePr summaryBelow="0" summaryRight="0"/>
  </sheetPr>
  <sheetViews>
    <sheetView workbookViewId="0"/>
  </sheetViews>
  <sheetFormatPr customHeight="1" defaultColWidth="12.63" defaultRowHeight="15.75"/>
  <cols>
    <col customWidth="1" min="1" max="14" width="11.5"/>
  </cols>
  <sheetData>
    <row r="1">
      <c r="A1" s="51" t="s">
        <v>152</v>
      </c>
      <c r="B1" s="51" t="s">
        <v>1067</v>
      </c>
      <c r="C1" s="51" t="s">
        <v>1068</v>
      </c>
      <c r="D1" s="46" t="s">
        <v>13</v>
      </c>
      <c r="F1" s="51" t="s">
        <v>654</v>
      </c>
      <c r="G1" s="51" t="s">
        <v>1069</v>
      </c>
      <c r="H1" s="51" t="s">
        <v>1070</v>
      </c>
      <c r="I1" s="51" t="s">
        <v>1071</v>
      </c>
      <c r="J1" s="46" t="s">
        <v>13</v>
      </c>
      <c r="K1" s="46" t="s">
        <v>658</v>
      </c>
      <c r="L1" s="51" t="s">
        <v>659</v>
      </c>
      <c r="M1" s="51" t="s">
        <v>1072</v>
      </c>
      <c r="N1" s="51" t="s">
        <v>1073</v>
      </c>
      <c r="O1" s="51" t="s">
        <v>1074</v>
      </c>
      <c r="P1" s="46" t="s">
        <v>13</v>
      </c>
      <c r="Q1" s="46" t="s">
        <v>658</v>
      </c>
    </row>
    <row r="2">
      <c r="A2" s="61" t="s">
        <v>12</v>
      </c>
      <c r="B2" s="61"/>
      <c r="C2" s="61" t="s">
        <v>663</v>
      </c>
      <c r="D2" s="61" t="s">
        <v>664</v>
      </c>
      <c r="F2" s="61" t="s">
        <v>12</v>
      </c>
      <c r="G2" s="61" t="s">
        <v>1075</v>
      </c>
      <c r="I2" s="62"/>
      <c r="J2" s="61" t="s">
        <v>664</v>
      </c>
      <c r="K2" s="208"/>
      <c r="L2" s="61" t="s">
        <v>12</v>
      </c>
      <c r="M2" s="340" t="s">
        <v>1076</v>
      </c>
      <c r="O2" s="62"/>
      <c r="P2" s="47"/>
      <c r="Q2" s="339"/>
    </row>
    <row r="3">
      <c r="A3" s="61" t="s">
        <v>153</v>
      </c>
      <c r="B3" s="61" t="s">
        <v>664</v>
      </c>
      <c r="C3" s="61" t="s">
        <v>670</v>
      </c>
      <c r="D3" s="61"/>
      <c r="F3" s="61" t="s">
        <v>153</v>
      </c>
      <c r="G3" s="61" t="s">
        <v>664</v>
      </c>
      <c r="H3" s="61" t="s">
        <v>1077</v>
      </c>
      <c r="I3" s="62"/>
      <c r="J3" s="61"/>
      <c r="K3" s="280"/>
      <c r="L3" s="61" t="s">
        <v>153</v>
      </c>
      <c r="M3" s="61"/>
      <c r="N3" s="344" t="s">
        <v>143</v>
      </c>
      <c r="O3" s="62"/>
      <c r="P3" s="130"/>
      <c r="Q3" s="130"/>
    </row>
    <row r="4">
      <c r="A4" s="61" t="s">
        <v>154</v>
      </c>
      <c r="B4" s="61"/>
      <c r="C4" s="61"/>
      <c r="D4" s="208"/>
      <c r="F4" s="61" t="s">
        <v>154</v>
      </c>
      <c r="G4" s="61"/>
      <c r="H4" s="61"/>
      <c r="I4" s="62"/>
      <c r="J4" s="208"/>
      <c r="K4" s="62"/>
      <c r="L4" s="61" t="s">
        <v>154</v>
      </c>
      <c r="M4" s="61"/>
      <c r="N4" s="62"/>
      <c r="O4" s="62"/>
      <c r="P4" s="62"/>
      <c r="Q4" s="62"/>
    </row>
    <row r="5">
      <c r="A5" s="61" t="s">
        <v>155</v>
      </c>
      <c r="B5" s="61"/>
      <c r="C5" s="62"/>
      <c r="D5" s="208"/>
      <c r="F5" s="61" t="s">
        <v>155</v>
      </c>
      <c r="G5" s="61"/>
      <c r="H5" s="62"/>
      <c r="I5" s="341"/>
      <c r="J5" s="208"/>
      <c r="K5" s="208"/>
      <c r="L5" s="61" t="s">
        <v>155</v>
      </c>
      <c r="M5" s="129"/>
      <c r="N5" s="342"/>
      <c r="O5" s="172"/>
      <c r="P5" s="208"/>
      <c r="Q5" s="208"/>
    </row>
    <row r="6">
      <c r="A6" s="61" t="s">
        <v>156</v>
      </c>
      <c r="B6" s="61" t="s">
        <v>684</v>
      </c>
      <c r="C6" s="61" t="s">
        <v>685</v>
      </c>
      <c r="D6" s="208" t="s">
        <v>666</v>
      </c>
      <c r="F6" s="61" t="s">
        <v>156</v>
      </c>
      <c r="G6" s="61" t="s">
        <v>1078</v>
      </c>
      <c r="H6" s="61" t="s">
        <v>685</v>
      </c>
      <c r="I6" s="343"/>
      <c r="J6" s="208" t="s">
        <v>666</v>
      </c>
      <c r="K6" s="280"/>
      <c r="L6" s="61" t="s">
        <v>156</v>
      </c>
      <c r="M6" s="342" t="s">
        <v>1079</v>
      </c>
      <c r="N6" s="339"/>
      <c r="O6" s="345"/>
      <c r="P6" s="345"/>
      <c r="Q6" s="345"/>
    </row>
    <row r="7">
      <c r="A7" s="61" t="s">
        <v>157</v>
      </c>
      <c r="B7" s="61"/>
      <c r="C7" s="61" t="s">
        <v>692</v>
      </c>
      <c r="D7" s="62"/>
      <c r="F7" s="61" t="s">
        <v>157</v>
      </c>
      <c r="G7" s="61" t="s">
        <v>1080</v>
      </c>
      <c r="H7" s="382"/>
      <c r="J7" s="62"/>
      <c r="K7" s="188"/>
      <c r="L7" s="61" t="s">
        <v>157</v>
      </c>
      <c r="M7" s="129" t="s">
        <v>123</v>
      </c>
      <c r="O7" s="62"/>
      <c r="P7" s="62"/>
      <c r="Q7" s="62"/>
    </row>
    <row r="8">
      <c r="A8" s="61" t="s">
        <v>158</v>
      </c>
      <c r="B8" s="61"/>
      <c r="C8" s="7" t="s">
        <v>697</v>
      </c>
      <c r="D8" s="208" t="s">
        <v>698</v>
      </c>
      <c r="F8" s="61" t="s">
        <v>158</v>
      </c>
      <c r="G8" s="75" t="s">
        <v>1081</v>
      </c>
      <c r="H8" s="382"/>
      <c r="J8" s="208" t="s">
        <v>698</v>
      </c>
      <c r="K8" s="208"/>
      <c r="L8" s="61" t="s">
        <v>158</v>
      </c>
      <c r="M8" s="129" t="s">
        <v>1082</v>
      </c>
      <c r="N8" s="382"/>
      <c r="P8" s="61"/>
      <c r="Q8" s="61"/>
    </row>
    <row r="9">
      <c r="A9" s="61" t="s">
        <v>122</v>
      </c>
      <c r="B9" s="61"/>
      <c r="C9" s="61" t="s">
        <v>705</v>
      </c>
      <c r="D9" s="208" t="s">
        <v>666</v>
      </c>
      <c r="F9" s="61" t="s">
        <v>122</v>
      </c>
      <c r="G9" s="61" t="s">
        <v>1083</v>
      </c>
      <c r="H9" s="382"/>
      <c r="I9" s="62"/>
      <c r="J9" s="208" t="s">
        <v>666</v>
      </c>
      <c r="K9" s="62"/>
      <c r="L9" s="61" t="s">
        <v>122</v>
      </c>
      <c r="M9" s="346" t="s">
        <v>1084</v>
      </c>
      <c r="O9" s="62"/>
      <c r="P9" s="62"/>
      <c r="Q9" s="62"/>
    </row>
    <row r="10">
      <c r="A10" s="61" t="s">
        <v>159</v>
      </c>
      <c r="B10" s="61"/>
      <c r="C10" s="61" t="s">
        <v>710</v>
      </c>
      <c r="D10" s="62"/>
      <c r="F10" s="61" t="s">
        <v>159</v>
      </c>
      <c r="G10" s="61" t="s">
        <v>1085</v>
      </c>
      <c r="H10" s="382"/>
      <c r="J10" s="62"/>
      <c r="K10" s="208"/>
      <c r="L10" s="61" t="s">
        <v>159</v>
      </c>
      <c r="M10" s="130" t="s">
        <v>138</v>
      </c>
      <c r="O10" s="172"/>
      <c r="P10" s="344"/>
      <c r="Q10" s="344"/>
    </row>
    <row r="11">
      <c r="A11" s="61" t="s">
        <v>160</v>
      </c>
      <c r="B11" s="61"/>
      <c r="C11" s="61" t="s">
        <v>717</v>
      </c>
      <c r="D11" s="62"/>
      <c r="F11" s="61" t="s">
        <v>160</v>
      </c>
      <c r="G11" s="61" t="s">
        <v>1086</v>
      </c>
      <c r="H11" s="382"/>
      <c r="I11" s="62"/>
      <c r="J11" s="62"/>
      <c r="K11" s="61"/>
      <c r="L11" s="61" t="s">
        <v>160</v>
      </c>
      <c r="M11" s="352" t="s">
        <v>752</v>
      </c>
      <c r="O11" s="62"/>
      <c r="P11" s="344"/>
      <c r="Q11" s="344"/>
    </row>
    <row r="12">
      <c r="A12" s="61" t="s">
        <v>161</v>
      </c>
      <c r="B12" s="61" t="s">
        <v>664</v>
      </c>
      <c r="C12" s="61"/>
      <c r="D12" s="208"/>
      <c r="F12" s="61" t="s">
        <v>161</v>
      </c>
      <c r="G12" s="61" t="s">
        <v>664</v>
      </c>
      <c r="H12" s="61"/>
      <c r="I12" s="188"/>
      <c r="J12" s="208"/>
      <c r="K12" s="208"/>
      <c r="L12" s="61" t="s">
        <v>161</v>
      </c>
      <c r="M12" s="61"/>
      <c r="N12" s="61"/>
      <c r="O12" s="188"/>
      <c r="P12" s="344"/>
      <c r="Q12" s="344"/>
    </row>
    <row r="13">
      <c r="A13" s="50" t="s">
        <v>162</v>
      </c>
      <c r="B13" s="50"/>
      <c r="C13" s="50"/>
      <c r="D13" s="248" t="s">
        <v>728</v>
      </c>
      <c r="F13" s="50" t="s">
        <v>162</v>
      </c>
      <c r="G13" s="50"/>
      <c r="H13" s="50"/>
      <c r="I13" s="50"/>
      <c r="J13" s="248" t="s">
        <v>728</v>
      </c>
      <c r="K13" s="74"/>
      <c r="L13" s="50" t="s">
        <v>162</v>
      </c>
      <c r="M13" s="50"/>
      <c r="N13" s="348"/>
      <c r="O13" s="348"/>
      <c r="P13" s="74"/>
      <c r="Q13" s="74"/>
    </row>
    <row r="15">
      <c r="A15" s="47" t="s">
        <v>16</v>
      </c>
      <c r="B15" s="47">
        <f>COUNTIF(B2:C13, "*Thumb*")</f>
        <v>0</v>
      </c>
      <c r="F15" s="383" t="s">
        <v>1087</v>
      </c>
      <c r="G15" s="69">
        <f>COUNTIF(G2:I13, "* EG*")</f>
        <v>7</v>
      </c>
      <c r="H15" s="350" t="s">
        <v>1088</v>
      </c>
      <c r="I15" s="69">
        <f>IFERROR(__xludf.DUMMYFUNCTION("COUNTA(G2:I13) - ARRAYFORMULA(SUM(N(REGEXMATCH(G2:I13, ""Thumb|Index|Middle|Ring|Pinky""))))"),11.0)</f>
        <v>11</v>
      </c>
      <c r="L15" s="198" t="s">
        <v>138</v>
      </c>
      <c r="M15" s="351" t="str">
        <f t="array" ref="M15:M21">MAP(L15:L21, LAMBDA(row, IF(row&lt;&gt;"", "ID: " &amp; COUNTIF(M2:O13, "*"&amp;row&amp;"*") &amp; ", EGO: " &amp; COUNTIF(P2:Q13, "*"&amp;row&amp;"*"), )))</f>
        <v>ID: 1, EGO: 0</v>
      </c>
      <c r="N15" s="342" t="s">
        <v>1089</v>
      </c>
      <c r="O15" s="340" t="s">
        <v>1090</v>
      </c>
      <c r="P15" s="352" t="s">
        <v>1091</v>
      </c>
      <c r="Q15" s="353"/>
    </row>
    <row r="16">
      <c r="A16" s="61" t="s">
        <v>738</v>
      </c>
      <c r="B16" s="61">
        <f>COUNTIF(B2:C13, "*Index*")</f>
        <v>0</v>
      </c>
      <c r="F16" s="383" t="s">
        <v>1087</v>
      </c>
      <c r="G16" s="62">
        <f>COUNTIF(G2:I13, "* EG*")</f>
        <v>7</v>
      </c>
      <c r="H16" s="354" t="s">
        <v>1092</v>
      </c>
      <c r="I16" s="62">
        <f>IFERROR(__xludf.DUMMYFUNCTION("COUNTA(J2:K13) - ARRAYFORMULA(SUM(N(REGEXMATCH(J2:K13, "" BP""))))"),1.0)</f>
        <v>1</v>
      </c>
      <c r="L16" s="344" t="s">
        <v>143</v>
      </c>
      <c r="M16" s="200" t="s">
        <v>1093</v>
      </c>
      <c r="N16" s="344" t="s">
        <v>1094</v>
      </c>
      <c r="O16" s="342" t="s">
        <v>1095</v>
      </c>
      <c r="P16" s="342" t="s">
        <v>1096</v>
      </c>
      <c r="Q16" s="355"/>
    </row>
    <row r="17">
      <c r="A17" s="61" t="s">
        <v>744</v>
      </c>
      <c r="B17" s="61">
        <f>COUNTIF(B2:C13, "*Middle*")</f>
        <v>0</v>
      </c>
      <c r="F17" s="356" t="s">
        <v>744</v>
      </c>
      <c r="G17" s="62">
        <f>COUNTIF(G2:I13, "*Middle*")</f>
        <v>0</v>
      </c>
      <c r="H17" s="384" t="s">
        <v>1097</v>
      </c>
      <c r="I17" s="62">
        <f>COUNTIF(G2:I13, "* NC*")</f>
        <v>7</v>
      </c>
      <c r="L17" s="129" t="s">
        <v>123</v>
      </c>
      <c r="M17" s="201" t="s">
        <v>1093</v>
      </c>
      <c r="N17" s="339" t="s">
        <v>1098</v>
      </c>
      <c r="O17" s="129" t="s">
        <v>1099</v>
      </c>
      <c r="P17" s="340" t="s">
        <v>1100</v>
      </c>
      <c r="Q17" s="357"/>
    </row>
    <row r="18">
      <c r="A18" s="61" t="s">
        <v>750</v>
      </c>
      <c r="B18" s="61">
        <f>COUNTIF(B2:C13, "*Ring*")</f>
        <v>0</v>
      </c>
      <c r="F18" s="344" t="s">
        <v>750</v>
      </c>
      <c r="G18" s="62">
        <f>COUNTIF(G2:I13, "*Ring*")</f>
        <v>0</v>
      </c>
      <c r="H18" s="61" t="s">
        <v>1101</v>
      </c>
      <c r="I18" s="62">
        <f>COUNTA(G2:I13)</f>
        <v>11</v>
      </c>
      <c r="L18" s="352" t="s">
        <v>752</v>
      </c>
      <c r="M18" s="202" t="s">
        <v>1102</v>
      </c>
      <c r="N18" s="129" t="s">
        <v>1103</v>
      </c>
      <c r="O18" s="129" t="s">
        <v>1104</v>
      </c>
      <c r="P18" s="339" t="s">
        <v>1105</v>
      </c>
      <c r="Q18" s="358"/>
    </row>
    <row r="19">
      <c r="A19" s="50" t="s">
        <v>757</v>
      </c>
      <c r="B19" s="50">
        <f>COUNTIF(B2:C13, "*Pinky*")</f>
        <v>0</v>
      </c>
      <c r="F19" s="359" t="s">
        <v>757</v>
      </c>
      <c r="G19" s="62">
        <f>COUNTIF(G2:I13, "*Pinky*")</f>
        <v>0</v>
      </c>
      <c r="H19" s="61" t="s">
        <v>1106</v>
      </c>
      <c r="I19" s="62">
        <f>COUNTA(J2:K13)</f>
        <v>5</v>
      </c>
      <c r="L19" s="339" t="s">
        <v>134</v>
      </c>
      <c r="M19" s="203" t="s">
        <v>753</v>
      </c>
      <c r="N19" s="352" t="s">
        <v>1107</v>
      </c>
      <c r="O19" s="352" t="s">
        <v>1108</v>
      </c>
      <c r="P19" s="352" t="s">
        <v>1109</v>
      </c>
      <c r="Q19" s="353"/>
    </row>
    <row r="20">
      <c r="F20" s="360" t="s">
        <v>763</v>
      </c>
      <c r="G20" s="62">
        <f>COUNTIF(G2:K13, "* Walp*")</f>
        <v>3</v>
      </c>
      <c r="H20" s="61" t="s">
        <v>764</v>
      </c>
      <c r="I20" s="62">
        <f>IFERROR(__xludf.DUMMYFUNCTION("COUNTA(G2:K13) - ARRAYFORMULA(SUM(N(REGEXMATCH(G2:K13, ""Thumb|Index|Middle|Ring|Pinky| Walp| Intv| Bkgk| BP""))))"),8.0)</f>
        <v>8</v>
      </c>
      <c r="L20" s="342" t="s">
        <v>765</v>
      </c>
      <c r="M20" s="205" t="s">
        <v>1093</v>
      </c>
      <c r="N20" s="340" t="s">
        <v>1110</v>
      </c>
      <c r="O20" s="340" t="s">
        <v>1111</v>
      </c>
      <c r="P20" s="340" t="s">
        <v>1112</v>
      </c>
      <c r="Q20" s="357"/>
    </row>
    <row r="21">
      <c r="F21" s="282" t="s">
        <v>1113</v>
      </c>
      <c r="G21" s="74">
        <f>COUNTIF(G2:K13, "* Intv*") + COUNTIF(G2:K13, "* Bkgk")</f>
        <v>1</v>
      </c>
      <c r="H21" s="50" t="s">
        <v>771</v>
      </c>
      <c r="I21" s="74">
        <f>COUNTIF(G2:K13, "* SF*")</f>
        <v>0</v>
      </c>
      <c r="L21" s="348" t="s">
        <v>148</v>
      </c>
      <c r="M21" s="207" t="s">
        <v>1093</v>
      </c>
      <c r="N21" s="342" t="s">
        <v>1114</v>
      </c>
      <c r="O21" s="342" t="s">
        <v>1115</v>
      </c>
      <c r="P21" s="342" t="s">
        <v>1116</v>
      </c>
      <c r="Q21" s="355"/>
    </row>
    <row r="23">
      <c r="A23" s="361" t="s">
        <v>138</v>
      </c>
      <c r="G23" s="361" t="s">
        <v>138</v>
      </c>
      <c r="H23" s="362" t="s">
        <v>123</v>
      </c>
    </row>
    <row r="24">
      <c r="A24" s="7" t="s">
        <v>1117</v>
      </c>
      <c r="B24" s="7" t="s">
        <v>1118</v>
      </c>
      <c r="C24" s="7" t="s">
        <v>1119</v>
      </c>
      <c r="D24" s="7" t="s">
        <v>1120</v>
      </c>
      <c r="E24" s="7" t="s">
        <v>1121</v>
      </c>
      <c r="F24" s="7" t="s">
        <v>1122</v>
      </c>
      <c r="G24" s="7" t="s">
        <v>1123</v>
      </c>
      <c r="H24" s="7" t="s">
        <v>1124</v>
      </c>
      <c r="I24" s="7" t="s">
        <v>1125</v>
      </c>
      <c r="J24" s="7" t="s">
        <v>1126</v>
      </c>
      <c r="K24" s="7" t="s">
        <v>1127</v>
      </c>
      <c r="L24" s="7" t="s">
        <v>1128</v>
      </c>
    </row>
    <row r="25">
      <c r="A25" s="7" t="s">
        <v>1129</v>
      </c>
      <c r="B25" s="7" t="s">
        <v>1130</v>
      </c>
      <c r="C25" s="7" t="s">
        <v>1131</v>
      </c>
      <c r="D25" s="7" t="s">
        <v>1132</v>
      </c>
      <c r="E25" s="7" t="s">
        <v>1133</v>
      </c>
      <c r="F25" s="7" t="s">
        <v>1134</v>
      </c>
      <c r="G25" s="7" t="s">
        <v>1135</v>
      </c>
      <c r="H25" s="7" t="s">
        <v>1136</v>
      </c>
      <c r="I25" s="7" t="s">
        <v>1137</v>
      </c>
      <c r="J25" s="7" t="s">
        <v>1138</v>
      </c>
      <c r="K25" s="7" t="s">
        <v>1139</v>
      </c>
      <c r="L25" s="7" t="s">
        <v>1140</v>
      </c>
    </row>
    <row r="26">
      <c r="A26" s="363" t="s">
        <v>143</v>
      </c>
      <c r="G26" s="363" t="s">
        <v>143</v>
      </c>
      <c r="H26" s="362" t="s">
        <v>123</v>
      </c>
    </row>
    <row r="27">
      <c r="A27" s="7" t="s">
        <v>1141</v>
      </c>
      <c r="B27" s="7" t="s">
        <v>1142</v>
      </c>
      <c r="C27" s="7" t="s">
        <v>1143</v>
      </c>
      <c r="D27" s="7" t="s">
        <v>1144</v>
      </c>
      <c r="E27" s="7" t="s">
        <v>1145</v>
      </c>
      <c r="F27" s="7" t="s">
        <v>1146</v>
      </c>
      <c r="G27" s="7" t="s">
        <v>1147</v>
      </c>
      <c r="H27" s="7" t="s">
        <v>1148</v>
      </c>
      <c r="I27" s="7" t="s">
        <v>1149</v>
      </c>
      <c r="J27" s="7" t="s">
        <v>1150</v>
      </c>
      <c r="K27" s="7" t="s">
        <v>1151</v>
      </c>
      <c r="L27" s="7" t="s">
        <v>1152</v>
      </c>
    </row>
    <row r="28">
      <c r="A28" s="7" t="s">
        <v>1153</v>
      </c>
      <c r="B28" s="7" t="s">
        <v>1154</v>
      </c>
      <c r="C28" s="7" t="s">
        <v>1155</v>
      </c>
      <c r="D28" s="7" t="s">
        <v>1156</v>
      </c>
      <c r="E28" s="7" t="s">
        <v>1157</v>
      </c>
      <c r="F28" s="7" t="s">
        <v>1158</v>
      </c>
      <c r="G28" s="7" t="s">
        <v>1159</v>
      </c>
      <c r="H28" s="7" t="s">
        <v>1160</v>
      </c>
      <c r="I28" s="7" t="s">
        <v>1161</v>
      </c>
      <c r="J28" s="7" t="s">
        <v>1162</v>
      </c>
      <c r="K28" s="7" t="s">
        <v>1163</v>
      </c>
      <c r="L28" s="7" t="s">
        <v>1164</v>
      </c>
    </row>
    <row r="29">
      <c r="A29" s="362" t="s">
        <v>123</v>
      </c>
      <c r="G29" s="364" t="s">
        <v>1165</v>
      </c>
      <c r="H29" s="365" t="s">
        <v>134</v>
      </c>
      <c r="I29" s="361" t="s">
        <v>138</v>
      </c>
      <c r="J29" s="363" t="s">
        <v>143</v>
      </c>
    </row>
    <row r="30">
      <c r="A30" s="7" t="s">
        <v>1166</v>
      </c>
      <c r="B30" s="7" t="s">
        <v>1167</v>
      </c>
      <c r="C30" s="7" t="s">
        <v>1168</v>
      </c>
      <c r="D30" s="7" t="s">
        <v>1169</v>
      </c>
      <c r="E30" s="7" t="s">
        <v>1170</v>
      </c>
      <c r="F30" s="7" t="s">
        <v>1171</v>
      </c>
      <c r="G30" s="7" t="s">
        <v>1172</v>
      </c>
      <c r="H30" s="7" t="s">
        <v>1173</v>
      </c>
      <c r="I30" s="7" t="s">
        <v>1174</v>
      </c>
      <c r="J30" s="7" t="s">
        <v>1175</v>
      </c>
      <c r="K30" s="7" t="s">
        <v>1176</v>
      </c>
      <c r="L30" s="7" t="s">
        <v>1177</v>
      </c>
    </row>
    <row r="31">
      <c r="A31" s="7" t="s">
        <v>1178</v>
      </c>
      <c r="B31" s="7" t="s">
        <v>1179</v>
      </c>
      <c r="C31" s="7" t="s">
        <v>1180</v>
      </c>
      <c r="D31" s="7" t="s">
        <v>1181</v>
      </c>
      <c r="E31" s="7" t="s">
        <v>1182</v>
      </c>
      <c r="F31" s="7" t="s">
        <v>1183</v>
      </c>
      <c r="G31" s="7" t="s">
        <v>1184</v>
      </c>
      <c r="H31" s="7" t="s">
        <v>1185</v>
      </c>
      <c r="I31" s="7" t="s">
        <v>1186</v>
      </c>
      <c r="J31" s="7" t="s">
        <v>1187</v>
      </c>
      <c r="K31" s="7" t="s">
        <v>1188</v>
      </c>
      <c r="L31" s="7" t="s">
        <v>1189</v>
      </c>
    </row>
    <row r="32">
      <c r="A32" s="366" t="s">
        <v>752</v>
      </c>
      <c r="G32" s="367" t="s">
        <v>849</v>
      </c>
      <c r="H32" s="368" t="s">
        <v>765</v>
      </c>
      <c r="I32" s="366" t="s">
        <v>752</v>
      </c>
    </row>
    <row r="33">
      <c r="A33" s="7" t="s">
        <v>1190</v>
      </c>
      <c r="B33" s="7" t="s">
        <v>1191</v>
      </c>
      <c r="C33" s="7" t="s">
        <v>1192</v>
      </c>
      <c r="D33" s="7" t="s">
        <v>1193</v>
      </c>
      <c r="E33" s="7" t="s">
        <v>1194</v>
      </c>
      <c r="F33" s="7" t="s">
        <v>1195</v>
      </c>
      <c r="G33" s="369" t="s">
        <v>1196</v>
      </c>
      <c r="H33" s="369" t="s">
        <v>1197</v>
      </c>
      <c r="I33" s="7" t="s">
        <v>1198</v>
      </c>
      <c r="J33" s="7" t="s">
        <v>1199</v>
      </c>
      <c r="K33" s="369" t="s">
        <v>1200</v>
      </c>
      <c r="L33" s="369" t="s">
        <v>1201</v>
      </c>
    </row>
    <row r="34">
      <c r="A34" s="7" t="s">
        <v>1202</v>
      </c>
      <c r="B34" s="7" t="s">
        <v>1203</v>
      </c>
      <c r="C34" s="7" t="s">
        <v>1204</v>
      </c>
      <c r="D34" s="7" t="s">
        <v>1205</v>
      </c>
      <c r="E34" s="7" t="s">
        <v>1206</v>
      </c>
      <c r="F34" s="7" t="s">
        <v>1207</v>
      </c>
      <c r="G34" s="7" t="s">
        <v>1208</v>
      </c>
      <c r="H34" s="369" t="s">
        <v>1209</v>
      </c>
      <c r="I34" s="369" t="s">
        <v>1210</v>
      </c>
      <c r="J34" s="7" t="s">
        <v>1211</v>
      </c>
      <c r="K34" s="7" t="s">
        <v>1212</v>
      </c>
      <c r="L34" s="369" t="s">
        <v>1213</v>
      </c>
    </row>
    <row r="35">
      <c r="A35" s="365" t="s">
        <v>134</v>
      </c>
      <c r="G35" s="365" t="s">
        <v>874</v>
      </c>
      <c r="H35" s="362" t="s">
        <v>123</v>
      </c>
      <c r="I35" s="368" t="s">
        <v>765</v>
      </c>
    </row>
    <row r="36">
      <c r="A36" s="7" t="s">
        <v>1214</v>
      </c>
      <c r="B36" s="7" t="s">
        <v>1215</v>
      </c>
      <c r="C36" s="7" t="s">
        <v>1216</v>
      </c>
      <c r="D36" s="7" t="s">
        <v>1217</v>
      </c>
      <c r="E36" s="7" t="s">
        <v>1218</v>
      </c>
      <c r="F36" s="7" t="s">
        <v>1219</v>
      </c>
      <c r="G36" s="369" t="s">
        <v>1220</v>
      </c>
      <c r="H36" s="7" t="s">
        <v>1221</v>
      </c>
      <c r="I36" s="369" t="s">
        <v>1222</v>
      </c>
      <c r="J36" s="7" t="s">
        <v>1223</v>
      </c>
      <c r="K36" s="7" t="s">
        <v>1224</v>
      </c>
      <c r="L36" s="7" t="s">
        <v>1225</v>
      </c>
    </row>
    <row r="37">
      <c r="A37" s="7" t="s">
        <v>1226</v>
      </c>
      <c r="B37" s="7" t="s">
        <v>1227</v>
      </c>
      <c r="C37" s="7" t="s">
        <v>1228</v>
      </c>
      <c r="D37" s="7" t="s">
        <v>1229</v>
      </c>
      <c r="E37" s="7" t="s">
        <v>1230</v>
      </c>
      <c r="F37" s="7" t="s">
        <v>1231</v>
      </c>
      <c r="G37" s="369" t="s">
        <v>1232</v>
      </c>
      <c r="H37" s="369" t="s">
        <v>1233</v>
      </c>
      <c r="I37" s="369" t="s">
        <v>1234</v>
      </c>
      <c r="J37" s="7" t="s">
        <v>1235</v>
      </c>
      <c r="K37" s="369" t="s">
        <v>1236</v>
      </c>
      <c r="L37" s="369" t="s">
        <v>1237</v>
      </c>
    </row>
    <row r="38">
      <c r="A38" s="368" t="s">
        <v>765</v>
      </c>
      <c r="G38" s="368" t="s">
        <v>765</v>
      </c>
      <c r="H38" s="365" t="s">
        <v>134</v>
      </c>
    </row>
    <row r="39">
      <c r="A39" s="7" t="s">
        <v>1238</v>
      </c>
      <c r="B39" s="7" t="s">
        <v>1239</v>
      </c>
      <c r="C39" s="7" t="s">
        <v>1240</v>
      </c>
      <c r="D39" s="7" t="s">
        <v>1241</v>
      </c>
      <c r="E39" s="7" t="s">
        <v>1242</v>
      </c>
      <c r="F39" s="7" t="s">
        <v>1243</v>
      </c>
      <c r="G39" s="7" t="s">
        <v>1244</v>
      </c>
      <c r="H39" s="7" t="s">
        <v>1245</v>
      </c>
      <c r="I39" s="7" t="s">
        <v>1246</v>
      </c>
      <c r="J39" s="7" t="s">
        <v>1247</v>
      </c>
      <c r="K39" s="7" t="s">
        <v>1248</v>
      </c>
      <c r="L39" s="7" t="s">
        <v>1249</v>
      </c>
    </row>
    <row r="40">
      <c r="A40" s="7" t="s">
        <v>1250</v>
      </c>
      <c r="B40" s="7" t="s">
        <v>1251</v>
      </c>
      <c r="C40" s="7" t="s">
        <v>1252</v>
      </c>
      <c r="D40" s="7" t="s">
        <v>1253</v>
      </c>
      <c r="E40" s="7" t="s">
        <v>1254</v>
      </c>
      <c r="F40" s="7" t="s">
        <v>1255</v>
      </c>
      <c r="G40" s="7" t="s">
        <v>1256</v>
      </c>
      <c r="H40" s="7" t="s">
        <v>1257</v>
      </c>
      <c r="I40" s="7" t="s">
        <v>1258</v>
      </c>
      <c r="J40" s="7" t="s">
        <v>1259</v>
      </c>
      <c r="K40" s="7" t="s">
        <v>1260</v>
      </c>
      <c r="L40" s="7" t="s">
        <v>1261</v>
      </c>
    </row>
    <row r="41">
      <c r="A41" s="370" t="s">
        <v>148</v>
      </c>
      <c r="G41" s="370" t="s">
        <v>148</v>
      </c>
      <c r="H41" s="363" t="s">
        <v>143</v>
      </c>
    </row>
    <row r="42">
      <c r="A42" s="7" t="s">
        <v>1262</v>
      </c>
      <c r="B42" s="7" t="s">
        <v>1263</v>
      </c>
      <c r="C42" s="7" t="s">
        <v>1264</v>
      </c>
      <c r="D42" s="7" t="s">
        <v>1265</v>
      </c>
      <c r="E42" s="7" t="s">
        <v>1266</v>
      </c>
      <c r="F42" s="7" t="s">
        <v>1267</v>
      </c>
      <c r="G42" s="7" t="s">
        <v>1268</v>
      </c>
      <c r="H42" s="7" t="s">
        <v>1269</v>
      </c>
      <c r="I42" s="7" t="s">
        <v>1270</v>
      </c>
      <c r="J42" s="7" t="s">
        <v>1271</v>
      </c>
      <c r="K42" s="7" t="s">
        <v>1272</v>
      </c>
      <c r="L42" s="7" t="s">
        <v>1273</v>
      </c>
    </row>
    <row r="43">
      <c r="A43" s="7" t="s">
        <v>1274</v>
      </c>
      <c r="B43" s="7" t="s">
        <v>1275</v>
      </c>
      <c r="C43" s="7" t="s">
        <v>1276</v>
      </c>
      <c r="D43" s="7" t="s">
        <v>1277</v>
      </c>
      <c r="E43" s="7" t="s">
        <v>1278</v>
      </c>
      <c r="F43" s="7" t="s">
        <v>1279</v>
      </c>
      <c r="G43" s="7" t="s">
        <v>1280</v>
      </c>
      <c r="H43" s="7" t="s">
        <v>1281</v>
      </c>
      <c r="I43" s="7" t="s">
        <v>1282</v>
      </c>
      <c r="J43" s="7" t="s">
        <v>1283</v>
      </c>
      <c r="K43" s="7" t="s">
        <v>1284</v>
      </c>
      <c r="L43" s="7" t="s">
        <v>1285</v>
      </c>
    </row>
    <row r="44">
      <c r="A44" s="371" t="s">
        <v>947</v>
      </c>
      <c r="B44" s="372" t="s">
        <v>750</v>
      </c>
      <c r="C44" s="363" t="s">
        <v>143</v>
      </c>
      <c r="G44" s="373" t="s">
        <v>948</v>
      </c>
      <c r="H44" s="374" t="s">
        <v>744</v>
      </c>
      <c r="I44" s="363" t="s">
        <v>143</v>
      </c>
      <c r="J44" s="361" t="s">
        <v>138</v>
      </c>
    </row>
    <row r="45">
      <c r="A45" s="7" t="s">
        <v>1286</v>
      </c>
      <c r="B45" s="7" t="s">
        <v>1287</v>
      </c>
      <c r="C45" s="54" t="s">
        <v>951</v>
      </c>
      <c r="E45" s="7" t="s">
        <v>1288</v>
      </c>
      <c r="F45" s="7" t="s">
        <v>1289</v>
      </c>
      <c r="G45" s="369" t="s">
        <v>1290</v>
      </c>
      <c r="H45" s="7" t="s">
        <v>1291</v>
      </c>
      <c r="I45" s="375" t="s">
        <v>1292</v>
      </c>
      <c r="J45" s="7" t="s">
        <v>1293</v>
      </c>
      <c r="K45" s="369" t="s">
        <v>1294</v>
      </c>
      <c r="L45" s="7" t="s">
        <v>1295</v>
      </c>
    </row>
    <row r="46">
      <c r="C46" s="7" t="s">
        <v>1296</v>
      </c>
      <c r="E46" s="7" t="s">
        <v>1297</v>
      </c>
      <c r="F46" s="54" t="s">
        <v>962</v>
      </c>
      <c r="G46" s="369" t="s">
        <v>1298</v>
      </c>
      <c r="H46" s="369" t="s">
        <v>1299</v>
      </c>
      <c r="I46" s="7" t="s">
        <v>1300</v>
      </c>
      <c r="J46" s="369" t="s">
        <v>1301</v>
      </c>
      <c r="K46" s="369" t="s">
        <v>1302</v>
      </c>
      <c r="L46" s="7" t="s">
        <v>1303</v>
      </c>
    </row>
    <row r="47">
      <c r="A47" s="376" t="s">
        <v>969</v>
      </c>
      <c r="B47" s="7" t="s">
        <v>16</v>
      </c>
      <c r="C47" s="361" t="s">
        <v>138</v>
      </c>
      <c r="D47" s="362" t="s">
        <v>123</v>
      </c>
      <c r="G47" s="377" t="s">
        <v>970</v>
      </c>
      <c r="H47" s="7" t="s">
        <v>738</v>
      </c>
      <c r="I47" s="368" t="s">
        <v>765</v>
      </c>
      <c r="J47" s="365" t="s">
        <v>134</v>
      </c>
    </row>
    <row r="48">
      <c r="A48" s="7"/>
      <c r="B48" s="7"/>
      <c r="C48" s="7"/>
      <c r="D48" s="7"/>
      <c r="E48" s="7" t="s">
        <v>1304</v>
      </c>
      <c r="F48" s="7"/>
      <c r="G48" s="7" t="s">
        <v>1305</v>
      </c>
      <c r="H48" s="7" t="s">
        <v>1306</v>
      </c>
      <c r="I48" s="7" t="s">
        <v>1307</v>
      </c>
    </row>
    <row r="49">
      <c r="A49" s="7" t="s">
        <v>1308</v>
      </c>
      <c r="B49" s="7"/>
      <c r="C49" s="7" t="s">
        <v>1309</v>
      </c>
      <c r="D49" s="7" t="s">
        <v>1310</v>
      </c>
      <c r="E49" s="7"/>
      <c r="F49" s="7"/>
      <c r="J49" s="7" t="s">
        <v>1311</v>
      </c>
      <c r="K49" s="7" t="s">
        <v>1312</v>
      </c>
    </row>
    <row r="50">
      <c r="A50" s="7" t="s">
        <v>980</v>
      </c>
      <c r="B50" s="361" t="s">
        <v>138</v>
      </c>
      <c r="G50" s="368" t="s">
        <v>765</v>
      </c>
      <c r="H50" s="363" t="s">
        <v>143</v>
      </c>
      <c r="I50" s="378" t="s">
        <v>981</v>
      </c>
    </row>
    <row r="51">
      <c r="A51" s="7" t="s">
        <v>1313</v>
      </c>
      <c r="B51" s="7" t="s">
        <v>1314</v>
      </c>
      <c r="C51" s="7" t="s">
        <v>1315</v>
      </c>
      <c r="D51" s="7" t="s">
        <v>1316</v>
      </c>
      <c r="E51" s="379" t="s">
        <v>986</v>
      </c>
      <c r="F51" s="7" t="s">
        <v>1317</v>
      </c>
      <c r="G51" s="7" t="s">
        <v>1318</v>
      </c>
      <c r="H51" s="7" t="s">
        <v>1319</v>
      </c>
      <c r="I51" s="7" t="s">
        <v>1320</v>
      </c>
      <c r="J51" s="7" t="s">
        <v>1321</v>
      </c>
      <c r="K51" s="7" t="s">
        <v>1322</v>
      </c>
      <c r="L51" s="7" t="s">
        <v>1323</v>
      </c>
    </row>
    <row r="52">
      <c r="A52" s="7" t="s">
        <v>1324</v>
      </c>
      <c r="B52" s="7" t="s">
        <v>1325</v>
      </c>
      <c r="C52" s="7" t="s">
        <v>1326</v>
      </c>
      <c r="D52" s="7" t="s">
        <v>1327</v>
      </c>
      <c r="E52" s="7" t="s">
        <v>1328</v>
      </c>
      <c r="G52" s="7" t="s">
        <v>1329</v>
      </c>
      <c r="H52" s="7" t="s">
        <v>1330</v>
      </c>
      <c r="I52" s="7" t="s">
        <v>1331</v>
      </c>
      <c r="J52" s="7" t="s">
        <v>1332</v>
      </c>
      <c r="K52" s="7" t="s">
        <v>1333</v>
      </c>
      <c r="L52" s="7" t="s">
        <v>1334</v>
      </c>
    </row>
    <row r="53">
      <c r="A53" s="370" t="s">
        <v>148</v>
      </c>
      <c r="B53" s="366" t="s">
        <v>752</v>
      </c>
      <c r="C53" s="363" t="s">
        <v>143</v>
      </c>
      <c r="D53" s="380" t="s">
        <v>1005</v>
      </c>
      <c r="G53" s="370" t="s">
        <v>148</v>
      </c>
      <c r="H53" s="366" t="s">
        <v>752</v>
      </c>
      <c r="I53" s="365" t="s">
        <v>134</v>
      </c>
    </row>
    <row r="54">
      <c r="A54" s="7" t="s">
        <v>1335</v>
      </c>
      <c r="B54" s="369" t="s">
        <v>1336</v>
      </c>
      <c r="C54" s="7" t="s">
        <v>1337</v>
      </c>
      <c r="D54" s="7" t="s">
        <v>1338</v>
      </c>
      <c r="E54" s="369" t="s">
        <v>1339</v>
      </c>
      <c r="F54" s="369" t="s">
        <v>1340</v>
      </c>
      <c r="G54" s="7" t="s">
        <v>1341</v>
      </c>
      <c r="H54" s="7" t="s">
        <v>1342</v>
      </c>
      <c r="I54" s="369" t="s">
        <v>1343</v>
      </c>
      <c r="J54" s="7" t="s">
        <v>1344</v>
      </c>
      <c r="K54" s="7" t="s">
        <v>1345</v>
      </c>
      <c r="L54" s="369" t="s">
        <v>1346</v>
      </c>
    </row>
    <row r="55">
      <c r="A55" s="369" t="s">
        <v>114</v>
      </c>
      <c r="B55" s="7" t="s">
        <v>1018</v>
      </c>
      <c r="C55" s="369" t="s">
        <v>1347</v>
      </c>
      <c r="D55" s="7" t="s">
        <v>1348</v>
      </c>
      <c r="E55" s="369" t="s">
        <v>1349</v>
      </c>
      <c r="F55" s="369" t="s">
        <v>1350</v>
      </c>
      <c r="G55" s="369" t="s">
        <v>1351</v>
      </c>
      <c r="H55" s="369" t="s">
        <v>1352</v>
      </c>
      <c r="I55" s="369" t="s">
        <v>1353</v>
      </c>
      <c r="J55" s="7" t="s">
        <v>1354</v>
      </c>
      <c r="K55" s="369" t="s">
        <v>1355</v>
      </c>
      <c r="L55" s="369" t="s">
        <v>1356</v>
      </c>
    </row>
    <row r="56">
      <c r="A56" s="362" t="s">
        <v>123</v>
      </c>
      <c r="B56" s="370" t="s">
        <v>148</v>
      </c>
      <c r="C56" s="366" t="s">
        <v>752</v>
      </c>
      <c r="G56" s="370" t="s">
        <v>148</v>
      </c>
      <c r="H56" s="365" t="s">
        <v>134</v>
      </c>
      <c r="I56" s="363" t="s">
        <v>143</v>
      </c>
      <c r="J56" s="381" t="str">
        <f>"+ 1 Charge Bleed Sinking"</f>
        <v>+ 1 Charge Bleed Sinking</v>
      </c>
    </row>
    <row r="57">
      <c r="A57" s="369" t="s">
        <v>1357</v>
      </c>
      <c r="B57" s="7" t="s">
        <v>1358</v>
      </c>
      <c r="C57" s="369" t="s">
        <v>1359</v>
      </c>
      <c r="D57" s="369" t="s">
        <v>1360</v>
      </c>
      <c r="E57" s="369" t="s">
        <v>1361</v>
      </c>
      <c r="F57" s="7" t="s">
        <v>1362</v>
      </c>
      <c r="G57" s="7" t="s">
        <v>1363</v>
      </c>
      <c r="H57" s="7" t="s">
        <v>1364</v>
      </c>
      <c r="I57" s="7" t="s">
        <v>1365</v>
      </c>
      <c r="J57" s="7" t="s">
        <v>1366</v>
      </c>
      <c r="K57" s="7" t="s">
        <v>1367</v>
      </c>
      <c r="L57" s="7" t="s">
        <v>1368</v>
      </c>
    </row>
    <row r="58">
      <c r="A58" s="369" t="s">
        <v>1369</v>
      </c>
      <c r="B58" s="369" t="s">
        <v>1018</v>
      </c>
      <c r="C58" s="369" t="s">
        <v>60</v>
      </c>
      <c r="D58" s="7" t="s">
        <v>1370</v>
      </c>
      <c r="E58" s="7" t="s">
        <v>1371</v>
      </c>
      <c r="F58" s="369" t="s">
        <v>1044</v>
      </c>
      <c r="G58" s="7" t="s">
        <v>1372</v>
      </c>
      <c r="H58" s="7" t="s">
        <v>1373</v>
      </c>
      <c r="I58" s="7" t="s">
        <v>1374</v>
      </c>
      <c r="J58" s="7" t="s">
        <v>1375</v>
      </c>
      <c r="K58" s="7" t="s">
        <v>1376</v>
      </c>
      <c r="L58" s="7" t="s">
        <v>1377</v>
      </c>
    </row>
    <row r="59">
      <c r="A59" s="362" t="s">
        <v>123</v>
      </c>
      <c r="B59" s="368" t="s">
        <v>765</v>
      </c>
      <c r="C59" s="366" t="s">
        <v>752</v>
      </c>
      <c r="D59" s="381" t="str">
        <f>"+ 2 Poise Tremor"</f>
        <v>+ 2 Poise Tremor</v>
      </c>
      <c r="G59" s="361" t="s">
        <v>138</v>
      </c>
      <c r="H59" s="363" t="s">
        <v>143</v>
      </c>
      <c r="I59" s="368" t="s">
        <v>765</v>
      </c>
    </row>
    <row r="60">
      <c r="A60" s="7" t="s">
        <v>1378</v>
      </c>
      <c r="B60" s="8"/>
      <c r="C60" s="8"/>
      <c r="D60" s="7" t="s">
        <v>1379</v>
      </c>
      <c r="E60" s="8"/>
      <c r="F60" s="7" t="s">
        <v>1380</v>
      </c>
      <c r="G60" s="7" t="s">
        <v>1381</v>
      </c>
      <c r="H60" s="7" t="s">
        <v>1382</v>
      </c>
      <c r="I60" s="7" t="s">
        <v>1383</v>
      </c>
      <c r="J60" s="7" t="s">
        <v>1384</v>
      </c>
      <c r="K60" s="7" t="s">
        <v>1385</v>
      </c>
      <c r="L60" s="7" t="s">
        <v>1386</v>
      </c>
    </row>
    <row r="61">
      <c r="A61" s="8"/>
      <c r="B61" s="7" t="s">
        <v>1387</v>
      </c>
      <c r="C61" s="7" t="s">
        <v>1388</v>
      </c>
      <c r="D61" s="8"/>
      <c r="E61" s="8"/>
      <c r="F61" s="7" t="s">
        <v>1389</v>
      </c>
      <c r="G61" s="7" t="s">
        <v>1390</v>
      </c>
      <c r="H61" s="7" t="s">
        <v>1391</v>
      </c>
      <c r="I61" s="8"/>
      <c r="J61" s="7" t="s">
        <v>1392</v>
      </c>
      <c r="K61" s="7" t="s">
        <v>1393</v>
      </c>
      <c r="L61" s="8"/>
    </row>
  </sheetData>
  <conditionalFormatting sqref="K2:K13">
    <cfRule type="containsText" dxfId="13" priority="1" operator="containsText" text="Thumb">
      <formula>NOT(ISERROR(SEARCH(("Thumb"),(K2))))</formula>
    </cfRule>
  </conditionalFormatting>
  <conditionalFormatting sqref="K2:K13">
    <cfRule type="containsText" dxfId="14" priority="2" operator="containsText" text="Index">
      <formula>NOT(ISERROR(SEARCH(("Index"),(K2))))</formula>
    </cfRule>
  </conditionalFormatting>
  <conditionalFormatting sqref="A2:A13 F2:F13 L2:L13">
    <cfRule type="containsText" dxfId="18" priority="3" operator="containsText" text="Yi Sang">
      <formula>NOT(ISERROR(SEARCH(("Yi Sang"),(A2))))</formula>
    </cfRule>
  </conditionalFormatting>
  <conditionalFormatting sqref="A2:A13 F2:F13 L2:L13">
    <cfRule type="containsText" dxfId="19" priority="4" operator="containsText" text="Faust">
      <formula>NOT(ISERROR(SEARCH(("Faust"),(A2))))</formula>
    </cfRule>
  </conditionalFormatting>
  <conditionalFormatting sqref="A2:A13 F2:F13 L2:L13">
    <cfRule type="containsText" dxfId="6" priority="5" operator="containsText" text="Don Quixote">
      <formula>NOT(ISERROR(SEARCH(("Don Quixote"),(A2))))</formula>
    </cfRule>
  </conditionalFormatting>
  <conditionalFormatting sqref="A2:A13 F2:F13 L2:L13">
    <cfRule type="containsText" dxfId="20" priority="6" operator="containsText" text="Ryoshu">
      <formula>NOT(ISERROR(SEARCH(("Ryoshu"),(A2))))</formula>
    </cfRule>
  </conditionalFormatting>
  <conditionalFormatting sqref="A2:A13 F2:F13 L2:L13">
    <cfRule type="containsText" dxfId="21" priority="7" operator="containsText" text="Meursault">
      <formula>NOT(ISERROR(SEARCH(("Meursault"),(A2))))</formula>
    </cfRule>
  </conditionalFormatting>
  <conditionalFormatting sqref="A2:A13 F2:F13 L2:L13">
    <cfRule type="containsText" dxfId="22" priority="8" operator="containsText" text="Hong Lu">
      <formula>NOT(ISERROR(SEARCH(("Hong Lu"),(A2))))</formula>
    </cfRule>
  </conditionalFormatting>
  <conditionalFormatting sqref="A2:A13 F2:F13 L2:L13">
    <cfRule type="containsText" dxfId="23" priority="9" operator="containsText" text="Heathcliff">
      <formula>NOT(ISERROR(SEARCH(("Heathcliff"),(A2))))</formula>
    </cfRule>
  </conditionalFormatting>
  <conditionalFormatting sqref="A2:A13 F2:F13 L2:L13">
    <cfRule type="containsText" dxfId="24" priority="10" operator="containsText" text="Ishmael">
      <formula>NOT(ISERROR(SEARCH(("Ishmael"),(A2))))</formula>
    </cfRule>
  </conditionalFormatting>
  <conditionalFormatting sqref="A2:A13 F2:F13 L2:L13">
    <cfRule type="containsText" dxfId="25" priority="11" operator="containsText" text="Rodion">
      <formula>NOT(ISERROR(SEARCH(("Rodion"),(A2))))</formula>
    </cfRule>
  </conditionalFormatting>
  <conditionalFormatting sqref="A2:A13 F2:F13 L2:L13">
    <cfRule type="containsText" dxfId="26" priority="12" operator="containsText" text="Sinclair">
      <formula>NOT(ISERROR(SEARCH(("Sinclair"),(A2))))</formula>
    </cfRule>
  </conditionalFormatting>
  <conditionalFormatting sqref="A2:A13 F2:F13 L2:L13">
    <cfRule type="containsText" dxfId="27" priority="13" operator="containsText" text="Outis">
      <formula>NOT(ISERROR(SEARCH(("Outis"),(A2))))</formula>
    </cfRule>
  </conditionalFormatting>
  <conditionalFormatting sqref="A2:A13 F2:F13 L2:L13">
    <cfRule type="containsText" dxfId="28" priority="14" operator="containsText" text="Gregor">
      <formula>NOT(ISERROR(SEARCH(("Gregor"),(A2))))</formula>
    </cfRule>
  </conditionalFormatting>
  <conditionalFormatting sqref="A23:L61">
    <cfRule type="containsText" dxfId="18" priority="15" operator="containsText" text=" YS">
      <formula>NOT(ISERROR(SEARCH((" YS"),(A23))))</formula>
    </cfRule>
  </conditionalFormatting>
  <conditionalFormatting sqref="A23:L61">
    <cfRule type="containsText" dxfId="19" priority="16" operator="containsText" text=" FT">
      <formula>NOT(ISERROR(SEARCH((" FT"),(A23))))</formula>
    </cfRule>
  </conditionalFormatting>
  <conditionalFormatting sqref="A23:L61">
    <cfRule type="containsText" dxfId="6" priority="17" operator="containsText" text=" DQ">
      <formula>NOT(ISERROR(SEARCH((" DQ"),(A23))))</formula>
    </cfRule>
  </conditionalFormatting>
  <conditionalFormatting sqref="A23:L61">
    <cfRule type="containsText" dxfId="20" priority="18" operator="containsText" text=" RS">
      <formula>NOT(ISERROR(SEARCH((" RS"),(A23))))</formula>
    </cfRule>
  </conditionalFormatting>
  <conditionalFormatting sqref="A23:L61">
    <cfRule type="containsText" dxfId="21" priority="19" operator="containsText" text=" MS">
      <formula>NOT(ISERROR(SEARCH((" MS"),(A23))))</formula>
    </cfRule>
  </conditionalFormatting>
  <conditionalFormatting sqref="A23:L61">
    <cfRule type="containsText" dxfId="22" priority="20" operator="containsText" text=" HL">
      <formula>NOT(ISERROR(SEARCH((" HL"),(A23))))</formula>
    </cfRule>
  </conditionalFormatting>
  <conditionalFormatting sqref="A23:L61">
    <cfRule type="containsText" dxfId="23" priority="21" operator="containsText" text=" HC">
      <formula>NOT(ISERROR(SEARCH((" HC"),(A23))))</formula>
    </cfRule>
  </conditionalFormatting>
  <conditionalFormatting sqref="A23:L61">
    <cfRule type="containsText" dxfId="24" priority="22" operator="containsText" text=" IS">
      <formula>NOT(ISERROR(SEARCH((" IS"),(A23))))</formula>
    </cfRule>
  </conditionalFormatting>
  <conditionalFormatting sqref="A23:L61">
    <cfRule type="containsText" dxfId="25" priority="23" operator="containsText" text=" RD">
      <formula>NOT(ISERROR(SEARCH((" RD"),(A23))))</formula>
    </cfRule>
  </conditionalFormatting>
  <conditionalFormatting sqref="A23:L61">
    <cfRule type="containsText" dxfId="26" priority="24" operator="containsText" text=" SC">
      <formula>NOT(ISERROR(SEARCH((" SC"),(A23))))</formula>
    </cfRule>
  </conditionalFormatting>
  <conditionalFormatting sqref="A23:L61">
    <cfRule type="containsText" dxfId="27" priority="25" operator="containsText" text=" OT">
      <formula>NOT(ISERROR(SEARCH((" OT"),(A23))))</formula>
    </cfRule>
  </conditionalFormatting>
  <conditionalFormatting sqref="A23:L61">
    <cfRule type="containsText" dxfId="28" priority="26" operator="containsText" text=" GG">
      <formula>NOT(ISERROR(SEARCH((" GG"),(A23))))</formula>
    </cfRule>
  </conditionalFormatting>
  <conditionalFormatting sqref="B2:D13 G2:J13 A15:A19 F15:F19 B44 H44 B47 H47">
    <cfRule type="containsText" dxfId="44" priority="27" operator="containsText" text=" EG">
      <formula>NOT(ISERROR(SEARCH((" EG"),(B2))))</formula>
    </cfRule>
  </conditionalFormatting>
  <conditionalFormatting sqref="B2:D13 G2:J13 A15:A19 F15:F19 B44 H44 B47 H47">
    <cfRule type="containsText" dxfId="45" priority="28" operator="containsText" text=" NC">
      <formula>NOT(ISERROR(SEARCH((" NC"),(B2))))</formula>
    </cfRule>
  </conditionalFormatting>
  <conditionalFormatting sqref="B2:D13 G2:K13 A15:A19 F15:F19 B44 H44 B47 H47">
    <cfRule type="containsText" dxfId="15" priority="29" operator="containsText" text="Middle">
      <formula>NOT(ISERROR(SEARCH(("Middle"),(B2))))</formula>
    </cfRule>
  </conditionalFormatting>
  <conditionalFormatting sqref="B2:D13 G2:K13 A15:A19 F15:F19 B44 H44 B47 H47">
    <cfRule type="containsText" dxfId="16" priority="30" operator="containsText" text="Ring">
      <formula>NOT(ISERROR(SEARCH(("Ring"),(B2))))</formula>
    </cfRule>
  </conditionalFormatting>
  <conditionalFormatting sqref="B2:D13 G2:K13 A15:A19 F15:F19 B44 H44 B47 H47">
    <cfRule type="containsText" dxfId="17" priority="31" operator="containsText" text="Pinky">
      <formula>NOT(ISERROR(SEARCH(("Pinky"),(B2))))</formula>
    </cfRule>
  </conditionalFormatting>
  <conditionalFormatting sqref="B2:D13 G2:K13 A15:A19 F15:F19 B44 H44 B47 H47">
    <cfRule type="containsText" dxfId="41" priority="32" operator="containsText" text=" Walp">
      <formula>NOT(ISERROR(SEARCH((" Walp"),(B2))))</formula>
    </cfRule>
  </conditionalFormatting>
  <conditionalFormatting sqref="B2:D13 G2:K13 A15:A19 F15:F19 B44 H44 B47 H47">
    <cfRule type="containsText" dxfId="42" priority="33" operator="containsText" text=" Intv">
      <formula>NOT(ISERROR(SEARCH((" Intv"),(B2))))</formula>
    </cfRule>
  </conditionalFormatting>
  <conditionalFormatting sqref="B2:D13 G2:K13 A15:A19 F15:F19 B44 H44 B47 H47">
    <cfRule type="containsText" dxfId="43" priority="34" operator="containsText" text=" Bkgk">
      <formula>NOT(ISERROR(SEARCH((" Bkgk"),(B2))))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4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11.88"/>
    <col customWidth="1" min="3" max="3" width="8.63"/>
    <col customWidth="1" min="4" max="4" width="27.0"/>
    <col customWidth="1" min="5" max="5" width="24.38"/>
    <col customWidth="1" min="6" max="6" width="4.0"/>
    <col customWidth="1" min="7" max="7" width="8.75"/>
    <col customWidth="1" min="8" max="8" width="4.88"/>
    <col customWidth="1" hidden="1" min="9" max="9" width="9.0"/>
    <col customWidth="1" min="10" max="10" width="5.75"/>
    <col customWidth="1" min="11" max="11" width="4.63"/>
    <col customWidth="1" min="12" max="12" width="7.25"/>
    <col customWidth="1" min="13" max="13" width="25.75"/>
    <col hidden="1" min="14" max="15" width="12.63"/>
    <col customWidth="1" min="16" max="17" width="2.5"/>
  </cols>
  <sheetData>
    <row r="1">
      <c r="A1" s="7" t="s">
        <v>1394</v>
      </c>
      <c r="B1" s="7" t="s">
        <v>152</v>
      </c>
      <c r="C1" s="385" t="s">
        <v>1395</v>
      </c>
      <c r="D1" s="385" t="s">
        <v>1396</v>
      </c>
      <c r="E1" s="7" t="s">
        <v>1397</v>
      </c>
      <c r="F1" s="7" t="s">
        <v>1398</v>
      </c>
      <c r="G1" s="386" t="s">
        <v>1399</v>
      </c>
      <c r="H1" s="7" t="s">
        <v>1400</v>
      </c>
      <c r="I1" s="7" t="str">
        <f>IFERROR(__xludf.DUMMYFUNCTION("{""ID Name""; ARRAYFORMULA(LET(fullname, {""["" &amp; A2:A999 &amp; ""] "" &amp; B2:B999}, condition,  IF(REGEXMATCH(fullname, ""\[\] ""), """", fullname), IF(H2:H999, condition, """")))}"),"ID Name")</f>
        <v>ID Name</v>
      </c>
      <c r="J1" s="7" t="s">
        <v>1401</v>
      </c>
      <c r="K1" s="7" t="s">
        <v>1402</v>
      </c>
      <c r="L1" s="7" t="s">
        <v>1403</v>
      </c>
      <c r="M1" s="7" t="s">
        <v>1404</v>
      </c>
      <c r="N1" s="8" t="str">
        <f>IFERROR(__xludf.DUMMYFUNCTION("{""Extractible Unobtained ID""; ARRAYFORMULA(
  LET(
    cleanD, SUBSTITUTE(D2:D999, "","", """"), 
    fullname, C2:C999 &amp; "" "" &amp; cleanD &amp; "" "" &amp; ""["" &amp; A2:A999 &amp; ""] "" &amp; B2:B999, 
    condition, IF(NOT(REGEXMATCH(D2:D999 &amp; """", ""Bokgak|Event"")), "&amp;"fullname, """"), 
    IF((H2:H999) + (condition = ""[] "") + (A2:A999 = """"), """", condition)
  )
)}"),"Extractible Unobtained ID")</f>
        <v>Extractible Unobtained ID</v>
      </c>
      <c r="O1" s="8" t="str">
        <f>IFERROR(__xludf.DUMMYFUNCTION("{""Extractible Unobtained ID""; ARRAYFORMULA(
  LET(
    cleanD, SUBSTITUTE(D2:D999, "","", """"), 
    fullname, C2:C999 &amp; "" "" &amp; cleanD &amp; "" "" &amp; ""["" &amp; A2:A999 &amp; ""] "" &amp; B2:B999, 
    condition, IF(REGEXMATCH(D2:D999 &amp; """", ""Event|Bokgak""), fulln"&amp;"ame, """"), 
    IF((H2:H999) + (condition = ""[] "") + (A2:A999 = """"), """", condition)
  )
)}"),"Extractible Unobtained ID")</f>
        <v>Extractible Unobtained ID</v>
      </c>
      <c r="P1" s="7" t="s">
        <v>1405</v>
      </c>
      <c r="Q1" s="7" t="s">
        <v>1406</v>
      </c>
    </row>
    <row r="2">
      <c r="A2" s="7" t="s">
        <v>1407</v>
      </c>
      <c r="B2" s="25" t="s">
        <v>12</v>
      </c>
      <c r="C2" s="385" t="s">
        <v>1408</v>
      </c>
      <c r="D2" s="385" t="s">
        <v>771</v>
      </c>
      <c r="E2" s="387" t="s">
        <v>134</v>
      </c>
      <c r="F2" s="7">
        <v>1.0</v>
      </c>
      <c r="G2" s="386">
        <f t="shared" ref="G2:G39" si="1">DATE(2023, 2, 27)</f>
        <v>44984</v>
      </c>
      <c r="H2" s="7" t="b">
        <v>1</v>
      </c>
      <c r="I2" s="388" t="str">
        <f>IFERROR(__xludf.DUMMYFUNCTION("""COMPUTED_VALUE"""),"[LCB Sinner] Yi Sang")</f>
        <v>[LCB Sinner] Yi Sang</v>
      </c>
      <c r="J2" s="7">
        <v>18.0</v>
      </c>
      <c r="K2" s="7">
        <v>935.0</v>
      </c>
      <c r="L2" s="7">
        <v>3.0</v>
      </c>
      <c r="M2" s="387" t="s">
        <v>1409</v>
      </c>
      <c r="N2" s="8" t="str">
        <f>IFERROR(__xludf.DUMMYFUNCTION("""COMPUTED_VALUE"""),"")</f>
        <v/>
      </c>
      <c r="O2" s="8" t="str">
        <f>IFERROR(__xludf.DUMMYFUNCTION("""COMPUTED_VALUE"""),"")</f>
        <v/>
      </c>
      <c r="P2" s="7" t="s">
        <v>1410</v>
      </c>
      <c r="Q2" s="7"/>
    </row>
    <row r="3">
      <c r="A3" s="7" t="s">
        <v>1407</v>
      </c>
      <c r="B3" s="25" t="s">
        <v>153</v>
      </c>
      <c r="C3" s="385" t="s">
        <v>1408</v>
      </c>
      <c r="D3" s="385" t="s">
        <v>771</v>
      </c>
      <c r="E3" s="387" t="s">
        <v>1411</v>
      </c>
      <c r="F3" s="7">
        <v>2.0</v>
      </c>
      <c r="G3" s="386">
        <f t="shared" si="1"/>
        <v>44984</v>
      </c>
      <c r="H3" s="7" t="b">
        <v>1</v>
      </c>
      <c r="I3" s="388" t="str">
        <f>IFERROR(__xludf.DUMMYFUNCTION("""COMPUTED_VALUE"""),"[LCB Sinner] Faust")</f>
        <v>[LCB Sinner] Faust</v>
      </c>
      <c r="J3" s="7">
        <v>20.0</v>
      </c>
      <c r="K3" s="7">
        <v>139.0</v>
      </c>
      <c r="L3" s="7">
        <v>3.0</v>
      </c>
      <c r="M3" s="387" t="s">
        <v>1412</v>
      </c>
      <c r="N3" s="8" t="str">
        <f>IFERROR(__xludf.DUMMYFUNCTION("""COMPUTED_VALUE"""),"")</f>
        <v/>
      </c>
      <c r="O3" s="8" t="str">
        <f>IFERROR(__xludf.DUMMYFUNCTION("""COMPUTED_VALUE"""),"")</f>
        <v/>
      </c>
      <c r="P3" s="7" t="s">
        <v>1410</v>
      </c>
      <c r="Q3" s="7"/>
    </row>
    <row r="4">
      <c r="A4" s="7" t="s">
        <v>1407</v>
      </c>
      <c r="B4" s="25" t="s">
        <v>154</v>
      </c>
      <c r="C4" s="385" t="s">
        <v>1408</v>
      </c>
      <c r="D4" s="385" t="s">
        <v>771</v>
      </c>
      <c r="E4" s="387" t="s">
        <v>143</v>
      </c>
      <c r="F4" s="7">
        <v>3.0</v>
      </c>
      <c r="G4" s="386">
        <f t="shared" si="1"/>
        <v>44984</v>
      </c>
      <c r="H4" s="7" t="b">
        <v>1</v>
      </c>
      <c r="I4" s="388" t="str">
        <f>IFERROR(__xludf.DUMMYFUNCTION("""COMPUTED_VALUE"""),"[LCB Sinner] Don Quixote")</f>
        <v>[LCB Sinner] Don Quixote</v>
      </c>
      <c r="J4" s="7">
        <v>18.0</v>
      </c>
      <c r="K4" s="7">
        <v>896.0</v>
      </c>
      <c r="L4" s="7">
        <v>3.0</v>
      </c>
      <c r="M4" s="387" t="s">
        <v>1413</v>
      </c>
      <c r="N4" s="8" t="str">
        <f>IFERROR(__xludf.DUMMYFUNCTION("""COMPUTED_VALUE"""),"")</f>
        <v/>
      </c>
      <c r="O4" s="8" t="str">
        <f>IFERROR(__xludf.DUMMYFUNCTION("""COMPUTED_VALUE"""),"")</f>
        <v/>
      </c>
      <c r="P4" s="7" t="s">
        <v>1410</v>
      </c>
      <c r="Q4" s="7"/>
    </row>
    <row r="5">
      <c r="A5" s="7" t="s">
        <v>1407</v>
      </c>
      <c r="B5" s="25" t="s">
        <v>155</v>
      </c>
      <c r="C5" s="385" t="s">
        <v>1408</v>
      </c>
      <c r="D5" s="385" t="s">
        <v>771</v>
      </c>
      <c r="E5" s="387" t="s">
        <v>765</v>
      </c>
      <c r="F5" s="7">
        <v>4.0</v>
      </c>
      <c r="G5" s="386">
        <f t="shared" si="1"/>
        <v>44984</v>
      </c>
      <c r="H5" s="7" t="b">
        <v>1</v>
      </c>
      <c r="I5" s="388" t="str">
        <f>IFERROR(__xludf.DUMMYFUNCTION("""COMPUTED_VALUE"""),"[LCB Sinner] Ryoshu")</f>
        <v>[LCB Sinner] Ryoshu</v>
      </c>
      <c r="J5" s="7">
        <v>18.0</v>
      </c>
      <c r="K5" s="7">
        <v>937.0</v>
      </c>
      <c r="L5" s="7">
        <v>3.0</v>
      </c>
      <c r="M5" s="387" t="s">
        <v>1414</v>
      </c>
      <c r="N5" s="8" t="str">
        <f>IFERROR(__xludf.DUMMYFUNCTION("""COMPUTED_VALUE"""),"")</f>
        <v/>
      </c>
      <c r="O5" s="8" t="str">
        <f>IFERROR(__xludf.DUMMYFUNCTION("""COMPUTED_VALUE"""),"")</f>
        <v/>
      </c>
      <c r="P5" s="7" t="s">
        <v>1410</v>
      </c>
      <c r="Q5" s="7"/>
    </row>
    <row r="6">
      <c r="A6" s="7" t="s">
        <v>1407</v>
      </c>
      <c r="B6" s="25" t="s">
        <v>156</v>
      </c>
      <c r="C6" s="385" t="s">
        <v>1408</v>
      </c>
      <c r="D6" s="385" t="s">
        <v>771</v>
      </c>
      <c r="E6" s="387" t="s">
        <v>123</v>
      </c>
      <c r="F6" s="7">
        <v>5.0</v>
      </c>
      <c r="G6" s="386">
        <f t="shared" si="1"/>
        <v>44984</v>
      </c>
      <c r="H6" s="7" t="b">
        <v>1</v>
      </c>
      <c r="I6" s="388" t="str">
        <f>IFERROR(__xludf.DUMMYFUNCTION("""COMPUTED_VALUE"""),"[LCB Sinner] Meursault")</f>
        <v>[LCB Sinner] Meursault</v>
      </c>
      <c r="J6" s="7">
        <v>3.0</v>
      </c>
      <c r="K6" s="7">
        <v>12.0</v>
      </c>
      <c r="L6" s="7">
        <v>3.0</v>
      </c>
      <c r="M6" s="387" t="s">
        <v>1415</v>
      </c>
      <c r="N6" s="8" t="str">
        <f>IFERROR(__xludf.DUMMYFUNCTION("""COMPUTED_VALUE"""),"")</f>
        <v/>
      </c>
      <c r="O6" s="8" t="str">
        <f>IFERROR(__xludf.DUMMYFUNCTION("""COMPUTED_VALUE"""),"")</f>
        <v/>
      </c>
      <c r="P6" s="7" t="s">
        <v>1410</v>
      </c>
      <c r="Q6" s="7"/>
    </row>
    <row r="7">
      <c r="A7" s="7" t="s">
        <v>1407</v>
      </c>
      <c r="B7" s="25" t="s">
        <v>157</v>
      </c>
      <c r="C7" s="385" t="s">
        <v>1408</v>
      </c>
      <c r="D7" s="385" t="s">
        <v>771</v>
      </c>
      <c r="E7" s="387" t="s">
        <v>1416</v>
      </c>
      <c r="F7" s="7">
        <v>6.0</v>
      </c>
      <c r="G7" s="386">
        <f t="shared" si="1"/>
        <v>44984</v>
      </c>
      <c r="H7" s="7" t="b">
        <v>1</v>
      </c>
      <c r="I7" s="388" t="str">
        <f>IFERROR(__xludf.DUMMYFUNCTION("""COMPUTED_VALUE"""),"[LCB Sinner] Hong Lu")</f>
        <v>[LCB Sinner] Hong Lu</v>
      </c>
      <c r="J7" s="7">
        <v>18.0</v>
      </c>
      <c r="K7" s="7">
        <v>898.0</v>
      </c>
      <c r="L7" s="7">
        <v>3.0</v>
      </c>
      <c r="M7" s="387" t="s">
        <v>1417</v>
      </c>
      <c r="N7" s="8" t="str">
        <f>IFERROR(__xludf.DUMMYFUNCTION("""COMPUTED_VALUE"""),"")</f>
        <v/>
      </c>
      <c r="O7" s="8" t="str">
        <f>IFERROR(__xludf.DUMMYFUNCTION("""COMPUTED_VALUE"""),"")</f>
        <v/>
      </c>
      <c r="P7" s="7" t="s">
        <v>1410</v>
      </c>
      <c r="Q7" s="7"/>
    </row>
    <row r="8">
      <c r="A8" s="7" t="s">
        <v>1407</v>
      </c>
      <c r="B8" s="25" t="s">
        <v>158</v>
      </c>
      <c r="C8" s="385" t="s">
        <v>1408</v>
      </c>
      <c r="D8" s="385" t="s">
        <v>771</v>
      </c>
      <c r="E8" s="387" t="s">
        <v>123</v>
      </c>
      <c r="F8" s="7">
        <v>7.0</v>
      </c>
      <c r="G8" s="386">
        <f t="shared" si="1"/>
        <v>44984</v>
      </c>
      <c r="H8" s="7" t="b">
        <v>1</v>
      </c>
      <c r="I8" s="388" t="str">
        <f>IFERROR(__xludf.DUMMYFUNCTION("""COMPUTED_VALUE"""),"[LCB Sinner] Heathcliff")</f>
        <v>[LCB Sinner] Heathcliff</v>
      </c>
      <c r="J8" s="7">
        <v>20.0</v>
      </c>
      <c r="K8" s="7">
        <v>347.0</v>
      </c>
      <c r="L8" s="7">
        <v>3.0</v>
      </c>
      <c r="M8" s="387" t="s">
        <v>1418</v>
      </c>
      <c r="N8" s="8" t="str">
        <f>IFERROR(__xludf.DUMMYFUNCTION("""COMPUTED_VALUE"""),"")</f>
        <v/>
      </c>
      <c r="O8" s="8" t="str">
        <f>IFERROR(__xludf.DUMMYFUNCTION("""COMPUTED_VALUE"""),"")</f>
        <v/>
      </c>
      <c r="P8" s="7" t="s">
        <v>1410</v>
      </c>
      <c r="Q8" s="7"/>
    </row>
    <row r="9">
      <c r="A9" s="7" t="s">
        <v>1407</v>
      </c>
      <c r="B9" s="25" t="s">
        <v>122</v>
      </c>
      <c r="C9" s="385" t="s">
        <v>1408</v>
      </c>
      <c r="D9" s="385" t="s">
        <v>771</v>
      </c>
      <c r="E9" s="387" t="s">
        <v>123</v>
      </c>
      <c r="F9" s="7">
        <v>8.0</v>
      </c>
      <c r="G9" s="386">
        <f t="shared" si="1"/>
        <v>44984</v>
      </c>
      <c r="H9" s="7" t="b">
        <v>1</v>
      </c>
      <c r="I9" s="388" t="str">
        <f>IFERROR(__xludf.DUMMYFUNCTION("""COMPUTED_VALUE"""),"[LCB Sinner] Ishmael")</f>
        <v>[LCB Sinner] Ishmael</v>
      </c>
      <c r="J9" s="7">
        <v>1.0</v>
      </c>
      <c r="K9" s="7">
        <v>0.0</v>
      </c>
      <c r="L9" s="7">
        <v>3.0</v>
      </c>
      <c r="M9" s="387" t="s">
        <v>1419</v>
      </c>
      <c r="N9" s="8" t="str">
        <f>IFERROR(__xludf.DUMMYFUNCTION("""COMPUTED_VALUE"""),"")</f>
        <v/>
      </c>
      <c r="O9" s="8" t="str">
        <f>IFERROR(__xludf.DUMMYFUNCTION("""COMPUTED_VALUE"""),"")</f>
        <v/>
      </c>
      <c r="P9" s="7" t="s">
        <v>1410</v>
      </c>
      <c r="Q9" s="7"/>
    </row>
    <row r="10">
      <c r="A10" s="7" t="s">
        <v>1407</v>
      </c>
      <c r="B10" s="25" t="s">
        <v>159</v>
      </c>
      <c r="C10" s="385" t="s">
        <v>1408</v>
      </c>
      <c r="D10" s="385" t="s">
        <v>771</v>
      </c>
      <c r="E10" s="387" t="s">
        <v>143</v>
      </c>
      <c r="F10" s="7">
        <v>9.0</v>
      </c>
      <c r="G10" s="386">
        <f t="shared" si="1"/>
        <v>44984</v>
      </c>
      <c r="H10" s="7" t="b">
        <v>1</v>
      </c>
      <c r="I10" s="388" t="str">
        <f>IFERROR(__xludf.DUMMYFUNCTION("""COMPUTED_VALUE"""),"[LCB Sinner] Rodion")</f>
        <v>[LCB Sinner] Rodion</v>
      </c>
      <c r="J10" s="7">
        <v>4.0</v>
      </c>
      <c r="K10" s="7">
        <v>11.0</v>
      </c>
      <c r="L10" s="7">
        <v>3.0</v>
      </c>
      <c r="M10" s="8"/>
      <c r="N10" s="8" t="str">
        <f>IFERROR(__xludf.DUMMYFUNCTION("""COMPUTED_VALUE"""),"")</f>
        <v/>
      </c>
      <c r="O10" s="8" t="str">
        <f>IFERROR(__xludf.DUMMYFUNCTION("""COMPUTED_VALUE"""),"")</f>
        <v/>
      </c>
      <c r="P10" s="7" t="s">
        <v>1410</v>
      </c>
      <c r="Q10" s="7"/>
    </row>
    <row r="11">
      <c r="A11" s="7" t="s">
        <v>1407</v>
      </c>
      <c r="B11" s="25" t="s">
        <v>160</v>
      </c>
      <c r="C11" s="385" t="s">
        <v>1408</v>
      </c>
      <c r="D11" s="385" t="s">
        <v>771</v>
      </c>
      <c r="E11" s="387" t="s">
        <v>752</v>
      </c>
      <c r="F11" s="7">
        <v>10.0</v>
      </c>
      <c r="G11" s="386">
        <f t="shared" si="1"/>
        <v>44984</v>
      </c>
      <c r="H11" s="7" t="b">
        <v>1</v>
      </c>
      <c r="I11" s="388" t="str">
        <f>IFERROR(__xludf.DUMMYFUNCTION("""COMPUTED_VALUE"""),"[LCB Sinner] Sinclair")</f>
        <v>[LCB Sinner] Sinclair</v>
      </c>
      <c r="J11" s="7">
        <v>19.0</v>
      </c>
      <c r="K11" s="7">
        <v>55.0</v>
      </c>
      <c r="L11" s="7">
        <v>3.0</v>
      </c>
      <c r="M11" s="387" t="s">
        <v>1420</v>
      </c>
      <c r="N11" s="8" t="str">
        <f>IFERROR(__xludf.DUMMYFUNCTION("""COMPUTED_VALUE"""),"")</f>
        <v/>
      </c>
      <c r="O11" s="8" t="str">
        <f>IFERROR(__xludf.DUMMYFUNCTION("""COMPUTED_VALUE"""),"")</f>
        <v/>
      </c>
      <c r="P11" s="7" t="s">
        <v>1410</v>
      </c>
      <c r="Q11" s="7"/>
    </row>
    <row r="12">
      <c r="A12" s="7" t="s">
        <v>1407</v>
      </c>
      <c r="B12" s="25" t="s">
        <v>161</v>
      </c>
      <c r="C12" s="385" t="s">
        <v>1408</v>
      </c>
      <c r="D12" s="385" t="s">
        <v>771</v>
      </c>
      <c r="E12" s="387" t="s">
        <v>752</v>
      </c>
      <c r="F12" s="7">
        <v>11.0</v>
      </c>
      <c r="G12" s="386">
        <f t="shared" si="1"/>
        <v>44984</v>
      </c>
      <c r="H12" s="7" t="b">
        <v>1</v>
      </c>
      <c r="I12" s="388" t="str">
        <f>IFERROR(__xludf.DUMMYFUNCTION("""COMPUTED_VALUE"""),"[LCB Sinner] Outis")</f>
        <v>[LCB Sinner] Outis</v>
      </c>
      <c r="J12" s="7">
        <v>19.0</v>
      </c>
      <c r="K12" s="7">
        <v>48.0</v>
      </c>
      <c r="L12" s="7">
        <v>3.0</v>
      </c>
      <c r="M12" s="8"/>
      <c r="N12" s="8" t="str">
        <f>IFERROR(__xludf.DUMMYFUNCTION("""COMPUTED_VALUE"""),"")</f>
        <v/>
      </c>
      <c r="O12" s="8" t="str">
        <f>IFERROR(__xludf.DUMMYFUNCTION("""COMPUTED_VALUE"""),"")</f>
        <v/>
      </c>
      <c r="P12" s="7" t="s">
        <v>1410</v>
      </c>
      <c r="Q12" s="7"/>
    </row>
    <row r="13">
      <c r="A13" s="7" t="s">
        <v>1407</v>
      </c>
      <c r="B13" s="25" t="s">
        <v>162</v>
      </c>
      <c r="C13" s="385" t="s">
        <v>1408</v>
      </c>
      <c r="D13" s="385" t="s">
        <v>771</v>
      </c>
      <c r="E13" s="387" t="s">
        <v>752</v>
      </c>
      <c r="F13" s="7">
        <v>12.0</v>
      </c>
      <c r="G13" s="386">
        <f t="shared" si="1"/>
        <v>44984</v>
      </c>
      <c r="H13" s="7" t="b">
        <v>1</v>
      </c>
      <c r="I13" s="388" t="str">
        <f>IFERROR(__xludf.DUMMYFUNCTION("""COMPUTED_VALUE"""),"[LCB Sinner] Gregor")</f>
        <v>[LCB Sinner] Gregor</v>
      </c>
      <c r="J13" s="7">
        <v>20.0</v>
      </c>
      <c r="K13" s="7">
        <v>113.0</v>
      </c>
      <c r="L13" s="7">
        <v>3.0</v>
      </c>
      <c r="M13" s="387" t="s">
        <v>1421</v>
      </c>
      <c r="N13" s="8" t="str">
        <f>IFERROR(__xludf.DUMMYFUNCTION("""COMPUTED_VALUE"""),"")</f>
        <v/>
      </c>
      <c r="O13" s="8" t="str">
        <f>IFERROR(__xludf.DUMMYFUNCTION("""COMPUTED_VALUE"""),"")</f>
        <v/>
      </c>
      <c r="P13" s="7" t="s">
        <v>1410</v>
      </c>
      <c r="Q13" s="7"/>
    </row>
    <row r="14">
      <c r="A14" s="7" t="s">
        <v>1422</v>
      </c>
      <c r="B14" s="25" t="s">
        <v>12</v>
      </c>
      <c r="C14" s="385" t="s">
        <v>1423</v>
      </c>
      <c r="D14" s="385" t="s">
        <v>771</v>
      </c>
      <c r="E14" s="387" t="s">
        <v>752</v>
      </c>
      <c r="F14" s="7">
        <v>13.0</v>
      </c>
      <c r="G14" s="386">
        <f t="shared" si="1"/>
        <v>44984</v>
      </c>
      <c r="H14" s="7" t="b">
        <v>1</v>
      </c>
      <c r="I14" s="388" t="str">
        <f>IFERROR(__xludf.DUMMYFUNCTION("""COMPUTED_VALUE"""),"[Seven Assoc. South Section 6] Yi Sang")</f>
        <v>[Seven Assoc. South Section 6] Yi Sang</v>
      </c>
      <c r="J14" s="7">
        <v>1.0</v>
      </c>
      <c r="K14" s="7">
        <v>0.0</v>
      </c>
      <c r="L14" s="7">
        <v>3.0</v>
      </c>
      <c r="M14" s="387" t="s">
        <v>1424</v>
      </c>
      <c r="N14" s="8" t="str">
        <f>IFERROR(__xludf.DUMMYFUNCTION("""COMPUTED_VALUE"""),"")</f>
        <v/>
      </c>
      <c r="O14" s="8" t="str">
        <f>IFERROR(__xludf.DUMMYFUNCTION("""COMPUTED_VALUE"""),"")</f>
        <v/>
      </c>
      <c r="P14" s="8"/>
      <c r="Q14" s="8"/>
    </row>
    <row r="15">
      <c r="A15" s="7" t="s">
        <v>1425</v>
      </c>
      <c r="B15" s="25" t="s">
        <v>12</v>
      </c>
      <c r="C15" s="385" t="s">
        <v>1426</v>
      </c>
      <c r="D15" s="385" t="s">
        <v>771</v>
      </c>
      <c r="E15" s="387" t="s">
        <v>765</v>
      </c>
      <c r="F15" s="7">
        <v>14.0</v>
      </c>
      <c r="G15" s="386">
        <f t="shared" si="1"/>
        <v>44984</v>
      </c>
      <c r="H15" s="7" t="b">
        <v>1</v>
      </c>
      <c r="I15" s="388" t="str">
        <f>IFERROR(__xludf.DUMMYFUNCTION("""COMPUTED_VALUE"""),"[Blade Lineage Salsu] Yi Sang")</f>
        <v>[Blade Lineage Salsu] Yi Sang</v>
      </c>
      <c r="J15" s="7">
        <v>1.0</v>
      </c>
      <c r="K15" s="8"/>
      <c r="L15" s="7">
        <v>3.0</v>
      </c>
      <c r="M15" s="8"/>
      <c r="N15" s="8" t="str">
        <f>IFERROR(__xludf.DUMMYFUNCTION("""COMPUTED_VALUE"""),"")</f>
        <v/>
      </c>
      <c r="O15" s="8" t="str">
        <f>IFERROR(__xludf.DUMMYFUNCTION("""COMPUTED_VALUE"""),"")</f>
        <v/>
      </c>
      <c r="P15" s="8"/>
      <c r="Q15" s="8"/>
    </row>
    <row r="16">
      <c r="A16" s="7" t="s">
        <v>1427</v>
      </c>
      <c r="B16" s="25" t="s">
        <v>153</v>
      </c>
      <c r="C16" s="385" t="s">
        <v>1423</v>
      </c>
      <c r="D16" s="385" t="s">
        <v>771</v>
      </c>
      <c r="E16" s="387" t="s">
        <v>148</v>
      </c>
      <c r="F16" s="7">
        <v>17.0</v>
      </c>
      <c r="G16" s="386">
        <f t="shared" si="1"/>
        <v>44984</v>
      </c>
      <c r="H16" s="7" t="b">
        <v>1</v>
      </c>
      <c r="I16" s="388" t="str">
        <f>IFERROR(__xludf.DUMMYFUNCTION("""COMPUTED_VALUE"""),"[W Corp. L2 Cleanup Agent] Faust")</f>
        <v>[W Corp. L2 Cleanup Agent] Faust</v>
      </c>
      <c r="J16" s="7">
        <v>6.0</v>
      </c>
      <c r="K16" s="7">
        <v>24.0</v>
      </c>
      <c r="L16" s="7">
        <v>3.0</v>
      </c>
      <c r="M16" s="387" t="s">
        <v>1428</v>
      </c>
      <c r="N16" s="8" t="str">
        <f>IFERROR(__xludf.DUMMYFUNCTION("""COMPUTED_VALUE"""),"")</f>
        <v/>
      </c>
      <c r="O16" s="8" t="str">
        <f>IFERROR(__xludf.DUMMYFUNCTION("""COMPUTED_VALUE"""),"")</f>
        <v/>
      </c>
      <c r="P16" s="8"/>
      <c r="Q16" s="8"/>
    </row>
    <row r="17">
      <c r="A17" s="7" t="s">
        <v>1429</v>
      </c>
      <c r="B17" s="25" t="s">
        <v>153</v>
      </c>
      <c r="C17" s="385" t="s">
        <v>1423</v>
      </c>
      <c r="D17" s="385" t="s">
        <v>1430</v>
      </c>
      <c r="E17" s="387" t="s">
        <v>1431</v>
      </c>
      <c r="F17" s="7">
        <v>18.0</v>
      </c>
      <c r="G17" s="386">
        <f t="shared" si="1"/>
        <v>44984</v>
      </c>
      <c r="H17" s="7" t="b">
        <v>1</v>
      </c>
      <c r="I17" s="388" t="str">
        <f>IFERROR(__xludf.DUMMYFUNCTION("""COMPUTED_VALUE"""),"[Lobotomy Corp. Remnant] Faust")</f>
        <v>[Lobotomy Corp. Remnant] Faust</v>
      </c>
      <c r="J17" s="7">
        <v>1.0</v>
      </c>
      <c r="K17" s="7">
        <v>0.0</v>
      </c>
      <c r="L17" s="7">
        <v>3.0</v>
      </c>
      <c r="M17" s="387" t="s">
        <v>1432</v>
      </c>
      <c r="N17" s="8" t="str">
        <f>IFERROR(__xludf.DUMMYFUNCTION("""COMPUTED_VALUE"""),"")</f>
        <v/>
      </c>
      <c r="O17" s="8" t="str">
        <f>IFERROR(__xludf.DUMMYFUNCTION("""COMPUTED_VALUE"""),"")</f>
        <v/>
      </c>
      <c r="P17" s="8"/>
      <c r="Q17" s="8"/>
    </row>
    <row r="18">
      <c r="A18" s="7" t="s">
        <v>1433</v>
      </c>
      <c r="B18" s="25" t="s">
        <v>154</v>
      </c>
      <c r="C18" s="385" t="s">
        <v>1426</v>
      </c>
      <c r="D18" s="385" t="s">
        <v>771</v>
      </c>
      <c r="E18" s="387" t="s">
        <v>1434</v>
      </c>
      <c r="F18" s="7">
        <v>22.0</v>
      </c>
      <c r="G18" s="386">
        <f t="shared" si="1"/>
        <v>44984</v>
      </c>
      <c r="H18" s="8" t="b">
        <v>0</v>
      </c>
      <c r="I18" s="388" t="str">
        <f>IFERROR(__xludf.DUMMYFUNCTION("""COMPUTED_VALUE"""),"")</f>
        <v/>
      </c>
      <c r="J18" s="7"/>
      <c r="K18" s="8"/>
      <c r="L18" s="8"/>
      <c r="M18" s="387" t="s">
        <v>1435</v>
      </c>
      <c r="N18" s="8" t="str">
        <f>IFERROR(__xludf.DUMMYFUNCTION("""COMPUTED_VALUE"""),"ØØØ Standard Fare [W Corp. L3 Cleanup Agent] Don Quixote")</f>
        <v>ØØØ Standard Fare [W Corp. L3 Cleanup Agent] Don Quixote</v>
      </c>
      <c r="O18" s="8" t="str">
        <f>IFERROR(__xludf.DUMMYFUNCTION("""COMPUTED_VALUE"""),"")</f>
        <v/>
      </c>
      <c r="P18" s="8"/>
      <c r="Q18" s="8"/>
    </row>
    <row r="19">
      <c r="A19" s="7" t="s">
        <v>1436</v>
      </c>
      <c r="B19" s="25" t="s">
        <v>154</v>
      </c>
      <c r="C19" s="385" t="s">
        <v>1423</v>
      </c>
      <c r="D19" s="385" t="s">
        <v>771</v>
      </c>
      <c r="E19" s="387" t="s">
        <v>765</v>
      </c>
      <c r="F19" s="7">
        <v>23.0</v>
      </c>
      <c r="G19" s="386">
        <f t="shared" si="1"/>
        <v>44984</v>
      </c>
      <c r="H19" s="7" t="b">
        <v>1</v>
      </c>
      <c r="I19" s="388" t="str">
        <f>IFERROR(__xludf.DUMMYFUNCTION("""COMPUTED_VALUE"""),"[Shi Assoc. South Section 5 Director] Don Quixote")</f>
        <v>[Shi Assoc. South Section 5 Director] Don Quixote</v>
      </c>
      <c r="J19" s="7">
        <v>1.0</v>
      </c>
      <c r="K19" s="7">
        <v>0.0</v>
      </c>
      <c r="L19" s="7">
        <v>1.0</v>
      </c>
      <c r="M19" s="387" t="s">
        <v>1432</v>
      </c>
      <c r="N19" s="8" t="str">
        <f>IFERROR(__xludf.DUMMYFUNCTION("""COMPUTED_VALUE"""),"")</f>
        <v/>
      </c>
      <c r="O19" s="8" t="str">
        <f>IFERROR(__xludf.DUMMYFUNCTION("""COMPUTED_VALUE"""),"")</f>
        <v/>
      </c>
      <c r="P19" s="8"/>
      <c r="Q19" s="8"/>
    </row>
    <row r="20">
      <c r="A20" s="7" t="s">
        <v>1422</v>
      </c>
      <c r="B20" s="25" t="s">
        <v>155</v>
      </c>
      <c r="C20" s="385" t="s">
        <v>1423</v>
      </c>
      <c r="D20" s="385" t="s">
        <v>771</v>
      </c>
      <c r="E20" s="387" t="s">
        <v>752</v>
      </c>
      <c r="F20" s="7">
        <v>26.0</v>
      </c>
      <c r="G20" s="386">
        <f t="shared" si="1"/>
        <v>44984</v>
      </c>
      <c r="H20" s="7" t="b">
        <v>1</v>
      </c>
      <c r="I20" s="388" t="str">
        <f>IFERROR(__xludf.DUMMYFUNCTION("""COMPUTED_VALUE"""),"[Seven Assoc. South Section 6] Ryoshu")</f>
        <v>[Seven Assoc. South Section 6] Ryoshu</v>
      </c>
      <c r="J20" s="7">
        <v>1.0</v>
      </c>
      <c r="K20" s="7">
        <v>0.0</v>
      </c>
      <c r="L20" s="7">
        <v>3.0</v>
      </c>
      <c r="M20" s="387" t="s">
        <v>1437</v>
      </c>
      <c r="N20" s="8" t="str">
        <f>IFERROR(__xludf.DUMMYFUNCTION("""COMPUTED_VALUE"""),"")</f>
        <v/>
      </c>
      <c r="O20" s="8" t="str">
        <f>IFERROR(__xludf.DUMMYFUNCTION("""COMPUTED_VALUE"""),"")</f>
        <v/>
      </c>
      <c r="P20" s="8"/>
      <c r="Q20" s="8"/>
    </row>
    <row r="21">
      <c r="A21" s="7" t="s">
        <v>1438</v>
      </c>
      <c r="B21" s="25" t="s">
        <v>155</v>
      </c>
      <c r="C21" s="385" t="s">
        <v>1426</v>
      </c>
      <c r="D21" s="385" t="s">
        <v>771</v>
      </c>
      <c r="E21" s="387" t="s">
        <v>143</v>
      </c>
      <c r="F21" s="7">
        <v>27.0</v>
      </c>
      <c r="G21" s="386">
        <f t="shared" si="1"/>
        <v>44984</v>
      </c>
      <c r="H21" s="7" t="b">
        <v>1</v>
      </c>
      <c r="I21" s="388" t="str">
        <f>IFERROR(__xludf.DUMMYFUNCTION("""COMPUTED_VALUE"""),"[Kurokumo Clan Wakashu] Ryoshu")</f>
        <v>[Kurokumo Clan Wakashu] Ryoshu</v>
      </c>
      <c r="J21" s="7">
        <v>1.0</v>
      </c>
      <c r="K21" s="7">
        <v>0.0</v>
      </c>
      <c r="L21" s="7">
        <v>1.0</v>
      </c>
      <c r="M21" s="387" t="s">
        <v>1439</v>
      </c>
      <c r="N21" s="8" t="str">
        <f>IFERROR(__xludf.DUMMYFUNCTION("""COMPUTED_VALUE"""),"")</f>
        <v/>
      </c>
      <c r="O21" s="8" t="str">
        <f>IFERROR(__xludf.DUMMYFUNCTION("""COMPUTED_VALUE"""),"")</f>
        <v/>
      </c>
      <c r="P21" s="8"/>
      <c r="Q21" s="8"/>
    </row>
    <row r="22">
      <c r="A22" s="7" t="s">
        <v>1440</v>
      </c>
      <c r="B22" s="25" t="s">
        <v>156</v>
      </c>
      <c r="C22" s="385" t="s">
        <v>1423</v>
      </c>
      <c r="D22" s="385" t="s">
        <v>771</v>
      </c>
      <c r="E22" s="387" t="s">
        <v>138</v>
      </c>
      <c r="F22" s="7">
        <v>30.0</v>
      </c>
      <c r="G22" s="386">
        <f t="shared" si="1"/>
        <v>44984</v>
      </c>
      <c r="H22" s="7" t="b">
        <v>1</v>
      </c>
      <c r="I22" s="388" t="str">
        <f>IFERROR(__xludf.DUMMYFUNCTION("""COMPUTED_VALUE"""),"[Liu Assoc. South Section 6] Meursault")</f>
        <v>[Liu Assoc. South Section 6] Meursault</v>
      </c>
      <c r="J22" s="7">
        <v>1.0</v>
      </c>
      <c r="K22" s="7">
        <v>0.0</v>
      </c>
      <c r="L22" s="7">
        <v>3.0</v>
      </c>
      <c r="M22" s="8"/>
      <c r="N22" s="8" t="str">
        <f>IFERROR(__xludf.DUMMYFUNCTION("""COMPUTED_VALUE"""),"")</f>
        <v/>
      </c>
      <c r="O22" s="8" t="str">
        <f>IFERROR(__xludf.DUMMYFUNCTION("""COMPUTED_VALUE"""),"")</f>
        <v/>
      </c>
      <c r="P22" s="8"/>
      <c r="Q22" s="8"/>
    </row>
    <row r="23">
      <c r="A23" s="7" t="s">
        <v>1427</v>
      </c>
      <c r="B23" s="25" t="s">
        <v>156</v>
      </c>
      <c r="C23" s="385" t="s">
        <v>1426</v>
      </c>
      <c r="D23" s="385" t="s">
        <v>771</v>
      </c>
      <c r="E23" s="387" t="s">
        <v>1434</v>
      </c>
      <c r="F23" s="7">
        <v>32.0</v>
      </c>
      <c r="G23" s="386">
        <f t="shared" si="1"/>
        <v>44984</v>
      </c>
      <c r="H23" s="7" t="b">
        <v>1</v>
      </c>
      <c r="I23" s="388" t="str">
        <f>IFERROR(__xludf.DUMMYFUNCTION("""COMPUTED_VALUE"""),"[W Corp. L2 Cleanup Agent] Meursault")</f>
        <v>[W Corp. L2 Cleanup Agent] Meursault</v>
      </c>
      <c r="J23" s="7">
        <v>10.0</v>
      </c>
      <c r="K23" s="7">
        <v>90.0</v>
      </c>
      <c r="L23" s="7">
        <v>3.0</v>
      </c>
      <c r="M23" s="387" t="s">
        <v>1441</v>
      </c>
      <c r="N23" s="8" t="str">
        <f>IFERROR(__xludf.DUMMYFUNCTION("""COMPUTED_VALUE"""),"")</f>
        <v/>
      </c>
      <c r="O23" s="8" t="str">
        <f>IFERROR(__xludf.DUMMYFUNCTION("""COMPUTED_VALUE"""),"")</f>
        <v/>
      </c>
      <c r="P23" s="8"/>
      <c r="Q23" s="8"/>
    </row>
    <row r="24">
      <c r="A24" s="7" t="s">
        <v>1438</v>
      </c>
      <c r="B24" s="25" t="s">
        <v>157</v>
      </c>
      <c r="C24" s="385" t="s">
        <v>1423</v>
      </c>
      <c r="D24" s="385" t="s">
        <v>771</v>
      </c>
      <c r="E24" s="387" t="s">
        <v>143</v>
      </c>
      <c r="F24" s="7">
        <v>35.0</v>
      </c>
      <c r="G24" s="386">
        <f t="shared" si="1"/>
        <v>44984</v>
      </c>
      <c r="H24" s="7" t="b">
        <v>1</v>
      </c>
      <c r="I24" s="388" t="str">
        <f>IFERROR(__xludf.DUMMYFUNCTION("""COMPUTED_VALUE"""),"[Kurokumo Clan Wakashu] Hong Lu")</f>
        <v>[Kurokumo Clan Wakashu] Hong Lu</v>
      </c>
      <c r="J24" s="7">
        <v>1.0</v>
      </c>
      <c r="K24" s="7">
        <v>0.0</v>
      </c>
      <c r="L24" s="7">
        <v>3.0</v>
      </c>
      <c r="M24" s="387" t="s">
        <v>1442</v>
      </c>
      <c r="N24" s="8" t="str">
        <f>IFERROR(__xludf.DUMMYFUNCTION("""COMPUTED_VALUE"""),"")</f>
        <v/>
      </c>
      <c r="O24" s="8" t="str">
        <f>IFERROR(__xludf.DUMMYFUNCTION("""COMPUTED_VALUE"""),"")</f>
        <v/>
      </c>
      <c r="P24" s="8"/>
      <c r="Q24" s="8"/>
    </row>
    <row r="25">
      <c r="A25" s="7" t="s">
        <v>1443</v>
      </c>
      <c r="B25" s="25" t="s">
        <v>157</v>
      </c>
      <c r="C25" s="385" t="s">
        <v>1426</v>
      </c>
      <c r="D25" s="385" t="s">
        <v>1430</v>
      </c>
      <c r="E25" s="387" t="s">
        <v>143</v>
      </c>
      <c r="F25" s="7">
        <v>38.0</v>
      </c>
      <c r="G25" s="386">
        <f t="shared" si="1"/>
        <v>44984</v>
      </c>
      <c r="H25" s="7" t="b">
        <v>1</v>
      </c>
      <c r="I25" s="388" t="str">
        <f>IFERROR(__xludf.DUMMYFUNCTION("""COMPUTED_VALUE"""),"[Tingtang Gang Gangleader] Hong Lu")</f>
        <v>[Tingtang Gang Gangleader] Hong Lu</v>
      </c>
      <c r="J25" s="7">
        <v>4.0</v>
      </c>
      <c r="K25" s="7">
        <v>5.0</v>
      </c>
      <c r="L25" s="7">
        <v>3.0</v>
      </c>
      <c r="M25" s="8"/>
      <c r="N25" s="8" t="str">
        <f>IFERROR(__xludf.DUMMYFUNCTION("""COMPUTED_VALUE"""),"")</f>
        <v/>
      </c>
      <c r="O25" s="8" t="str">
        <f>IFERROR(__xludf.DUMMYFUNCTION("""COMPUTED_VALUE"""),"")</f>
        <v/>
      </c>
      <c r="P25" s="8"/>
      <c r="Q25" s="8"/>
    </row>
    <row r="26">
      <c r="A26" s="7" t="s">
        <v>1444</v>
      </c>
      <c r="B26" s="25" t="s">
        <v>158</v>
      </c>
      <c r="C26" s="385" t="s">
        <v>1423</v>
      </c>
      <c r="D26" s="385" t="s">
        <v>771</v>
      </c>
      <c r="E26" s="387" t="s">
        <v>765</v>
      </c>
      <c r="F26" s="7">
        <v>40.0</v>
      </c>
      <c r="G26" s="386">
        <f t="shared" si="1"/>
        <v>44984</v>
      </c>
      <c r="H26" s="7" t="b">
        <v>1</v>
      </c>
      <c r="I26" s="388" t="str">
        <f>IFERROR(__xludf.DUMMYFUNCTION("""COMPUTED_VALUE"""),"[Shi Assoc. South Section 5] Heathcliff")</f>
        <v>[Shi Assoc. South Section 5] Heathcliff</v>
      </c>
      <c r="J26" s="7">
        <v>28.0</v>
      </c>
      <c r="K26" s="7">
        <v>1978.0</v>
      </c>
      <c r="L26" s="7">
        <v>3.0</v>
      </c>
      <c r="M26" s="8"/>
      <c r="N26" s="8" t="str">
        <f>IFERROR(__xludf.DUMMYFUNCTION("""COMPUTED_VALUE"""),"")</f>
        <v/>
      </c>
      <c r="O26" s="8" t="str">
        <f>IFERROR(__xludf.DUMMYFUNCTION("""COMPUTED_VALUE"""),"")</f>
        <v/>
      </c>
      <c r="P26" s="8"/>
      <c r="Q26" s="8"/>
    </row>
    <row r="27">
      <c r="A27" s="7" t="s">
        <v>1445</v>
      </c>
      <c r="B27" s="25" t="s">
        <v>158</v>
      </c>
      <c r="C27" s="385" t="s">
        <v>1426</v>
      </c>
      <c r="D27" s="385" t="s">
        <v>771</v>
      </c>
      <c r="E27" s="387" t="s">
        <v>1446</v>
      </c>
      <c r="F27" s="7">
        <v>43.0</v>
      </c>
      <c r="G27" s="386">
        <f t="shared" si="1"/>
        <v>44984</v>
      </c>
      <c r="H27" s="8" t="b">
        <v>0</v>
      </c>
      <c r="I27" s="388" t="str">
        <f>IFERROR(__xludf.DUMMYFUNCTION("""COMPUTED_VALUE"""),"")</f>
        <v/>
      </c>
      <c r="J27" s="7"/>
      <c r="K27" s="8"/>
      <c r="L27" s="8"/>
      <c r="M27" s="387" t="s">
        <v>1447</v>
      </c>
      <c r="N27" s="8" t="str">
        <f>IFERROR(__xludf.DUMMYFUNCTION("""COMPUTED_VALUE"""),"ØØØ Standard Fare [R Corp. 4th Pack Rabbit] Heathcliff")</f>
        <v>ØØØ Standard Fare [R Corp. 4th Pack Rabbit] Heathcliff</v>
      </c>
      <c r="O27" s="8" t="str">
        <f>IFERROR(__xludf.DUMMYFUNCTION("""COMPUTED_VALUE"""),"")</f>
        <v/>
      </c>
      <c r="P27" s="8"/>
      <c r="Q27" s="8"/>
    </row>
    <row r="28">
      <c r="A28" s="7" t="s">
        <v>1448</v>
      </c>
      <c r="B28" s="25" t="s">
        <v>122</v>
      </c>
      <c r="C28" s="385" t="s">
        <v>1423</v>
      </c>
      <c r="D28" s="385" t="s">
        <v>1430</v>
      </c>
      <c r="E28" s="387" t="s">
        <v>1449</v>
      </c>
      <c r="F28" s="7">
        <v>45.0</v>
      </c>
      <c r="G28" s="386">
        <f t="shared" si="1"/>
        <v>44984</v>
      </c>
      <c r="H28" s="7" t="b">
        <v>1</v>
      </c>
      <c r="I28" s="388" t="str">
        <f>IFERROR(__xludf.DUMMYFUNCTION("""COMPUTED_VALUE"""),"[LCCB Assistant Manager] Ishmael")</f>
        <v>[LCCB Assistant Manager] Ishmael</v>
      </c>
      <c r="J28" s="7">
        <v>1.0</v>
      </c>
      <c r="K28" s="7">
        <v>0.0</v>
      </c>
      <c r="L28" s="7">
        <v>3.0</v>
      </c>
      <c r="M28" s="387" t="s">
        <v>1450</v>
      </c>
      <c r="N28" s="8" t="str">
        <f>IFERROR(__xludf.DUMMYFUNCTION("""COMPUTED_VALUE"""),"")</f>
        <v/>
      </c>
      <c r="O28" s="8" t="str">
        <f>IFERROR(__xludf.DUMMYFUNCTION("""COMPUTED_VALUE"""),"")</f>
        <v/>
      </c>
      <c r="P28" s="8"/>
      <c r="Q28" s="8"/>
    </row>
    <row r="29">
      <c r="A29" s="7" t="s">
        <v>1444</v>
      </c>
      <c r="B29" s="25" t="s">
        <v>122</v>
      </c>
      <c r="C29" s="385" t="s">
        <v>1423</v>
      </c>
      <c r="D29" s="385" t="s">
        <v>771</v>
      </c>
      <c r="E29" s="387" t="s">
        <v>765</v>
      </c>
      <c r="F29" s="7">
        <v>46.0</v>
      </c>
      <c r="G29" s="386">
        <f t="shared" si="1"/>
        <v>44984</v>
      </c>
      <c r="H29" s="7" t="b">
        <v>1</v>
      </c>
      <c r="I29" s="388" t="str">
        <f>IFERROR(__xludf.DUMMYFUNCTION("""COMPUTED_VALUE"""),"[Shi Assoc. South Section 5] Ishmael")</f>
        <v>[Shi Assoc. South Section 5] Ishmael</v>
      </c>
      <c r="J29" s="7">
        <v>36.0</v>
      </c>
      <c r="K29" s="7">
        <v>1518.0</v>
      </c>
      <c r="L29" s="7">
        <v>3.0</v>
      </c>
      <c r="M29" s="8"/>
      <c r="N29" s="8" t="str">
        <f>IFERROR(__xludf.DUMMYFUNCTION("""COMPUTED_VALUE"""),"")</f>
        <v/>
      </c>
      <c r="O29" s="8" t="str">
        <f>IFERROR(__xludf.DUMMYFUNCTION("""COMPUTED_VALUE"""),"")</f>
        <v/>
      </c>
      <c r="P29" s="8"/>
      <c r="Q29" s="8"/>
    </row>
    <row r="30">
      <c r="A30" s="7" t="s">
        <v>1451</v>
      </c>
      <c r="B30" s="25" t="s">
        <v>122</v>
      </c>
      <c r="C30" s="385" t="s">
        <v>1426</v>
      </c>
      <c r="D30" s="385" t="s">
        <v>771</v>
      </c>
      <c r="E30" s="387" t="s">
        <v>1452</v>
      </c>
      <c r="F30" s="7">
        <v>48.0</v>
      </c>
      <c r="G30" s="386">
        <f t="shared" si="1"/>
        <v>44984</v>
      </c>
      <c r="H30" s="8" t="b">
        <v>0</v>
      </c>
      <c r="I30" s="388" t="str">
        <f>IFERROR(__xludf.DUMMYFUNCTION("""COMPUTED_VALUE"""),"")</f>
        <v/>
      </c>
      <c r="J30" s="7"/>
      <c r="K30" s="8"/>
      <c r="L30" s="8"/>
      <c r="M30" s="387" t="s">
        <v>1420</v>
      </c>
      <c r="N30" s="8" t="str">
        <f>IFERROR(__xludf.DUMMYFUNCTION("""COMPUTED_VALUE"""),"ØØØ Standard Fare [R Corp. 4th Pack Reindeer] Ishmael")</f>
        <v>ØØØ Standard Fare [R Corp. 4th Pack Reindeer] Ishmael</v>
      </c>
      <c r="O30" s="8" t="str">
        <f>IFERROR(__xludf.DUMMYFUNCTION("""COMPUTED_VALUE"""),"")</f>
        <v/>
      </c>
      <c r="P30" s="8"/>
      <c r="Q30" s="8"/>
    </row>
    <row r="31">
      <c r="A31" s="7" t="s">
        <v>1448</v>
      </c>
      <c r="B31" s="25" t="s">
        <v>159</v>
      </c>
      <c r="C31" s="385" t="s">
        <v>1423</v>
      </c>
      <c r="D31" s="385" t="s">
        <v>1430</v>
      </c>
      <c r="E31" s="387" t="s">
        <v>1411</v>
      </c>
      <c r="F31" s="7">
        <v>51.0</v>
      </c>
      <c r="G31" s="386">
        <f t="shared" si="1"/>
        <v>44984</v>
      </c>
      <c r="H31" s="7" t="b">
        <v>1</v>
      </c>
      <c r="I31" s="388" t="str">
        <f>IFERROR(__xludf.DUMMYFUNCTION("""COMPUTED_VALUE"""),"[LCCB Assistant Manager] Rodion")</f>
        <v>[LCCB Assistant Manager] Rodion</v>
      </c>
      <c r="J31" s="7">
        <v>1.0</v>
      </c>
      <c r="K31" s="7">
        <v>0.0</v>
      </c>
      <c r="L31" s="7">
        <v>3.0</v>
      </c>
      <c r="M31" s="387" t="s">
        <v>1453</v>
      </c>
      <c r="N31" s="8" t="str">
        <f>IFERROR(__xludf.DUMMYFUNCTION("""COMPUTED_VALUE"""),"")</f>
        <v/>
      </c>
      <c r="O31" s="8" t="str">
        <f>IFERROR(__xludf.DUMMYFUNCTION("""COMPUTED_VALUE"""),"")</f>
        <v/>
      </c>
      <c r="P31" s="8"/>
      <c r="Q31" s="8"/>
    </row>
    <row r="32">
      <c r="A32" s="7" t="s">
        <v>1438</v>
      </c>
      <c r="B32" s="25" t="s">
        <v>159</v>
      </c>
      <c r="C32" s="385" t="s">
        <v>1426</v>
      </c>
      <c r="D32" s="385" t="s">
        <v>771</v>
      </c>
      <c r="E32" s="387" t="s">
        <v>1454</v>
      </c>
      <c r="F32" s="7">
        <v>54.0</v>
      </c>
      <c r="G32" s="386">
        <f t="shared" si="1"/>
        <v>44984</v>
      </c>
      <c r="H32" s="7" t="b">
        <v>1</v>
      </c>
      <c r="I32" s="388" t="str">
        <f>IFERROR(__xludf.DUMMYFUNCTION("""COMPUTED_VALUE"""),"[Kurokumo Clan Wakashu] Rodion")</f>
        <v>[Kurokumo Clan Wakashu] Rodion</v>
      </c>
      <c r="J32" s="7">
        <v>27.0</v>
      </c>
      <c r="K32" s="7">
        <v>183.0</v>
      </c>
      <c r="L32" s="7">
        <v>3.0</v>
      </c>
      <c r="M32" s="387" t="s">
        <v>1455</v>
      </c>
      <c r="N32" s="8" t="str">
        <f>IFERROR(__xludf.DUMMYFUNCTION("""COMPUTED_VALUE"""),"")</f>
        <v/>
      </c>
      <c r="O32" s="8" t="str">
        <f>IFERROR(__xludf.DUMMYFUNCTION("""COMPUTED_VALUE"""),"")</f>
        <v/>
      </c>
      <c r="P32" s="8"/>
      <c r="Q32" s="8"/>
    </row>
    <row r="33">
      <c r="A33" s="7" t="s">
        <v>1456</v>
      </c>
      <c r="B33" s="25" t="s">
        <v>160</v>
      </c>
      <c r="C33" s="385" t="s">
        <v>1423</v>
      </c>
      <c r="D33" s="385" t="s">
        <v>771</v>
      </c>
      <c r="E33" s="387" t="s">
        <v>123</v>
      </c>
      <c r="F33" s="7">
        <v>57.0</v>
      </c>
      <c r="G33" s="386">
        <f t="shared" si="1"/>
        <v>44984</v>
      </c>
      <c r="H33" s="7" t="b">
        <v>1</v>
      </c>
      <c r="I33" s="388" t="str">
        <f>IFERROR(__xludf.DUMMYFUNCTION("""COMPUTED_VALUE"""),"[Zwei Assoc. South Section 6] Sinclair")</f>
        <v>[Zwei Assoc. South Section 6] Sinclair</v>
      </c>
      <c r="J33" s="7">
        <v>1.0</v>
      </c>
      <c r="K33" s="7">
        <v>0.0</v>
      </c>
      <c r="L33" s="7">
        <v>1.0</v>
      </c>
      <c r="M33" s="387" t="s">
        <v>1457</v>
      </c>
      <c r="N33" s="8" t="str">
        <f>IFERROR(__xludf.DUMMYFUNCTION("""COMPUTED_VALUE"""),"")</f>
        <v/>
      </c>
      <c r="O33" s="8" t="str">
        <f>IFERROR(__xludf.DUMMYFUNCTION("""COMPUTED_VALUE"""),"")</f>
        <v/>
      </c>
      <c r="P33" s="8"/>
      <c r="Q33" s="8"/>
    </row>
    <row r="34">
      <c r="A34" s="7" t="s">
        <v>1458</v>
      </c>
      <c r="B34" s="25" t="s">
        <v>160</v>
      </c>
      <c r="C34" s="385" t="s">
        <v>1423</v>
      </c>
      <c r="D34" s="385" t="s">
        <v>1430</v>
      </c>
      <c r="E34" s="387" t="s">
        <v>1459</v>
      </c>
      <c r="F34" s="7">
        <v>58.0</v>
      </c>
      <c r="G34" s="386">
        <f t="shared" si="1"/>
        <v>44984</v>
      </c>
      <c r="H34" s="7" t="b">
        <v>1</v>
      </c>
      <c r="I34" s="388" t="str">
        <f>IFERROR(__xludf.DUMMYFUNCTION("""COMPUTED_VALUE"""),"[Los Mariachis Jefe] Sinclair")</f>
        <v>[Los Mariachis Jefe] Sinclair</v>
      </c>
      <c r="J34" s="7">
        <v>6.0</v>
      </c>
      <c r="K34" s="7">
        <v>3.0</v>
      </c>
      <c r="L34" s="7">
        <v>3.0</v>
      </c>
      <c r="M34" s="8"/>
      <c r="N34" s="8" t="str">
        <f>IFERROR(__xludf.DUMMYFUNCTION("""COMPUTED_VALUE"""),"")</f>
        <v/>
      </c>
      <c r="O34" s="8" t="str">
        <f>IFERROR(__xludf.DUMMYFUNCTION("""COMPUTED_VALUE"""),"")</f>
        <v/>
      </c>
      <c r="P34" s="8"/>
      <c r="Q34" s="8"/>
    </row>
    <row r="35">
      <c r="A35" s="7" t="s">
        <v>1425</v>
      </c>
      <c r="B35" s="25" t="s">
        <v>160</v>
      </c>
      <c r="C35" s="385" t="s">
        <v>1426</v>
      </c>
      <c r="D35" s="385" t="s">
        <v>771</v>
      </c>
      <c r="E35" s="387" t="s">
        <v>1454</v>
      </c>
      <c r="F35" s="7">
        <v>61.0</v>
      </c>
      <c r="G35" s="386">
        <f t="shared" si="1"/>
        <v>44984</v>
      </c>
      <c r="H35" s="8" t="b">
        <v>0</v>
      </c>
      <c r="I35" s="388" t="str">
        <f>IFERROR(__xludf.DUMMYFUNCTION("""COMPUTED_VALUE"""),"")</f>
        <v/>
      </c>
      <c r="J35" s="7"/>
      <c r="K35" s="8"/>
      <c r="L35" s="8"/>
      <c r="M35" s="387" t="s">
        <v>1460</v>
      </c>
      <c r="N35" s="8" t="str">
        <f>IFERROR(__xludf.DUMMYFUNCTION("""COMPUTED_VALUE"""),"ØØØ Standard Fare [Blade Lineage Salsu] Sinclair")</f>
        <v>ØØØ Standard Fare [Blade Lineage Salsu] Sinclair</v>
      </c>
      <c r="O35" s="8" t="str">
        <f>IFERROR(__xludf.DUMMYFUNCTION("""COMPUTED_VALUE"""),"")</f>
        <v/>
      </c>
      <c r="P35" s="8"/>
      <c r="Q35" s="8"/>
    </row>
    <row r="36">
      <c r="A36" s="7" t="s">
        <v>1425</v>
      </c>
      <c r="B36" s="25" t="s">
        <v>161</v>
      </c>
      <c r="C36" s="385" t="s">
        <v>1423</v>
      </c>
      <c r="D36" s="385" t="s">
        <v>771</v>
      </c>
      <c r="E36" s="387" t="s">
        <v>765</v>
      </c>
      <c r="F36" s="7">
        <v>63.0</v>
      </c>
      <c r="G36" s="386">
        <f t="shared" si="1"/>
        <v>44984</v>
      </c>
      <c r="H36" s="7" t="b">
        <v>1</v>
      </c>
      <c r="I36" s="388" t="str">
        <f>IFERROR(__xludf.DUMMYFUNCTION("""COMPUTED_VALUE"""),"[Blade Lineage Salsu] Outis")</f>
        <v>[Blade Lineage Salsu] Outis</v>
      </c>
      <c r="J36" s="7">
        <v>7.0</v>
      </c>
      <c r="K36" s="7">
        <v>38.0</v>
      </c>
      <c r="L36" s="7">
        <v>3.0</v>
      </c>
      <c r="M36" s="387" t="s">
        <v>1414</v>
      </c>
      <c r="N36" s="8" t="str">
        <f>IFERROR(__xludf.DUMMYFUNCTION("""COMPUTED_VALUE"""),"")</f>
        <v/>
      </c>
      <c r="O36" s="8" t="str">
        <f>IFERROR(__xludf.DUMMYFUNCTION("""COMPUTED_VALUE"""),"")</f>
        <v/>
      </c>
      <c r="P36" s="8"/>
      <c r="Q36" s="8"/>
    </row>
    <row r="37">
      <c r="A37" s="7" t="s">
        <v>1461</v>
      </c>
      <c r="B37" s="25" t="s">
        <v>161</v>
      </c>
      <c r="C37" s="385" t="s">
        <v>1423</v>
      </c>
      <c r="D37" s="385" t="s">
        <v>1430</v>
      </c>
      <c r="E37" s="387" t="s">
        <v>134</v>
      </c>
      <c r="F37" s="7">
        <v>64.0</v>
      </c>
      <c r="G37" s="386">
        <f t="shared" si="1"/>
        <v>44984</v>
      </c>
      <c r="H37" s="7" t="b">
        <v>1</v>
      </c>
      <c r="I37" s="388" t="str">
        <f>IFERROR(__xludf.DUMMYFUNCTION("""COMPUTED_VALUE"""),"[G Corp. Head Manager] Outis")</f>
        <v>[G Corp. Head Manager] Outis</v>
      </c>
      <c r="J37" s="7">
        <v>1.0</v>
      </c>
      <c r="K37" s="7">
        <v>0.0</v>
      </c>
      <c r="L37" s="7">
        <v>3.0</v>
      </c>
      <c r="M37" s="387" t="s">
        <v>1462</v>
      </c>
      <c r="N37" s="8" t="str">
        <f>IFERROR(__xludf.DUMMYFUNCTION("""COMPUTED_VALUE"""),"")</f>
        <v/>
      </c>
      <c r="O37" s="8" t="str">
        <f>IFERROR(__xludf.DUMMYFUNCTION("""COMPUTED_VALUE"""),"")</f>
        <v/>
      </c>
      <c r="P37" s="8"/>
      <c r="Q37" s="8"/>
    </row>
    <row r="38">
      <c r="A38" s="7" t="s">
        <v>1440</v>
      </c>
      <c r="B38" s="25" t="s">
        <v>162</v>
      </c>
      <c r="C38" s="385" t="s">
        <v>1423</v>
      </c>
      <c r="D38" s="385" t="s">
        <v>771</v>
      </c>
      <c r="E38" s="387" t="s">
        <v>138</v>
      </c>
      <c r="F38" s="7">
        <v>67.0</v>
      </c>
      <c r="G38" s="386">
        <f t="shared" si="1"/>
        <v>44984</v>
      </c>
      <c r="H38" s="7" t="b">
        <v>1</v>
      </c>
      <c r="I38" s="388" t="str">
        <f>IFERROR(__xludf.DUMMYFUNCTION("""COMPUTED_VALUE"""),"[Liu Assoc. South Section 6] Gregor")</f>
        <v>[Liu Assoc. South Section 6] Gregor</v>
      </c>
      <c r="J38" s="7">
        <v>29.0</v>
      </c>
      <c r="K38" s="7">
        <v>1192.0</v>
      </c>
      <c r="L38" s="7">
        <v>3.0</v>
      </c>
      <c r="M38" s="387" t="s">
        <v>1420</v>
      </c>
      <c r="N38" s="8" t="str">
        <f>IFERROR(__xludf.DUMMYFUNCTION("""COMPUTED_VALUE"""),"")</f>
        <v/>
      </c>
      <c r="O38" s="8" t="str">
        <f>IFERROR(__xludf.DUMMYFUNCTION("""COMPUTED_VALUE"""),"")</f>
        <v/>
      </c>
      <c r="P38" s="8"/>
      <c r="Q38" s="8"/>
    </row>
    <row r="39">
      <c r="A39" s="7" t="s">
        <v>1463</v>
      </c>
      <c r="B39" s="25" t="s">
        <v>162</v>
      </c>
      <c r="C39" s="385" t="s">
        <v>1426</v>
      </c>
      <c r="D39" s="385" t="s">
        <v>1430</v>
      </c>
      <c r="E39" s="387" t="s">
        <v>752</v>
      </c>
      <c r="F39" s="7">
        <v>70.0</v>
      </c>
      <c r="G39" s="386">
        <f t="shared" si="1"/>
        <v>44984</v>
      </c>
      <c r="H39" s="7" t="b">
        <v>1</v>
      </c>
      <c r="I39" s="388" t="str">
        <f>IFERROR(__xludf.DUMMYFUNCTION("""COMPUTED_VALUE"""),"[G Corp. Manager Corporal] Gregor")</f>
        <v>[G Corp. Manager Corporal] Gregor</v>
      </c>
      <c r="J39" s="7">
        <v>9.0</v>
      </c>
      <c r="K39" s="7">
        <v>79.0</v>
      </c>
      <c r="L39" s="7">
        <v>3.0</v>
      </c>
      <c r="M39" s="8"/>
      <c r="N39" s="8" t="str">
        <f>IFERROR(__xludf.DUMMYFUNCTION("""COMPUTED_VALUE"""),"")</f>
        <v/>
      </c>
      <c r="O39" s="8" t="str">
        <f>IFERROR(__xludf.DUMMYFUNCTION("""COMPUTED_VALUE"""),"")</f>
        <v/>
      </c>
      <c r="P39" s="8"/>
      <c r="Q39" s="8"/>
    </row>
    <row r="40">
      <c r="A40" s="7" t="s">
        <v>1464</v>
      </c>
      <c r="B40" s="25" t="s">
        <v>156</v>
      </c>
      <c r="C40" s="385" t="s">
        <v>1426</v>
      </c>
      <c r="D40" s="385" t="s">
        <v>1430</v>
      </c>
      <c r="E40" s="387" t="s">
        <v>1411</v>
      </c>
      <c r="F40" s="7">
        <v>33.0</v>
      </c>
      <c r="G40" s="386">
        <f t="shared" ref="G40:G41" si="2">DATE(2023, 3, 9)</f>
        <v>44994</v>
      </c>
      <c r="H40" s="8" t="b">
        <v>0</v>
      </c>
      <c r="I40" s="388" t="str">
        <f>IFERROR(__xludf.DUMMYFUNCTION("""COMPUTED_VALUE"""),"")</f>
        <v/>
      </c>
      <c r="J40" s="7"/>
      <c r="K40" s="8"/>
      <c r="L40" s="8"/>
      <c r="M40" s="387" t="s">
        <v>1465</v>
      </c>
      <c r="N40" s="8" t="str">
        <f>IFERROR(__xludf.DUMMYFUNCTION("""COMPUTED_VALUE"""),"ØØØ Season 1 [N Corp. Großhammer] Meursault")</f>
        <v>ØØØ Season 1 [N Corp. Großhammer] Meursault</v>
      </c>
      <c r="O40" s="8" t="str">
        <f>IFERROR(__xludf.DUMMYFUNCTION("""COMPUTED_VALUE"""),"")</f>
        <v/>
      </c>
      <c r="P40" s="8"/>
      <c r="Q40" s="8"/>
    </row>
    <row r="41">
      <c r="A41" s="7" t="s">
        <v>1466</v>
      </c>
      <c r="B41" s="25" t="s">
        <v>159</v>
      </c>
      <c r="C41" s="385" t="s">
        <v>1423</v>
      </c>
      <c r="D41" s="385" t="s">
        <v>1430</v>
      </c>
      <c r="E41" s="387" t="s">
        <v>143</v>
      </c>
      <c r="F41" s="7">
        <v>52.0</v>
      </c>
      <c r="G41" s="386">
        <f t="shared" si="2"/>
        <v>44994</v>
      </c>
      <c r="H41" s="7" t="b">
        <v>1</v>
      </c>
      <c r="I41" s="388" t="str">
        <f>IFERROR(__xludf.DUMMYFUNCTION("""COMPUTED_VALUE"""),"[N Corp. Mittelhammer] Rodion")</f>
        <v>[N Corp. Mittelhammer] Rodion</v>
      </c>
      <c r="J41" s="7">
        <v>1.0</v>
      </c>
      <c r="K41" s="7">
        <v>0.0</v>
      </c>
      <c r="L41" s="7">
        <v>1.0</v>
      </c>
      <c r="M41" s="387" t="s">
        <v>1467</v>
      </c>
      <c r="N41" s="8" t="str">
        <f>IFERROR(__xludf.DUMMYFUNCTION("""COMPUTED_VALUE"""),"")</f>
        <v/>
      </c>
      <c r="O41" s="8" t="str">
        <f>IFERROR(__xludf.DUMMYFUNCTION("""COMPUTED_VALUE"""),"")</f>
        <v/>
      </c>
      <c r="P41" s="8"/>
      <c r="Q41" s="8"/>
    </row>
    <row r="42">
      <c r="A42" s="7" t="s">
        <v>1468</v>
      </c>
      <c r="B42" s="25" t="s">
        <v>153</v>
      </c>
      <c r="C42" s="385" t="s">
        <v>1426</v>
      </c>
      <c r="D42" s="385" t="s">
        <v>1430</v>
      </c>
      <c r="E42" s="387" t="s">
        <v>143</v>
      </c>
      <c r="F42" s="7">
        <v>19.0</v>
      </c>
      <c r="G42" s="386">
        <f t="shared" ref="G42:G43" si="3">DATE(2023, 3, 23)</f>
        <v>45008</v>
      </c>
      <c r="H42" s="7" t="b">
        <v>1</v>
      </c>
      <c r="I42" s="388" t="str">
        <f>IFERROR(__xludf.DUMMYFUNCTION("""COMPUTED_VALUE"""),"[The One Who Grips] Faust")</f>
        <v>[The One Who Grips] Faust</v>
      </c>
      <c r="J42" s="7">
        <v>55.0</v>
      </c>
      <c r="K42" s="7">
        <v>262.0</v>
      </c>
      <c r="L42" s="7">
        <v>4.0</v>
      </c>
      <c r="M42" s="387" t="s">
        <v>1469</v>
      </c>
      <c r="N42" s="8" t="str">
        <f>IFERROR(__xludf.DUMMYFUNCTION("""COMPUTED_VALUE"""),"")</f>
        <v/>
      </c>
      <c r="O42" s="8" t="str">
        <f>IFERROR(__xludf.DUMMYFUNCTION("""COMPUTED_VALUE"""),"")</f>
        <v/>
      </c>
      <c r="P42" s="8"/>
      <c r="Q42" s="8"/>
    </row>
    <row r="43">
      <c r="A43" s="7" t="s">
        <v>1470</v>
      </c>
      <c r="B43" s="25" t="s">
        <v>158</v>
      </c>
      <c r="C43" s="385" t="s">
        <v>1423</v>
      </c>
      <c r="D43" s="385" t="s">
        <v>1430</v>
      </c>
      <c r="E43" s="387" t="s">
        <v>143</v>
      </c>
      <c r="F43" s="7">
        <v>41.0</v>
      </c>
      <c r="G43" s="386">
        <f t="shared" si="3"/>
        <v>45008</v>
      </c>
      <c r="H43" s="7" t="b">
        <v>1</v>
      </c>
      <c r="I43" s="388" t="str">
        <f>IFERROR(__xludf.DUMMYFUNCTION("""COMPUTED_VALUE"""),"[N Corp. Kleinhammer] Heathcliff")</f>
        <v>[N Corp. Kleinhammer] Heathcliff</v>
      </c>
      <c r="J43" s="7">
        <v>10.0</v>
      </c>
      <c r="K43" s="7">
        <v>62.0</v>
      </c>
      <c r="L43" s="7">
        <v>3.0</v>
      </c>
      <c r="M43" s="387" t="s">
        <v>1471</v>
      </c>
      <c r="N43" s="8" t="str">
        <f>IFERROR(__xludf.DUMMYFUNCTION("""COMPUTED_VALUE"""),"")</f>
        <v/>
      </c>
      <c r="O43" s="8" t="str">
        <f>IFERROR(__xludf.DUMMYFUNCTION("""COMPUTED_VALUE"""),"")</f>
        <v/>
      </c>
      <c r="P43" s="8"/>
      <c r="Q43" s="8"/>
    </row>
    <row r="44">
      <c r="A44" s="7" t="s">
        <v>1472</v>
      </c>
      <c r="B44" s="25" t="s">
        <v>157</v>
      </c>
      <c r="C44" s="385" t="s">
        <v>1423</v>
      </c>
      <c r="D44" s="385" t="s">
        <v>771</v>
      </c>
      <c r="E44" s="387" t="s">
        <v>138</v>
      </c>
      <c r="F44" s="7">
        <v>36.0</v>
      </c>
      <c r="G44" s="386">
        <f t="shared" ref="G44:G45" si="4">DATE(2023, 4, 6)</f>
        <v>45022</v>
      </c>
      <c r="H44" s="7" t="b">
        <v>1</v>
      </c>
      <c r="I44" s="388" t="str">
        <f>IFERROR(__xludf.DUMMYFUNCTION("""COMPUTED_VALUE"""),"[Liu Assoc. South Section 5] Hong Lu")</f>
        <v>[Liu Assoc. South Section 5] Hong Lu</v>
      </c>
      <c r="J44" s="7">
        <v>1.0</v>
      </c>
      <c r="K44" s="7">
        <v>0.0</v>
      </c>
      <c r="L44" s="7">
        <v>3.0</v>
      </c>
      <c r="M44" s="8"/>
      <c r="N44" s="8" t="str">
        <f>IFERROR(__xludf.DUMMYFUNCTION("""COMPUTED_VALUE"""),"")</f>
        <v/>
      </c>
      <c r="O44" s="8" t="str">
        <f>IFERROR(__xludf.DUMMYFUNCTION("""COMPUTED_VALUE"""),"")</f>
        <v/>
      </c>
      <c r="P44" s="8"/>
      <c r="Q44" s="8"/>
    </row>
    <row r="45">
      <c r="A45" s="7" t="s">
        <v>1473</v>
      </c>
      <c r="B45" s="25" t="s">
        <v>161</v>
      </c>
      <c r="C45" s="385" t="s">
        <v>1426</v>
      </c>
      <c r="D45" s="385" t="s">
        <v>771</v>
      </c>
      <c r="E45" s="387" t="s">
        <v>752</v>
      </c>
      <c r="F45" s="7">
        <v>65.0</v>
      </c>
      <c r="G45" s="386">
        <f t="shared" si="4"/>
        <v>45022</v>
      </c>
      <c r="H45" s="7" t="b">
        <v>0</v>
      </c>
      <c r="I45" s="388" t="str">
        <f>IFERROR(__xludf.DUMMYFUNCTION("""COMPUTED_VALUE"""),"")</f>
        <v/>
      </c>
      <c r="J45" s="7"/>
      <c r="K45" s="8"/>
      <c r="L45" s="8"/>
      <c r="M45" s="387" t="s">
        <v>1474</v>
      </c>
      <c r="N45" s="8" t="str">
        <f>IFERROR(__xludf.DUMMYFUNCTION("""COMPUTED_VALUE"""),"ØØØ Standard Fare [Seven Assoc. South Section 6 Director] Outis")</f>
        <v>ØØØ Standard Fare [Seven Assoc. South Section 6 Director] Outis</v>
      </c>
      <c r="O45" s="8" t="str">
        <f>IFERROR(__xludf.DUMMYFUNCTION("""COMPUTED_VALUE"""),"")</f>
        <v/>
      </c>
      <c r="P45" s="8"/>
      <c r="Q45" s="8"/>
    </row>
    <row r="46">
      <c r="A46" s="7" t="s">
        <v>1475</v>
      </c>
      <c r="B46" s="25" t="s">
        <v>155</v>
      </c>
      <c r="C46" s="385" t="s">
        <v>1426</v>
      </c>
      <c r="D46" s="385" t="s">
        <v>1476</v>
      </c>
      <c r="E46" s="387" t="s">
        <v>143</v>
      </c>
      <c r="F46" s="7">
        <v>28.0</v>
      </c>
      <c r="G46" s="386">
        <f t="shared" ref="G46:G47" si="5">DATE(2023, 4, 20)</f>
        <v>45036</v>
      </c>
      <c r="H46" s="7" t="b">
        <v>1</v>
      </c>
      <c r="I46" s="388" t="str">
        <f>IFERROR(__xludf.DUMMYFUNCTION("""COMPUTED_VALUE"""),"[R.B. Chef de Cuisine] Ryoshu")</f>
        <v>[R.B. Chef de Cuisine] Ryoshu</v>
      </c>
      <c r="J46" s="7">
        <v>1.0</v>
      </c>
      <c r="K46" s="7">
        <v>0.0</v>
      </c>
      <c r="L46" s="7">
        <v>1.0</v>
      </c>
      <c r="M46" s="387" t="s">
        <v>1477</v>
      </c>
      <c r="N46" s="8" t="str">
        <f>IFERROR(__xludf.DUMMYFUNCTION("""COMPUTED_VALUE"""),"")</f>
        <v/>
      </c>
      <c r="O46" s="8" t="str">
        <f>IFERROR(__xludf.DUMMYFUNCTION("""COMPUTED_VALUE"""),"")</f>
        <v/>
      </c>
      <c r="P46" s="8"/>
      <c r="Q46" s="8"/>
    </row>
    <row r="47">
      <c r="A47" s="7" t="s">
        <v>1478</v>
      </c>
      <c r="B47" s="25" t="s">
        <v>162</v>
      </c>
      <c r="C47" s="385" t="s">
        <v>1423</v>
      </c>
      <c r="D47" s="385" t="s">
        <v>1479</v>
      </c>
      <c r="E47" s="387" t="s">
        <v>143</v>
      </c>
      <c r="F47" s="7">
        <v>68.0</v>
      </c>
      <c r="G47" s="386">
        <f t="shared" si="5"/>
        <v>45036</v>
      </c>
      <c r="H47" s="8" t="b">
        <v>0</v>
      </c>
      <c r="I47" s="388" t="str">
        <f>IFERROR(__xludf.DUMMYFUNCTION("""COMPUTED_VALUE"""),"")</f>
        <v/>
      </c>
      <c r="J47" s="7"/>
      <c r="K47" s="8"/>
      <c r="L47" s="8"/>
      <c r="M47" s="387" t="s">
        <v>1480</v>
      </c>
      <c r="N47" s="8" t="str">
        <f>IFERROR(__xludf.DUMMYFUNCTION("""COMPUTED_VALUE"""),"")</f>
        <v/>
      </c>
      <c r="O47" s="8" t="str">
        <f>IFERROR(__xludf.DUMMYFUNCTION("""COMPUTED_VALUE"""),"ØØ Season 1 Event Reward [R.B. Sous-chef] Gregor")</f>
        <v>ØØ Season 1 Event Reward [R.B. Sous-chef] Gregor</v>
      </c>
      <c r="P47" s="8"/>
      <c r="Q47" s="8"/>
    </row>
    <row r="48">
      <c r="A48" s="7" t="s">
        <v>1466</v>
      </c>
      <c r="B48" s="25" t="s">
        <v>154</v>
      </c>
      <c r="C48" s="385" t="s">
        <v>1423</v>
      </c>
      <c r="D48" s="385" t="s">
        <v>1430</v>
      </c>
      <c r="E48" s="387" t="s">
        <v>123</v>
      </c>
      <c r="F48" s="7">
        <v>24.0</v>
      </c>
      <c r="G48" s="386">
        <f t="shared" ref="G48:G49" si="6">DATE(2023, 5, 4)</f>
        <v>45050</v>
      </c>
      <c r="H48" s="7" t="b">
        <v>1</v>
      </c>
      <c r="I48" s="388" t="str">
        <f>IFERROR(__xludf.DUMMYFUNCTION("""COMPUTED_VALUE"""),"[N Corp. Mittelhammer] Don Quixote")</f>
        <v>[N Corp. Mittelhammer] Don Quixote</v>
      </c>
      <c r="J48" s="7">
        <v>7.0</v>
      </c>
      <c r="K48" s="7">
        <v>48.0</v>
      </c>
      <c r="L48" s="7">
        <v>3.0</v>
      </c>
      <c r="M48" s="387" t="s">
        <v>1481</v>
      </c>
      <c r="N48" s="8" t="str">
        <f>IFERROR(__xludf.DUMMYFUNCTION("""COMPUTED_VALUE"""),"")</f>
        <v/>
      </c>
      <c r="O48" s="8" t="str">
        <f>IFERROR(__xludf.DUMMYFUNCTION("""COMPUTED_VALUE"""),"")</f>
        <v/>
      </c>
      <c r="P48" s="8"/>
      <c r="Q48" s="8"/>
    </row>
    <row r="49">
      <c r="A49" s="7" t="s">
        <v>1482</v>
      </c>
      <c r="B49" s="25" t="s">
        <v>160</v>
      </c>
      <c r="C49" s="385" t="s">
        <v>1426</v>
      </c>
      <c r="D49" s="385" t="s">
        <v>1430</v>
      </c>
      <c r="E49" s="387" t="s">
        <v>1483</v>
      </c>
      <c r="F49" s="7">
        <v>62.0</v>
      </c>
      <c r="G49" s="386">
        <f t="shared" si="6"/>
        <v>45050</v>
      </c>
      <c r="H49" s="7" t="b">
        <v>1</v>
      </c>
      <c r="I49" s="388" t="str">
        <f>IFERROR(__xludf.DUMMYFUNCTION("""COMPUTED_VALUE"""),"[The One Who Shall Grip] Sinclair")</f>
        <v>[The One Who Shall Grip] Sinclair</v>
      </c>
      <c r="J49" s="7">
        <v>45.0</v>
      </c>
      <c r="K49" s="7">
        <v>71.0</v>
      </c>
      <c r="L49" s="7">
        <v>3.0</v>
      </c>
      <c r="M49" s="387" t="s">
        <v>1484</v>
      </c>
      <c r="N49" s="8" t="str">
        <f>IFERROR(__xludf.DUMMYFUNCTION("""COMPUTED_VALUE"""),"")</f>
        <v/>
      </c>
      <c r="O49" s="8" t="str">
        <f>IFERROR(__xludf.DUMMYFUNCTION("""COMPUTED_VALUE"""),"")</f>
        <v/>
      </c>
      <c r="P49" s="7">
        <v>11.0</v>
      </c>
      <c r="Q49" s="7"/>
    </row>
    <row r="50">
      <c r="A50" s="7" t="s">
        <v>1485</v>
      </c>
      <c r="B50" s="25" t="s">
        <v>156</v>
      </c>
      <c r="C50" s="385" t="s">
        <v>1423</v>
      </c>
      <c r="D50" s="385" t="s">
        <v>1486</v>
      </c>
      <c r="E50" s="387" t="s">
        <v>1487</v>
      </c>
      <c r="F50" s="7">
        <v>31.0</v>
      </c>
      <c r="G50" s="386">
        <f t="shared" ref="G50:G51" si="7">DATE(2023, 6, 1)</f>
        <v>45078</v>
      </c>
      <c r="H50" s="7" t="b">
        <v>1</v>
      </c>
      <c r="I50" s="388" t="str">
        <f>IFERROR(__xludf.DUMMYFUNCTION("""COMPUTED_VALUE"""),"[Rosespanner Workshop Fixer] Meursault")</f>
        <v>[Rosespanner Workshop Fixer] Meursault</v>
      </c>
      <c r="J50" s="7">
        <v>1.0</v>
      </c>
      <c r="K50" s="7">
        <v>0.0</v>
      </c>
      <c r="L50" s="7">
        <v>1.0</v>
      </c>
      <c r="M50" s="387" t="s">
        <v>1488</v>
      </c>
      <c r="N50" s="8" t="str">
        <f>IFERROR(__xludf.DUMMYFUNCTION("""COMPUTED_VALUE"""),"")</f>
        <v/>
      </c>
      <c r="O50" s="8" t="str">
        <f>IFERROR(__xludf.DUMMYFUNCTION("""COMPUTED_VALUE"""),"")</f>
        <v/>
      </c>
      <c r="P50" s="8"/>
      <c r="Q50" s="8"/>
    </row>
    <row r="51">
      <c r="A51" s="7" t="s">
        <v>1489</v>
      </c>
      <c r="B51" s="25" t="s">
        <v>159</v>
      </c>
      <c r="C51" s="385" t="s">
        <v>1426</v>
      </c>
      <c r="D51" s="385" t="s">
        <v>1486</v>
      </c>
      <c r="E51" s="387" t="s">
        <v>1490</v>
      </c>
      <c r="F51" s="7">
        <v>55.0</v>
      </c>
      <c r="G51" s="386">
        <f t="shared" si="7"/>
        <v>45078</v>
      </c>
      <c r="H51" s="7" t="b">
        <v>0</v>
      </c>
      <c r="I51" s="388" t="str">
        <f>IFERROR(__xludf.DUMMYFUNCTION("""COMPUTED_VALUE"""),"")</f>
        <v/>
      </c>
      <c r="J51" s="7"/>
      <c r="K51" s="8"/>
      <c r="L51" s="8"/>
      <c r="M51" s="387" t="s">
        <v>1491</v>
      </c>
      <c r="N51" s="8" t="str">
        <f>IFERROR(__xludf.DUMMYFUNCTION("""COMPUTED_VALUE"""),"ØØØ Season 2 [Rosespanner Workshop Rep] Rodion")</f>
        <v>ØØØ Season 2 [Rosespanner Workshop Rep] Rodion</v>
      </c>
      <c r="O51" s="8" t="str">
        <f>IFERROR(__xludf.DUMMYFUNCTION("""COMPUTED_VALUE"""),"")</f>
        <v/>
      </c>
      <c r="P51" s="8"/>
      <c r="Q51" s="8"/>
    </row>
    <row r="52">
      <c r="A52" s="7" t="s">
        <v>1492</v>
      </c>
      <c r="B52" s="25" t="s">
        <v>158</v>
      </c>
      <c r="C52" s="385" t="s">
        <v>1426</v>
      </c>
      <c r="D52" s="385" t="s">
        <v>1486</v>
      </c>
      <c r="E52" s="387" t="s">
        <v>1416</v>
      </c>
      <c r="F52" s="7">
        <v>44.0</v>
      </c>
      <c r="G52" s="386">
        <f t="shared" ref="G52:G53" si="8">DATE(2023, 6, 8)</f>
        <v>45085</v>
      </c>
      <c r="H52" s="8" t="b">
        <v>0</v>
      </c>
      <c r="I52" s="388" t="str">
        <f>IFERROR(__xludf.DUMMYFUNCTION("""COMPUTED_VALUE"""),"")</f>
        <v/>
      </c>
      <c r="J52" s="7"/>
      <c r="K52" s="8"/>
      <c r="L52" s="8"/>
      <c r="M52" s="387" t="s">
        <v>1493</v>
      </c>
      <c r="N52" s="8" t="str">
        <f>IFERROR(__xludf.DUMMYFUNCTION("""COMPUTED_VALUE"""),"ØØØ Season 2 [Lobotomy E.G.O::Sunshower] Heathcliff")</f>
        <v>ØØØ Season 2 [Lobotomy E.G.O::Sunshower] Heathcliff</v>
      </c>
      <c r="O52" s="8" t="str">
        <f>IFERROR(__xludf.DUMMYFUNCTION("""COMPUTED_VALUE"""),"")</f>
        <v/>
      </c>
      <c r="P52" s="8"/>
      <c r="Q52" s="8"/>
    </row>
    <row r="53">
      <c r="A53" s="7" t="s">
        <v>1485</v>
      </c>
      <c r="B53" s="25" t="s">
        <v>162</v>
      </c>
      <c r="C53" s="385" t="s">
        <v>1423</v>
      </c>
      <c r="D53" s="385" t="s">
        <v>1486</v>
      </c>
      <c r="E53" s="387" t="s">
        <v>1494</v>
      </c>
      <c r="F53" s="7">
        <v>69.0</v>
      </c>
      <c r="G53" s="386">
        <f t="shared" si="8"/>
        <v>45085</v>
      </c>
      <c r="H53" s="7" t="b">
        <v>1</v>
      </c>
      <c r="I53" s="388" t="str">
        <f>IFERROR(__xludf.DUMMYFUNCTION("""COMPUTED_VALUE"""),"[Rosespanner Workshop Fixer] Gregor")</f>
        <v>[Rosespanner Workshop Fixer] Gregor</v>
      </c>
      <c r="J53" s="7">
        <v>1.0</v>
      </c>
      <c r="K53" s="7">
        <v>0.0</v>
      </c>
      <c r="L53" s="7">
        <v>3.0</v>
      </c>
      <c r="M53" s="387" t="s">
        <v>1495</v>
      </c>
      <c r="N53" s="8" t="str">
        <f>IFERROR(__xludf.DUMMYFUNCTION("""COMPUTED_VALUE"""),"")</f>
        <v/>
      </c>
      <c r="O53" s="8" t="str">
        <f>IFERROR(__xludf.DUMMYFUNCTION("""COMPUTED_VALUE"""),"")</f>
        <v/>
      </c>
      <c r="P53" s="8"/>
      <c r="Q53" s="8"/>
    </row>
    <row r="54">
      <c r="A54" s="7" t="s">
        <v>1496</v>
      </c>
      <c r="B54" s="25" t="s">
        <v>12</v>
      </c>
      <c r="C54" s="385" t="s">
        <v>1426</v>
      </c>
      <c r="D54" s="385" t="s">
        <v>1486</v>
      </c>
      <c r="E54" s="387" t="s">
        <v>1497</v>
      </c>
      <c r="F54" s="7">
        <v>15.0</v>
      </c>
      <c r="G54" s="386">
        <f t="shared" ref="G54:G55" si="9">DATE(2023, 6, 15)</f>
        <v>45092</v>
      </c>
      <c r="H54" s="8" t="b">
        <v>0</v>
      </c>
      <c r="I54" s="388" t="str">
        <f>IFERROR(__xludf.DUMMYFUNCTION("""COMPUTED_VALUE"""),"")</f>
        <v/>
      </c>
      <c r="J54" s="7"/>
      <c r="K54" s="8"/>
      <c r="L54" s="8"/>
      <c r="M54" s="387" t="s">
        <v>1495</v>
      </c>
      <c r="N54" s="8" t="str">
        <f>IFERROR(__xludf.DUMMYFUNCTION("""COMPUTED_VALUE"""),"ØØØ Season 2 [Effloresced E.G.O::Spicebush] Yi Sang")</f>
        <v>ØØØ Season 2 [Effloresced E.G.O::Spicebush] Yi Sang</v>
      </c>
      <c r="O54" s="8" t="str">
        <f>IFERROR(__xludf.DUMMYFUNCTION("""COMPUTED_VALUE"""),"")</f>
        <v/>
      </c>
      <c r="P54" s="8"/>
      <c r="Q54" s="8"/>
    </row>
    <row r="55">
      <c r="A55" s="7" t="s">
        <v>1498</v>
      </c>
      <c r="B55" s="25" t="s">
        <v>122</v>
      </c>
      <c r="C55" s="385" t="s">
        <v>1423</v>
      </c>
      <c r="D55" s="385" t="s">
        <v>1486</v>
      </c>
      <c r="E55" s="387" t="s">
        <v>1449</v>
      </c>
      <c r="F55" s="7">
        <v>47.0</v>
      </c>
      <c r="G55" s="386">
        <f t="shared" si="9"/>
        <v>45092</v>
      </c>
      <c r="H55" s="7" t="b">
        <v>1</v>
      </c>
      <c r="I55" s="388" t="str">
        <f>IFERROR(__xludf.DUMMYFUNCTION("""COMPUTED_VALUE"""),"[Lobotomy E.G.O::Sloshing] Ishmael")</f>
        <v>[Lobotomy E.G.O::Sloshing] Ishmael</v>
      </c>
      <c r="J55" s="7">
        <v>27.0</v>
      </c>
      <c r="K55" s="7">
        <v>399.0</v>
      </c>
      <c r="L55" s="7">
        <v>2.0</v>
      </c>
      <c r="M55" s="387" t="s">
        <v>1499</v>
      </c>
      <c r="N55" s="8" t="str">
        <f>IFERROR(__xludf.DUMMYFUNCTION("""COMPUTED_VALUE"""),"")</f>
        <v/>
      </c>
      <c r="O55" s="8" t="str">
        <f>IFERROR(__xludf.DUMMYFUNCTION("""COMPUTED_VALUE"""),"")</f>
        <v/>
      </c>
      <c r="P55" s="8"/>
      <c r="Q55" s="8"/>
    </row>
    <row r="56">
      <c r="A56" s="7" t="s">
        <v>1500</v>
      </c>
      <c r="B56" s="25" t="s">
        <v>157</v>
      </c>
      <c r="C56" s="385" t="s">
        <v>1426</v>
      </c>
      <c r="D56" s="385" t="s">
        <v>1486</v>
      </c>
      <c r="E56" s="387" t="s">
        <v>752</v>
      </c>
      <c r="F56" s="7">
        <v>39.0</v>
      </c>
      <c r="G56" s="386">
        <f t="shared" ref="G56:G57" si="10">DATE(2023, 6, 29)</f>
        <v>45106</v>
      </c>
      <c r="H56" s="7" t="b">
        <v>1</v>
      </c>
      <c r="I56" s="388" t="str">
        <f>IFERROR(__xludf.DUMMYFUNCTION("""COMPUTED_VALUE"""),"[K Corp. Class 3 Excision Staff] Hong Lu")</f>
        <v>[K Corp. Class 3 Excision Staff] Hong Lu</v>
      </c>
      <c r="J56" s="7">
        <v>38.0</v>
      </c>
      <c r="K56" s="7">
        <v>440.0</v>
      </c>
      <c r="L56" s="7">
        <v>3.0</v>
      </c>
      <c r="M56" s="387" t="s">
        <v>1501</v>
      </c>
      <c r="N56" s="8" t="str">
        <f>IFERROR(__xludf.DUMMYFUNCTION("""COMPUTED_VALUE"""),"")</f>
        <v/>
      </c>
      <c r="O56" s="8" t="str">
        <f>IFERROR(__xludf.DUMMYFUNCTION("""COMPUTED_VALUE"""),"")</f>
        <v/>
      </c>
      <c r="P56" s="8"/>
      <c r="Q56" s="8"/>
    </row>
    <row r="57">
      <c r="A57" s="7" t="s">
        <v>1502</v>
      </c>
      <c r="B57" s="25" t="s">
        <v>160</v>
      </c>
      <c r="C57" s="385" t="s">
        <v>1423</v>
      </c>
      <c r="D57" s="385" t="s">
        <v>1486</v>
      </c>
      <c r="E57" s="387" t="s">
        <v>752</v>
      </c>
      <c r="F57" s="7">
        <v>59.0</v>
      </c>
      <c r="G57" s="386">
        <f t="shared" si="10"/>
        <v>45106</v>
      </c>
      <c r="H57" s="7" t="b">
        <v>1</v>
      </c>
      <c r="I57" s="388" t="str">
        <f>IFERROR(__xludf.DUMMYFUNCTION("""COMPUTED_VALUE"""),"[Lobotomy E.G.O::Red Sheet] Sinclair")</f>
        <v>[Lobotomy E.G.O::Red Sheet] Sinclair</v>
      </c>
      <c r="J57" s="7">
        <v>30.0</v>
      </c>
      <c r="K57" s="7">
        <v>383.0</v>
      </c>
      <c r="L57" s="7">
        <v>3.0</v>
      </c>
      <c r="M57" s="8"/>
      <c r="N57" s="8" t="str">
        <f>IFERROR(__xludf.DUMMYFUNCTION("""COMPUTED_VALUE"""),"")</f>
        <v/>
      </c>
      <c r="O57" s="8" t="str">
        <f>IFERROR(__xludf.DUMMYFUNCTION("""COMPUTED_VALUE"""),"")</f>
        <v/>
      </c>
      <c r="P57" s="8"/>
      <c r="Q57" s="8"/>
    </row>
    <row r="58">
      <c r="A58" s="7" t="s">
        <v>1503</v>
      </c>
      <c r="B58" s="25" t="s">
        <v>122</v>
      </c>
      <c r="C58" s="385" t="s">
        <v>1426</v>
      </c>
      <c r="D58" s="385" t="s">
        <v>771</v>
      </c>
      <c r="E58" s="387" t="s">
        <v>138</v>
      </c>
      <c r="F58" s="7">
        <v>49.0</v>
      </c>
      <c r="G58" s="386">
        <f>DATE(2023, 7, 6)</f>
        <v>45113</v>
      </c>
      <c r="H58" s="7" t="b">
        <v>1</v>
      </c>
      <c r="I58" s="388" t="str">
        <f>IFERROR(__xludf.DUMMYFUNCTION("""COMPUTED_VALUE"""),"[Liu Assoc. South Section 4] Ishmael")</f>
        <v>[Liu Assoc. South Section 4] Ishmael</v>
      </c>
      <c r="J58" s="7">
        <v>1.0</v>
      </c>
      <c r="K58" s="7">
        <v>0.0</v>
      </c>
      <c r="L58" s="7">
        <v>3.0</v>
      </c>
      <c r="M58" s="387" t="s">
        <v>1504</v>
      </c>
      <c r="N58" s="8" t="str">
        <f>IFERROR(__xludf.DUMMYFUNCTION("""COMPUTED_VALUE"""),"")</f>
        <v/>
      </c>
      <c r="O58" s="8" t="str">
        <f>IFERROR(__xludf.DUMMYFUNCTION("""COMPUTED_VALUE"""),"")</f>
        <v/>
      </c>
      <c r="P58" s="8"/>
      <c r="Q58" s="8"/>
    </row>
    <row r="59">
      <c r="A59" s="7" t="s">
        <v>1505</v>
      </c>
      <c r="B59" s="25" t="s">
        <v>156</v>
      </c>
      <c r="C59" s="385" t="s">
        <v>1426</v>
      </c>
      <c r="D59" s="385" t="s">
        <v>771</v>
      </c>
      <c r="E59" s="387" t="s">
        <v>1506</v>
      </c>
      <c r="F59" s="7">
        <v>34.0</v>
      </c>
      <c r="G59" s="386">
        <f t="shared" ref="G59:G60" si="11">DATE(2023, 7, 13)</f>
        <v>45120</v>
      </c>
      <c r="H59" s="8" t="b">
        <v>0</v>
      </c>
      <c r="I59" s="388" t="str">
        <f>IFERROR(__xludf.DUMMYFUNCTION("""COMPUTED_VALUE"""),"")</f>
        <v/>
      </c>
      <c r="J59" s="7"/>
      <c r="K59" s="8"/>
      <c r="L59" s="8"/>
      <c r="M59" s="387" t="s">
        <v>1507</v>
      </c>
      <c r="N59" s="8" t="str">
        <f>IFERROR(__xludf.DUMMYFUNCTION("""COMPUTED_VALUE"""),"ØØØ Standard Fare [R Corp. 4th Pack Rhino] Meursault")</f>
        <v>ØØØ Standard Fare [R Corp. 4th Pack Rhino] Meursault</v>
      </c>
      <c r="O59" s="8" t="str">
        <f>IFERROR(__xludf.DUMMYFUNCTION("""COMPUTED_VALUE"""),"")</f>
        <v/>
      </c>
      <c r="P59" s="8"/>
      <c r="Q59" s="8"/>
    </row>
    <row r="60">
      <c r="A60" s="7" t="s">
        <v>1508</v>
      </c>
      <c r="B60" s="25" t="s">
        <v>159</v>
      </c>
      <c r="C60" s="385" t="s">
        <v>1423</v>
      </c>
      <c r="D60" s="385" t="s">
        <v>771</v>
      </c>
      <c r="E60" s="387" t="s">
        <v>765</v>
      </c>
      <c r="F60" s="7">
        <v>53.0</v>
      </c>
      <c r="G60" s="386">
        <f t="shared" si="11"/>
        <v>45120</v>
      </c>
      <c r="H60" s="7" t="b">
        <v>1</v>
      </c>
      <c r="I60" s="388" t="str">
        <f>IFERROR(__xludf.DUMMYFUNCTION("""COMPUTED_VALUE"""),"[Zwei Assoc. South Section 5] Rodion")</f>
        <v>[Zwei Assoc. South Section 5] Rodion</v>
      </c>
      <c r="J60" s="7">
        <v>1.0</v>
      </c>
      <c r="K60" s="7">
        <v>0.0</v>
      </c>
      <c r="L60" s="7">
        <v>1.0</v>
      </c>
      <c r="M60" s="387" t="s">
        <v>1501</v>
      </c>
      <c r="N60" s="8" t="str">
        <f>IFERROR(__xludf.DUMMYFUNCTION("""COMPUTED_VALUE"""),"")</f>
        <v/>
      </c>
      <c r="O60" s="8" t="str">
        <f>IFERROR(__xludf.DUMMYFUNCTION("""COMPUTED_VALUE"""),"")</f>
        <v/>
      </c>
      <c r="P60" s="8"/>
      <c r="Q60" s="8"/>
    </row>
    <row r="61">
      <c r="A61" s="7" t="s">
        <v>1509</v>
      </c>
      <c r="B61" s="25" t="s">
        <v>154</v>
      </c>
      <c r="C61" s="385" t="s">
        <v>1426</v>
      </c>
      <c r="D61" s="385" t="s">
        <v>771</v>
      </c>
      <c r="E61" s="387" t="s">
        <v>1411</v>
      </c>
      <c r="F61" s="7">
        <v>25.0</v>
      </c>
      <c r="G61" s="386">
        <f>DATE(2023, 7, 20)</f>
        <v>45127</v>
      </c>
      <c r="H61" s="7" t="b">
        <v>0</v>
      </c>
      <c r="I61" s="388" t="str">
        <f>IFERROR(__xludf.DUMMYFUNCTION("""COMPUTED_VALUE"""),"")</f>
        <v/>
      </c>
      <c r="J61" s="7"/>
      <c r="K61" s="8"/>
      <c r="L61" s="8"/>
      <c r="M61" s="387" t="s">
        <v>1510</v>
      </c>
      <c r="N61" s="8" t="str">
        <f>IFERROR(__xludf.DUMMYFUNCTION("""COMPUTED_VALUE"""),"ØØØ Standard Fare [Cinq Assoc. South Section 5 Director] Don Quixote")</f>
        <v>ØØØ Standard Fare [Cinq Assoc. South Section 5 Director] Don Quixote</v>
      </c>
      <c r="O61" s="8" t="str">
        <f>IFERROR(__xludf.DUMMYFUNCTION("""COMPUTED_VALUE"""),"")</f>
        <v/>
      </c>
      <c r="P61" s="8"/>
      <c r="Q61" s="8"/>
    </row>
    <row r="62">
      <c r="A62" s="7" t="s">
        <v>1511</v>
      </c>
      <c r="B62" s="25" t="s">
        <v>122</v>
      </c>
      <c r="C62" s="385" t="s">
        <v>1426</v>
      </c>
      <c r="D62" s="385" t="s">
        <v>1512</v>
      </c>
      <c r="E62" s="387" t="s">
        <v>1497</v>
      </c>
      <c r="F62" s="7">
        <v>50.0</v>
      </c>
      <c r="G62" s="386">
        <f t="shared" ref="G62:G63" si="12">DATE(2023, 7, 27)</f>
        <v>45134</v>
      </c>
      <c r="H62" s="7" t="b">
        <v>1</v>
      </c>
      <c r="I62" s="388" t="str">
        <f>IFERROR(__xludf.DUMMYFUNCTION("""COMPUTED_VALUE"""),"[Molar Boatworks Fixer] Ishmael")</f>
        <v>[Molar Boatworks Fixer] Ishmael</v>
      </c>
      <c r="J62" s="7">
        <v>1.0</v>
      </c>
      <c r="K62" s="7">
        <v>0.0</v>
      </c>
      <c r="L62" s="7">
        <v>3.0</v>
      </c>
      <c r="M62" s="387" t="s">
        <v>1513</v>
      </c>
      <c r="N62" s="8" t="str">
        <f>IFERROR(__xludf.DUMMYFUNCTION("""COMPUTED_VALUE"""),"")</f>
        <v/>
      </c>
      <c r="O62" s="8" t="str">
        <f>IFERROR(__xludf.DUMMYFUNCTION("""COMPUTED_VALUE"""),"")</f>
        <v/>
      </c>
      <c r="P62" s="7">
        <v>1.0</v>
      </c>
      <c r="Q62" s="7"/>
    </row>
    <row r="63">
      <c r="A63" s="7" t="s">
        <v>1511</v>
      </c>
      <c r="B63" s="25" t="s">
        <v>160</v>
      </c>
      <c r="C63" s="385" t="s">
        <v>1423</v>
      </c>
      <c r="D63" s="385" t="s">
        <v>1514</v>
      </c>
      <c r="E63" s="387" t="s">
        <v>123</v>
      </c>
      <c r="F63" s="7">
        <v>60.0</v>
      </c>
      <c r="G63" s="386">
        <f t="shared" si="12"/>
        <v>45134</v>
      </c>
      <c r="H63" s="8" t="b">
        <v>0</v>
      </c>
      <c r="I63" s="388" t="str">
        <f>IFERROR(__xludf.DUMMYFUNCTION("""COMPUTED_VALUE"""),"")</f>
        <v/>
      </c>
      <c r="J63" s="7"/>
      <c r="K63" s="8"/>
      <c r="L63" s="8"/>
      <c r="M63" s="387" t="s">
        <v>1515</v>
      </c>
      <c r="N63" s="8" t="str">
        <f>IFERROR(__xludf.DUMMYFUNCTION("""COMPUTED_VALUE"""),"")</f>
        <v/>
      </c>
      <c r="O63" s="8" t="str">
        <f>IFERROR(__xludf.DUMMYFUNCTION("""COMPUTED_VALUE"""),"ØØ Season 2 Event Reward [Molar Boatworks Fixer] Sinclair")</f>
        <v>ØØ Season 2 Event Reward [Molar Boatworks Fixer] Sinclair</v>
      </c>
      <c r="P63" s="8"/>
      <c r="Q63" s="8"/>
    </row>
    <row r="64">
      <c r="A64" s="7" t="s">
        <v>1516</v>
      </c>
      <c r="B64" s="25" t="s">
        <v>153</v>
      </c>
      <c r="C64" s="385" t="s">
        <v>1423</v>
      </c>
      <c r="D64" s="385" t="s">
        <v>771</v>
      </c>
      <c r="E64" s="387" t="s">
        <v>1411</v>
      </c>
      <c r="F64" s="7">
        <v>20.0</v>
      </c>
      <c r="G64" s="386">
        <f t="shared" ref="G64:G65" si="13">DATE(2023, 8, 10)</f>
        <v>45148</v>
      </c>
      <c r="H64" s="7" t="b">
        <v>1</v>
      </c>
      <c r="I64" s="388" t="str">
        <f>IFERROR(__xludf.DUMMYFUNCTION("""COMPUTED_VALUE"""),"[Zwei Assoc. South Section 4] Faust")</f>
        <v>[Zwei Assoc. South Section 4] Faust</v>
      </c>
      <c r="J64" s="7">
        <v>22.0</v>
      </c>
      <c r="K64" s="7">
        <v>79.0</v>
      </c>
      <c r="L64" s="7">
        <v>1.0</v>
      </c>
      <c r="M64" s="387" t="s">
        <v>1517</v>
      </c>
      <c r="N64" s="8" t="str">
        <f>IFERROR(__xludf.DUMMYFUNCTION("""COMPUTED_VALUE"""),"")</f>
        <v/>
      </c>
      <c r="O64" s="8" t="str">
        <f>IFERROR(__xludf.DUMMYFUNCTION("""COMPUTED_VALUE"""),"")</f>
        <v/>
      </c>
      <c r="P64" s="8"/>
      <c r="Q64" s="8"/>
    </row>
    <row r="65">
      <c r="A65" s="7" t="s">
        <v>1516</v>
      </c>
      <c r="B65" s="25" t="s">
        <v>162</v>
      </c>
      <c r="C65" s="385" t="s">
        <v>1426</v>
      </c>
      <c r="D65" s="385" t="s">
        <v>771</v>
      </c>
      <c r="E65" s="387" t="s">
        <v>1411</v>
      </c>
      <c r="F65" s="7">
        <v>71.0</v>
      </c>
      <c r="G65" s="386">
        <f t="shared" si="13"/>
        <v>45148</v>
      </c>
      <c r="H65" s="7" t="b">
        <v>0</v>
      </c>
      <c r="I65" s="388" t="str">
        <f>IFERROR(__xludf.DUMMYFUNCTION("""COMPUTED_VALUE"""),"")</f>
        <v/>
      </c>
      <c r="J65" s="7"/>
      <c r="K65" s="8"/>
      <c r="L65" s="8"/>
      <c r="M65" s="387" t="s">
        <v>1518</v>
      </c>
      <c r="N65" s="8" t="str">
        <f>IFERROR(__xludf.DUMMYFUNCTION("""COMPUTED_VALUE"""),"ØØØ Standard Fare [Zwei Assoc. South Section 4] Gregor")</f>
        <v>ØØØ Standard Fare [Zwei Assoc. South Section 4] Gregor</v>
      </c>
      <c r="O65" s="8" t="str">
        <f>IFERROR(__xludf.DUMMYFUNCTION("""COMPUTED_VALUE"""),"")</f>
        <v/>
      </c>
      <c r="P65" s="8"/>
      <c r="Q65" s="8"/>
    </row>
    <row r="66">
      <c r="A66" s="7" t="s">
        <v>1433</v>
      </c>
      <c r="B66" s="25" t="s">
        <v>155</v>
      </c>
      <c r="C66" s="385" t="s">
        <v>1426</v>
      </c>
      <c r="D66" s="385" t="s">
        <v>771</v>
      </c>
      <c r="E66" s="387" t="s">
        <v>148</v>
      </c>
      <c r="F66" s="7">
        <v>29.0</v>
      </c>
      <c r="G66" s="386">
        <f t="shared" ref="G66:G67" si="14">DATE(2023, 8, 24)</f>
        <v>45162</v>
      </c>
      <c r="H66" s="7" t="b">
        <v>0</v>
      </c>
      <c r="I66" s="388" t="str">
        <f>IFERROR(__xludf.DUMMYFUNCTION("""COMPUTED_VALUE"""),"")</f>
        <v/>
      </c>
      <c r="J66" s="7"/>
      <c r="K66" s="8"/>
      <c r="L66" s="8"/>
      <c r="M66" s="387" t="s">
        <v>1519</v>
      </c>
      <c r="N66" s="8" t="str">
        <f>IFERROR(__xludf.DUMMYFUNCTION("""COMPUTED_VALUE"""),"ØØØ Standard Fare [W Corp. L3 Cleanup Agent] Ryoshu")</f>
        <v>ØØØ Standard Fare [W Corp. L3 Cleanup Agent] Ryoshu</v>
      </c>
      <c r="O66" s="8" t="str">
        <f>IFERROR(__xludf.DUMMYFUNCTION("""COMPUTED_VALUE"""),"")</f>
        <v/>
      </c>
      <c r="P66" s="8"/>
      <c r="Q66" s="8"/>
    </row>
    <row r="67">
      <c r="A67" s="7" t="s">
        <v>1427</v>
      </c>
      <c r="B67" s="25" t="s">
        <v>157</v>
      </c>
      <c r="C67" s="385" t="s">
        <v>1423</v>
      </c>
      <c r="D67" s="385" t="s">
        <v>771</v>
      </c>
      <c r="E67" s="387" t="s">
        <v>1434</v>
      </c>
      <c r="F67" s="7">
        <v>37.0</v>
      </c>
      <c r="G67" s="386">
        <f t="shared" si="14"/>
        <v>45162</v>
      </c>
      <c r="H67" s="7" t="b">
        <v>1</v>
      </c>
      <c r="I67" s="388" t="str">
        <f>IFERROR(__xludf.DUMMYFUNCTION("""COMPUTED_VALUE"""),"[W Corp. L2 Cleanup Agent] Hong Lu")</f>
        <v>[W Corp. L2 Cleanup Agent] Hong Lu</v>
      </c>
      <c r="J67" s="7">
        <v>1.0</v>
      </c>
      <c r="K67" s="7">
        <v>0.0</v>
      </c>
      <c r="L67" s="7">
        <v>3.0</v>
      </c>
      <c r="M67" s="387" t="s">
        <v>1432</v>
      </c>
      <c r="N67" s="8" t="str">
        <f>IFERROR(__xludf.DUMMYFUNCTION("""COMPUTED_VALUE"""),"")</f>
        <v/>
      </c>
      <c r="O67" s="8" t="str">
        <f>IFERROR(__xludf.DUMMYFUNCTION("""COMPUTED_VALUE"""),"")</f>
        <v/>
      </c>
      <c r="P67" s="8"/>
      <c r="Q67" s="8"/>
    </row>
    <row r="68">
      <c r="A68" s="7" t="s">
        <v>1520</v>
      </c>
      <c r="B68" s="25" t="s">
        <v>153</v>
      </c>
      <c r="C68" s="385" t="s">
        <v>1426</v>
      </c>
      <c r="D68" s="385" t="s">
        <v>771</v>
      </c>
      <c r="E68" s="387" t="s">
        <v>752</v>
      </c>
      <c r="F68" s="7">
        <v>21.0</v>
      </c>
      <c r="G68" s="386">
        <f t="shared" ref="G68:G69" si="15">DATE(2023, 9, 7)</f>
        <v>45176</v>
      </c>
      <c r="H68" s="7" t="b">
        <v>0</v>
      </c>
      <c r="I68" s="388" t="str">
        <f>IFERROR(__xludf.DUMMYFUNCTION("""COMPUTED_VALUE"""),"")</f>
        <v/>
      </c>
      <c r="J68" s="7"/>
      <c r="K68" s="8"/>
      <c r="L68" s="8"/>
      <c r="M68" s="387" t="s">
        <v>1521</v>
      </c>
      <c r="N68" s="8" t="str">
        <f>IFERROR(__xludf.DUMMYFUNCTION("""COMPUTED_VALUE"""),"ØØØ Standard Fare [Seven Assoc. South Section 4] Faust")</f>
        <v>ØØØ Standard Fare [Seven Assoc. South Section 4] Faust</v>
      </c>
      <c r="O68" s="8" t="str">
        <f>IFERROR(__xludf.DUMMYFUNCTION("""COMPUTED_VALUE"""),"")</f>
        <v/>
      </c>
      <c r="P68" s="8"/>
      <c r="Q68" s="8"/>
    </row>
    <row r="69">
      <c r="A69" s="7" t="s">
        <v>1520</v>
      </c>
      <c r="B69" s="25" t="s">
        <v>158</v>
      </c>
      <c r="C69" s="385" t="s">
        <v>1423</v>
      </c>
      <c r="D69" s="385" t="s">
        <v>771</v>
      </c>
      <c r="E69" s="387" t="s">
        <v>752</v>
      </c>
      <c r="F69" s="7">
        <v>42.0</v>
      </c>
      <c r="G69" s="386">
        <f t="shared" si="15"/>
        <v>45176</v>
      </c>
      <c r="H69" s="7" t="b">
        <v>1</v>
      </c>
      <c r="I69" s="388" t="str">
        <f>IFERROR(__xludf.DUMMYFUNCTION("""COMPUTED_VALUE"""),"[Seven Assoc. South Section 4] Heathcliff")</f>
        <v>[Seven Assoc. South Section 4] Heathcliff</v>
      </c>
      <c r="J69" s="7">
        <v>1.0</v>
      </c>
      <c r="K69" s="7">
        <v>0.0</v>
      </c>
      <c r="L69" s="7">
        <v>3.0</v>
      </c>
      <c r="M69" s="387" t="s">
        <v>1522</v>
      </c>
      <c r="N69" s="8" t="str">
        <f>IFERROR(__xludf.DUMMYFUNCTION("""COMPUTED_VALUE"""),"")</f>
        <v/>
      </c>
      <c r="O69" s="8" t="str">
        <f>IFERROR(__xludf.DUMMYFUNCTION("""COMPUTED_VALUE"""),"")</f>
        <v/>
      </c>
      <c r="P69" s="8"/>
      <c r="Q69" s="8"/>
    </row>
    <row r="70">
      <c r="A70" s="7" t="s">
        <v>1523</v>
      </c>
      <c r="B70" s="25" t="s">
        <v>12</v>
      </c>
      <c r="C70" s="385" t="s">
        <v>1423</v>
      </c>
      <c r="D70" s="385" t="s">
        <v>1512</v>
      </c>
      <c r="E70" s="387" t="s">
        <v>123</v>
      </c>
      <c r="F70" s="7">
        <v>16.0</v>
      </c>
      <c r="G70" s="386">
        <f t="shared" ref="G70:G71" si="16">DATE(2023, 9, 21)</f>
        <v>45190</v>
      </c>
      <c r="H70" s="8" t="b">
        <v>0</v>
      </c>
      <c r="I70" s="388" t="str">
        <f>IFERROR(__xludf.DUMMYFUNCTION("""COMPUTED_VALUE"""),"")</f>
        <v/>
      </c>
      <c r="J70" s="7"/>
      <c r="K70" s="8"/>
      <c r="L70" s="8"/>
      <c r="M70" s="387" t="s">
        <v>1524</v>
      </c>
      <c r="N70" s="8" t="str">
        <f>IFERROR(__xludf.DUMMYFUNCTION("""COMPUTED_VALUE"""),"")</f>
        <v/>
      </c>
      <c r="O70" s="8" t="str">
        <f>IFERROR(__xludf.DUMMYFUNCTION("""COMPUTED_VALUE"""),"ØØ Season 2 Event [Molar Office Fixer] Yi Sang")</f>
        <v>ØØ Season 2 Event [Molar Office Fixer] Yi Sang</v>
      </c>
      <c r="P70" s="8"/>
      <c r="Q70" s="8"/>
    </row>
    <row r="71">
      <c r="A71" s="7" t="s">
        <v>1525</v>
      </c>
      <c r="B71" s="25" t="s">
        <v>159</v>
      </c>
      <c r="C71" s="385" t="s">
        <v>1426</v>
      </c>
      <c r="D71" s="385" t="s">
        <v>771</v>
      </c>
      <c r="E71" s="387" t="s">
        <v>134</v>
      </c>
      <c r="F71" s="7">
        <v>56.0</v>
      </c>
      <c r="G71" s="389">
        <f t="shared" si="16"/>
        <v>45190</v>
      </c>
      <c r="H71" s="7" t="b">
        <v>1</v>
      </c>
      <c r="I71" s="388" t="str">
        <f>IFERROR(__xludf.DUMMYFUNCTION("""COMPUTED_VALUE"""),"[Dieci Assoc. South Section 4] Rodion")</f>
        <v>[Dieci Assoc. South Section 4] Rodion</v>
      </c>
      <c r="J71" s="7">
        <v>45.0</v>
      </c>
      <c r="K71" s="7">
        <v>31.0</v>
      </c>
      <c r="L71" s="7">
        <v>3.0</v>
      </c>
      <c r="M71" s="387" t="s">
        <v>1526</v>
      </c>
      <c r="N71" s="8" t="str">
        <f>IFERROR(__xludf.DUMMYFUNCTION("""COMPUTED_VALUE"""),"")</f>
        <v/>
      </c>
      <c r="O71" s="8" t="str">
        <f>IFERROR(__xludf.DUMMYFUNCTION("""COMPUTED_VALUE"""),"")</f>
        <v/>
      </c>
      <c r="P71" s="8"/>
      <c r="Q71" s="8"/>
    </row>
    <row r="72">
      <c r="A72" s="7" t="s">
        <v>1523</v>
      </c>
      <c r="B72" s="25" t="s">
        <v>161</v>
      </c>
      <c r="C72" s="385" t="s">
        <v>1426</v>
      </c>
      <c r="D72" s="385" t="s">
        <v>1512</v>
      </c>
      <c r="E72" s="387" t="s">
        <v>123</v>
      </c>
      <c r="F72" s="7">
        <v>66.0</v>
      </c>
      <c r="G72" s="386">
        <f>DATE(2023, 10, 4)</f>
        <v>45203</v>
      </c>
      <c r="H72" s="8" t="b">
        <v>0</v>
      </c>
      <c r="I72" s="388" t="str">
        <f>IFERROR(__xludf.DUMMYFUNCTION("""COMPUTED_VALUE"""),"")</f>
        <v/>
      </c>
      <c r="J72" s="7"/>
      <c r="K72" s="8"/>
      <c r="L72" s="8"/>
      <c r="M72" s="387" t="s">
        <v>1527</v>
      </c>
      <c r="N72" s="8" t="str">
        <f>IFERROR(__xludf.DUMMYFUNCTION("""COMPUTED_VALUE"""),"")</f>
        <v/>
      </c>
      <c r="O72" s="8" t="str">
        <f>IFERROR(__xludf.DUMMYFUNCTION("""COMPUTED_VALUE"""),"ØØØ Season 2 Event [Molar Office Fixer] Outis")</f>
        <v>ØØØ Season 2 Event [Molar Office Fixer] Outis</v>
      </c>
      <c r="P72" s="8"/>
      <c r="Q72" s="8"/>
    </row>
    <row r="73">
      <c r="A73" s="7" t="s">
        <v>1528</v>
      </c>
      <c r="B73" s="25" t="s">
        <v>153</v>
      </c>
      <c r="C73" s="385" t="s">
        <v>1426</v>
      </c>
      <c r="D73" s="385" t="s">
        <v>1529</v>
      </c>
      <c r="E73" s="387" t="s">
        <v>123</v>
      </c>
      <c r="F73" s="7">
        <v>72.0</v>
      </c>
      <c r="G73" s="386">
        <f t="shared" ref="G73:G74" si="17">DATE(2023, 10, 26)</f>
        <v>45225</v>
      </c>
      <c r="H73" s="8" t="b">
        <v>0</v>
      </c>
      <c r="I73" s="388" t="str">
        <f>IFERROR(__xludf.DUMMYFUNCTION("""COMPUTED_VALUE"""),"")</f>
        <v/>
      </c>
      <c r="J73" s="7"/>
      <c r="K73" s="8"/>
      <c r="L73" s="8"/>
      <c r="M73" s="387" t="s">
        <v>1530</v>
      </c>
      <c r="N73" s="8" t="str">
        <f>IFERROR(__xludf.DUMMYFUNCTION("""COMPUTED_VALUE"""),"ØØØ Walpurgisnaught 1 [Lobotomy E.G.O::Regret] Faust")</f>
        <v>ØØØ Walpurgisnaught 1 [Lobotomy E.G.O::Regret] Faust</v>
      </c>
      <c r="O73" s="8" t="str">
        <f>IFERROR(__xludf.DUMMYFUNCTION("""COMPUTED_VALUE"""),"")</f>
        <v/>
      </c>
      <c r="P73" s="8"/>
      <c r="Q73" s="8"/>
    </row>
    <row r="74">
      <c r="A74" s="7" t="s">
        <v>1531</v>
      </c>
      <c r="B74" s="25" t="s">
        <v>157</v>
      </c>
      <c r="C74" s="385" t="s">
        <v>1423</v>
      </c>
      <c r="D74" s="385" t="s">
        <v>1529</v>
      </c>
      <c r="E74" s="387" t="s">
        <v>143</v>
      </c>
      <c r="F74" s="7">
        <v>73.0</v>
      </c>
      <c r="G74" s="386">
        <f t="shared" si="17"/>
        <v>45225</v>
      </c>
      <c r="H74" s="7" t="b">
        <v>1</v>
      </c>
      <c r="I74" s="388" t="str">
        <f>IFERROR(__xludf.DUMMYFUNCTION("""COMPUTED_VALUE"""),"[Hook Office Fixer] Hong Lu")</f>
        <v>[Hook Office Fixer] Hong Lu</v>
      </c>
      <c r="J74" s="7">
        <v>22.0</v>
      </c>
      <c r="K74" s="7">
        <v>574.0</v>
      </c>
      <c r="L74" s="7">
        <v>3.0</v>
      </c>
      <c r="M74" s="387" t="s">
        <v>1413</v>
      </c>
      <c r="N74" s="8" t="str">
        <f>IFERROR(__xludf.DUMMYFUNCTION("""COMPUTED_VALUE"""),"")</f>
        <v/>
      </c>
      <c r="O74" s="8" t="str">
        <f>IFERROR(__xludf.DUMMYFUNCTION("""COMPUTED_VALUE"""),"")</f>
        <v/>
      </c>
      <c r="P74" s="8"/>
      <c r="Q74" s="8"/>
    </row>
    <row r="75">
      <c r="A75" s="7" t="s">
        <v>1433</v>
      </c>
      <c r="B75" s="25" t="s">
        <v>12</v>
      </c>
      <c r="C75" s="385" t="s">
        <v>1426</v>
      </c>
      <c r="D75" s="385" t="s">
        <v>771</v>
      </c>
      <c r="E75" s="387" t="s">
        <v>1434</v>
      </c>
      <c r="F75" s="7">
        <v>74.0</v>
      </c>
      <c r="G75" s="386">
        <f>DATE(2023, 11, 9)</f>
        <v>45239</v>
      </c>
      <c r="H75" s="7" t="b">
        <v>1</v>
      </c>
      <c r="I75" s="388" t="str">
        <f>IFERROR(__xludf.DUMMYFUNCTION("""COMPUTED_VALUE"""),"[W Corp. L3 Cleanup Agent] Yi Sang")</f>
        <v>[W Corp. L3 Cleanup Agent] Yi Sang</v>
      </c>
      <c r="J75" s="7">
        <v>60.0</v>
      </c>
      <c r="K75" s="7">
        <v>0.0</v>
      </c>
      <c r="L75" s="7">
        <v>4.0</v>
      </c>
      <c r="M75" s="387" t="s">
        <v>1532</v>
      </c>
      <c r="N75" s="8" t="str">
        <f>IFERROR(__xludf.DUMMYFUNCTION("""COMPUTED_VALUE"""),"")</f>
        <v/>
      </c>
      <c r="O75" s="8" t="str">
        <f>IFERROR(__xludf.DUMMYFUNCTION("""COMPUTED_VALUE"""),"")</f>
        <v/>
      </c>
      <c r="P75" s="8"/>
      <c r="Q75" s="8"/>
    </row>
    <row r="76">
      <c r="A76" s="7" t="s">
        <v>1533</v>
      </c>
      <c r="B76" s="25" t="s">
        <v>162</v>
      </c>
      <c r="C76" s="385" t="s">
        <v>1426</v>
      </c>
      <c r="D76" s="385" t="s">
        <v>1534</v>
      </c>
      <c r="E76" s="387" t="s">
        <v>1454</v>
      </c>
      <c r="F76" s="7">
        <v>75.0</v>
      </c>
      <c r="G76" s="386">
        <f t="shared" ref="G76:G77" si="18">DATE(2023, 11, 16)</f>
        <v>45246</v>
      </c>
      <c r="H76" s="8" t="b">
        <v>0</v>
      </c>
      <c r="I76" s="388" t="str">
        <f>IFERROR(__xludf.DUMMYFUNCTION("""COMPUTED_VALUE"""),"")</f>
        <v/>
      </c>
      <c r="J76" s="7"/>
      <c r="K76" s="8"/>
      <c r="L76" s="8"/>
      <c r="M76" s="387" t="s">
        <v>1535</v>
      </c>
      <c r="N76" s="8" t="str">
        <f>IFERROR(__xludf.DUMMYFUNCTION("""COMPUTED_VALUE"""),"ØØØ Season 3 [Twinhook Pirates First Mate] Gregor")</f>
        <v>ØØØ Season 3 [Twinhook Pirates First Mate] Gregor</v>
      </c>
      <c r="O76" s="8" t="str">
        <f>IFERROR(__xludf.DUMMYFUNCTION("""COMPUTED_VALUE"""),"")</f>
        <v/>
      </c>
      <c r="P76" s="8"/>
      <c r="Q76" s="8"/>
    </row>
    <row r="77">
      <c r="A77" s="7" t="s">
        <v>1448</v>
      </c>
      <c r="B77" s="25" t="s">
        <v>155</v>
      </c>
      <c r="C77" s="385" t="s">
        <v>1423</v>
      </c>
      <c r="D77" s="385" t="s">
        <v>1534</v>
      </c>
      <c r="E77" s="387" t="s">
        <v>1536</v>
      </c>
      <c r="F77" s="7">
        <v>76.0</v>
      </c>
      <c r="G77" s="386">
        <f t="shared" si="18"/>
        <v>45246</v>
      </c>
      <c r="H77" s="7" t="b">
        <v>1</v>
      </c>
      <c r="I77" s="388" t="str">
        <f>IFERROR(__xludf.DUMMYFUNCTION("""COMPUTED_VALUE"""),"[LCCB Assistant Manager] Ryoshu")</f>
        <v>[LCCB Assistant Manager] Ryoshu</v>
      </c>
      <c r="J77" s="7">
        <v>1.0</v>
      </c>
      <c r="K77" s="7">
        <v>0.0</v>
      </c>
      <c r="L77" s="7">
        <v>3.0</v>
      </c>
      <c r="M77" s="387" t="s">
        <v>1537</v>
      </c>
      <c r="N77" s="8" t="str">
        <f>IFERROR(__xludf.DUMMYFUNCTION("""COMPUTED_VALUE"""),"")</f>
        <v/>
      </c>
      <c r="O77" s="8" t="str">
        <f>IFERROR(__xludf.DUMMYFUNCTION("""COMPUTED_VALUE"""),"")</f>
        <v/>
      </c>
      <c r="P77" s="8"/>
      <c r="Q77" s="8"/>
    </row>
    <row r="78">
      <c r="A78" s="7" t="s">
        <v>1538</v>
      </c>
      <c r="B78" s="25" t="s">
        <v>154</v>
      </c>
      <c r="C78" s="385" t="s">
        <v>1426</v>
      </c>
      <c r="D78" s="385" t="s">
        <v>1534</v>
      </c>
      <c r="E78" s="387" t="s">
        <v>143</v>
      </c>
      <c r="F78" s="7">
        <v>78.0</v>
      </c>
      <c r="G78" s="386">
        <f>DATE(2023, 11, 22)</f>
        <v>45252</v>
      </c>
      <c r="H78" s="7" t="b">
        <v>1</v>
      </c>
      <c r="I78" s="388" t="str">
        <f>IFERROR(__xludf.DUMMYFUNCTION("""COMPUTED_VALUE"""),"[The Middle Little Sister] Don Quixote")</f>
        <v>[The Middle Little Sister] Don Quixote</v>
      </c>
      <c r="J78" s="7">
        <v>60.0</v>
      </c>
      <c r="K78" s="7">
        <v>0.0</v>
      </c>
      <c r="L78" s="7">
        <v>4.0</v>
      </c>
      <c r="M78" s="387" t="s">
        <v>1539</v>
      </c>
      <c r="N78" s="8" t="str">
        <f>IFERROR(__xludf.DUMMYFUNCTION("""COMPUTED_VALUE"""),"")</f>
        <v/>
      </c>
      <c r="O78" s="8" t="str">
        <f>IFERROR(__xludf.DUMMYFUNCTION("""COMPUTED_VALUE"""),"")</f>
        <v/>
      </c>
      <c r="P78" s="8"/>
      <c r="Q78" s="7"/>
    </row>
    <row r="79">
      <c r="A79" s="7" t="s">
        <v>1540</v>
      </c>
      <c r="B79" s="25" t="s">
        <v>156</v>
      </c>
      <c r="C79" s="385" t="s">
        <v>1423</v>
      </c>
      <c r="D79" s="385" t="s">
        <v>1534</v>
      </c>
      <c r="E79" s="387" t="s">
        <v>143</v>
      </c>
      <c r="F79" s="7">
        <v>77.0</v>
      </c>
      <c r="G79" s="386">
        <f>DATE(2023, 11, 23)</f>
        <v>45253</v>
      </c>
      <c r="H79" s="7" t="b">
        <v>1</v>
      </c>
      <c r="I79" s="388" t="str">
        <f>IFERROR(__xludf.DUMMYFUNCTION("""COMPUTED_VALUE"""),"[The Middle Little Brother] Meursault")</f>
        <v>[The Middle Little Brother] Meursault</v>
      </c>
      <c r="J79" s="7">
        <v>59.0</v>
      </c>
      <c r="K79" s="7">
        <v>8832.0</v>
      </c>
      <c r="L79" s="7">
        <v>4.0</v>
      </c>
      <c r="M79" s="387" t="s">
        <v>1541</v>
      </c>
      <c r="N79" s="8" t="str">
        <f>IFERROR(__xludf.DUMMYFUNCTION("""COMPUTED_VALUE"""),"")</f>
        <v/>
      </c>
      <c r="O79" s="8" t="str">
        <f>IFERROR(__xludf.DUMMYFUNCTION("""COMPUTED_VALUE"""),"")</f>
        <v/>
      </c>
      <c r="P79" s="8"/>
      <c r="Q79" s="8"/>
    </row>
    <row r="80">
      <c r="A80" s="7" t="s">
        <v>1542</v>
      </c>
      <c r="B80" s="25" t="s">
        <v>158</v>
      </c>
      <c r="C80" s="385" t="s">
        <v>1426</v>
      </c>
      <c r="D80" s="385" t="s">
        <v>1534</v>
      </c>
      <c r="E80" s="387" t="s">
        <v>1454</v>
      </c>
      <c r="F80" s="7">
        <v>79.0</v>
      </c>
      <c r="G80" s="386">
        <f t="shared" ref="G80:G81" si="19">DATE(2023, 12, 7)</f>
        <v>45267</v>
      </c>
      <c r="H80" s="7" t="b">
        <v>0</v>
      </c>
      <c r="I80" s="388" t="str">
        <f>IFERROR(__xludf.DUMMYFUNCTION("""COMPUTED_VALUE"""),"")</f>
        <v/>
      </c>
      <c r="J80" s="7"/>
      <c r="K80" s="8"/>
      <c r="L80" s="8"/>
      <c r="M80" s="387" t="s">
        <v>1543</v>
      </c>
      <c r="N80" s="8" t="str">
        <f>IFERROR(__xludf.DUMMYFUNCTION("""COMPUTED_VALUE"""),"ØØØ Season 3 [The Pequod Harpooneer] Heathcliff")</f>
        <v>ØØØ Season 3 [The Pequod Harpooneer] Heathcliff</v>
      </c>
      <c r="O80" s="8" t="str">
        <f>IFERROR(__xludf.DUMMYFUNCTION("""COMPUTED_VALUE"""),"")</f>
        <v/>
      </c>
      <c r="P80" s="8"/>
      <c r="Q80" s="8"/>
    </row>
    <row r="81">
      <c r="A81" s="7" t="s">
        <v>1544</v>
      </c>
      <c r="B81" s="25" t="s">
        <v>12</v>
      </c>
      <c r="C81" s="385" t="s">
        <v>1423</v>
      </c>
      <c r="D81" s="385" t="s">
        <v>1534</v>
      </c>
      <c r="E81" s="387" t="s">
        <v>1454</v>
      </c>
      <c r="F81" s="7">
        <v>80.0</v>
      </c>
      <c r="G81" s="386">
        <f t="shared" si="19"/>
        <v>45267</v>
      </c>
      <c r="H81" s="7" t="b">
        <v>1</v>
      </c>
      <c r="I81" s="388" t="str">
        <f>IFERROR(__xludf.DUMMYFUNCTION("""COMPUTED_VALUE"""),"[The Pequod First Mate] Yi Sang")</f>
        <v>[The Pequod First Mate] Yi Sang</v>
      </c>
      <c r="J81" s="7">
        <v>27.0</v>
      </c>
      <c r="K81" s="7">
        <v>2894.0</v>
      </c>
      <c r="L81" s="7">
        <v>3.0</v>
      </c>
      <c r="M81" s="387" t="s">
        <v>1545</v>
      </c>
      <c r="N81" s="8" t="str">
        <f>IFERROR(__xludf.DUMMYFUNCTION("""COMPUTED_VALUE"""),"")</f>
        <v/>
      </c>
      <c r="O81" s="8" t="str">
        <f>IFERROR(__xludf.DUMMYFUNCTION("""COMPUTED_VALUE"""),"")</f>
        <v/>
      </c>
      <c r="P81" s="7">
        <v>10.0</v>
      </c>
      <c r="Q81" s="7"/>
    </row>
    <row r="82">
      <c r="A82" s="7" t="s">
        <v>1546</v>
      </c>
      <c r="B82" s="25" t="s">
        <v>161</v>
      </c>
      <c r="C82" s="385" t="s">
        <v>1423</v>
      </c>
      <c r="D82" s="385" t="s">
        <v>771</v>
      </c>
      <c r="E82" s="387" t="s">
        <v>765</v>
      </c>
      <c r="F82" s="7">
        <v>81.0</v>
      </c>
      <c r="G82" s="386">
        <f t="shared" ref="G82:G83" si="20">DATE(2023, 12, 21)</f>
        <v>45281</v>
      </c>
      <c r="H82" s="7" t="b">
        <v>1</v>
      </c>
      <c r="I82" s="388" t="str">
        <f>IFERROR(__xludf.DUMMYFUNCTION("""COMPUTED_VALUE"""),"[Cinq Assoc. South Section 4] Outis")</f>
        <v>[Cinq Assoc. South Section 4] Outis</v>
      </c>
      <c r="J82" s="7">
        <v>4.0</v>
      </c>
      <c r="K82" s="7">
        <v>2.0</v>
      </c>
      <c r="L82" s="7">
        <v>3.0</v>
      </c>
      <c r="M82" s="387" t="s">
        <v>1547</v>
      </c>
      <c r="N82" s="8" t="str">
        <f>IFERROR(__xludf.DUMMYFUNCTION("""COMPUTED_VALUE"""),"")</f>
        <v/>
      </c>
      <c r="O82" s="8" t="str">
        <f>IFERROR(__xludf.DUMMYFUNCTION("""COMPUTED_VALUE"""),"")</f>
        <v/>
      </c>
      <c r="P82" s="8"/>
      <c r="Q82" s="8"/>
    </row>
    <row r="83">
      <c r="A83" s="7" t="s">
        <v>1548</v>
      </c>
      <c r="B83" s="25" t="s">
        <v>160</v>
      </c>
      <c r="C83" s="385" t="s">
        <v>1426</v>
      </c>
      <c r="D83" s="385" t="s">
        <v>771</v>
      </c>
      <c r="E83" s="387" t="s">
        <v>765</v>
      </c>
      <c r="F83" s="7">
        <v>82.0</v>
      </c>
      <c r="G83" s="386">
        <f t="shared" si="20"/>
        <v>45281</v>
      </c>
      <c r="H83" s="7" t="b">
        <v>0</v>
      </c>
      <c r="I83" s="388" t="str">
        <f>IFERROR(__xludf.DUMMYFUNCTION("""COMPUTED_VALUE"""),"")</f>
        <v/>
      </c>
      <c r="J83" s="7"/>
      <c r="K83" s="8"/>
      <c r="L83" s="8"/>
      <c r="M83" s="387" t="s">
        <v>1549</v>
      </c>
      <c r="N83" s="8" t="str">
        <f>IFERROR(__xludf.DUMMYFUNCTION("""COMPUTED_VALUE"""),"ØØØ Standard Fare [Cinq Assoc.South Section 4 Director] Sinclair")</f>
        <v>ØØØ Standard Fare [Cinq Assoc.South Section 4 Director] Sinclair</v>
      </c>
      <c r="O83" s="8" t="str">
        <f>IFERROR(__xludf.DUMMYFUNCTION("""COMPUTED_VALUE"""),"")</f>
        <v/>
      </c>
      <c r="P83" s="8"/>
      <c r="Q83" s="8"/>
    </row>
    <row r="84">
      <c r="A84" s="7" t="s">
        <v>1550</v>
      </c>
      <c r="B84" s="25" t="s">
        <v>154</v>
      </c>
      <c r="C84" s="385" t="s">
        <v>1423</v>
      </c>
      <c r="D84" s="385" t="s">
        <v>1551</v>
      </c>
      <c r="E84" s="387" t="s">
        <v>752</v>
      </c>
      <c r="F84" s="7">
        <v>83.0</v>
      </c>
      <c r="G84" s="386">
        <f t="shared" ref="G84:G85" si="21">DATE(2024, 1, 11)</f>
        <v>45302</v>
      </c>
      <c r="H84" s="7" t="b">
        <v>1</v>
      </c>
      <c r="I84" s="388" t="str">
        <f>IFERROR(__xludf.DUMMYFUNCTION("""COMPUTED_VALUE"""),"[Lobotomy E.G.O::Lantern] Don Quixote")</f>
        <v>[Lobotomy E.G.O::Lantern] Don Quixote</v>
      </c>
      <c r="J84" s="7">
        <v>34.0</v>
      </c>
      <c r="K84" s="7">
        <v>3507.0</v>
      </c>
      <c r="L84" s="7">
        <v>3.0</v>
      </c>
      <c r="M84" s="387" t="s">
        <v>1507</v>
      </c>
      <c r="N84" s="8" t="str">
        <f>IFERROR(__xludf.DUMMYFUNCTION("""COMPUTED_VALUE"""),"")</f>
        <v/>
      </c>
      <c r="O84" s="8" t="str">
        <f>IFERROR(__xludf.DUMMYFUNCTION("""COMPUTED_VALUE"""),"")</f>
        <v/>
      </c>
      <c r="P84" s="8"/>
      <c r="Q84" s="8"/>
    </row>
    <row r="85">
      <c r="A85" s="7" t="s">
        <v>1552</v>
      </c>
      <c r="B85" s="25" t="s">
        <v>161</v>
      </c>
      <c r="C85" s="385" t="s">
        <v>1426</v>
      </c>
      <c r="D85" s="385" t="s">
        <v>1551</v>
      </c>
      <c r="E85" s="387" t="s">
        <v>138</v>
      </c>
      <c r="F85" s="7">
        <v>84.0</v>
      </c>
      <c r="G85" s="386">
        <f t="shared" si="21"/>
        <v>45302</v>
      </c>
      <c r="H85" s="8" t="b">
        <v>0</v>
      </c>
      <c r="I85" s="388" t="str">
        <f>IFERROR(__xludf.DUMMYFUNCTION("""COMPUTED_VALUE"""),"")</f>
        <v/>
      </c>
      <c r="J85" s="7"/>
      <c r="K85" s="8"/>
      <c r="L85" s="8"/>
      <c r="M85" s="387" t="s">
        <v>1005</v>
      </c>
      <c r="N85" s="8" t="str">
        <f>IFERROR(__xludf.DUMMYFUNCTION("""COMPUTED_VALUE"""),"ØØØ Walpurgisnaught 2 [Lobotomy E.G.O::Magic Bullet] Outis")</f>
        <v>ØØØ Walpurgisnaught 2 [Lobotomy E.G.O::Magic Bullet] Outis</v>
      </c>
      <c r="O85" s="8" t="str">
        <f>IFERROR(__xludf.DUMMYFUNCTION("""COMPUTED_VALUE"""),"")</f>
        <v/>
      </c>
      <c r="P85" s="8"/>
      <c r="Q85" s="8"/>
    </row>
    <row r="86">
      <c r="A86" s="7" t="s">
        <v>1525</v>
      </c>
      <c r="B86" s="25" t="s">
        <v>12</v>
      </c>
      <c r="C86" s="385" t="s">
        <v>1423</v>
      </c>
      <c r="D86" s="385" t="s">
        <v>771</v>
      </c>
      <c r="E86" s="387" t="s">
        <v>134</v>
      </c>
      <c r="F86" s="7">
        <v>85.0</v>
      </c>
      <c r="G86" s="386">
        <f t="shared" ref="G86:G87" si="22">DATE(2024, 1, 25)</f>
        <v>45316</v>
      </c>
      <c r="H86" s="7" t="b">
        <v>1</v>
      </c>
      <c r="I86" s="388" t="str">
        <f>IFERROR(__xludf.DUMMYFUNCTION("""COMPUTED_VALUE"""),"[Dieci Assoc. South Section 4] Yi Sang")</f>
        <v>[Dieci Assoc. South Section 4] Yi Sang</v>
      </c>
      <c r="J86" s="7">
        <v>1.0</v>
      </c>
      <c r="K86" s="7">
        <v>0.0</v>
      </c>
      <c r="L86" s="7">
        <v>1.0</v>
      </c>
      <c r="M86" s="387" t="s">
        <v>1553</v>
      </c>
      <c r="N86" s="8" t="str">
        <f>IFERROR(__xludf.DUMMYFUNCTION("""COMPUTED_VALUE"""),"")</f>
        <v/>
      </c>
      <c r="O86" s="8" t="str">
        <f>IFERROR(__xludf.DUMMYFUNCTION("""COMPUTED_VALUE"""),"")</f>
        <v/>
      </c>
      <c r="P86" s="8"/>
      <c r="Q86" s="8"/>
    </row>
    <row r="87">
      <c r="A87" s="7" t="s">
        <v>1525</v>
      </c>
      <c r="B87" s="25" t="s">
        <v>157</v>
      </c>
      <c r="C87" s="385" t="s">
        <v>1426</v>
      </c>
      <c r="D87" s="385" t="s">
        <v>771</v>
      </c>
      <c r="E87" s="387" t="s">
        <v>134</v>
      </c>
      <c r="F87" s="7">
        <v>86.0</v>
      </c>
      <c r="G87" s="386">
        <f t="shared" si="22"/>
        <v>45316</v>
      </c>
      <c r="H87" s="8" t="b">
        <v>0</v>
      </c>
      <c r="I87" s="388" t="str">
        <f>IFERROR(__xludf.DUMMYFUNCTION("""COMPUTED_VALUE"""),"")</f>
        <v/>
      </c>
      <c r="J87" s="7"/>
      <c r="K87" s="8"/>
      <c r="L87" s="8"/>
      <c r="M87" s="387" t="s">
        <v>1554</v>
      </c>
      <c r="N87" s="8" t="str">
        <f>IFERROR(__xludf.DUMMYFUNCTION("""COMPUTED_VALUE"""),"ØØØ Standard Fare [Dieci Assoc. South Section 4] Hong Lu")</f>
        <v>ØØØ Standard Fare [Dieci Assoc. South Section 4] Hong Lu</v>
      </c>
      <c r="O87" s="8" t="str">
        <f>IFERROR(__xludf.DUMMYFUNCTION("""COMPUTED_VALUE"""),"")</f>
        <v/>
      </c>
      <c r="P87" s="8"/>
      <c r="Q87" s="8"/>
    </row>
    <row r="88">
      <c r="A88" s="7" t="s">
        <v>1555</v>
      </c>
      <c r="B88" s="25" t="s">
        <v>122</v>
      </c>
      <c r="C88" s="385" t="s">
        <v>1426</v>
      </c>
      <c r="D88" s="385" t="s">
        <v>1534</v>
      </c>
      <c r="E88" s="387" t="s">
        <v>1556</v>
      </c>
      <c r="F88" s="7">
        <v>87.0</v>
      </c>
      <c r="G88" s="386">
        <f>DATE(2024, 2, 8)</f>
        <v>45330</v>
      </c>
      <c r="H88" s="8" t="b">
        <v>0</v>
      </c>
      <c r="I88" s="388" t="str">
        <f>IFERROR(__xludf.DUMMYFUNCTION("""COMPUTED_VALUE"""),"")</f>
        <v/>
      </c>
      <c r="J88" s="7"/>
      <c r="K88" s="8"/>
      <c r="L88" s="8"/>
      <c r="M88" s="387" t="s">
        <v>1557</v>
      </c>
      <c r="N88" s="8" t="str">
        <f>IFERROR(__xludf.DUMMYFUNCTION("""COMPUTED_VALUE"""),"ØØØ Season 3 [The Pequod Captain] Ishmael")</f>
        <v>ØØØ Season 3 [The Pequod Captain] Ishmael</v>
      </c>
      <c r="O88" s="8" t="str">
        <f>IFERROR(__xludf.DUMMYFUNCTION("""COMPUTED_VALUE"""),"")</f>
        <v/>
      </c>
      <c r="P88" s="8"/>
      <c r="Q88" s="8"/>
    </row>
    <row r="89">
      <c r="A89" s="7" t="s">
        <v>1558</v>
      </c>
      <c r="B89" s="25" t="s">
        <v>156</v>
      </c>
      <c r="C89" s="385" t="s">
        <v>1426</v>
      </c>
      <c r="D89" s="385" t="s">
        <v>1559</v>
      </c>
      <c r="E89" s="387" t="s">
        <v>765</v>
      </c>
      <c r="F89" s="7">
        <v>88.0</v>
      </c>
      <c r="G89" s="386">
        <f t="shared" ref="G89:G92" si="23">DATE(2024, 2, 22)</f>
        <v>45344</v>
      </c>
      <c r="H89" s="7" t="b">
        <v>1</v>
      </c>
      <c r="I89" s="388" t="str">
        <f>IFERROR(__xludf.DUMMYFUNCTION("""COMPUTED_VALUE"""),"[Blade Lineage Mentor] Meursault")</f>
        <v>[Blade Lineage Mentor] Meursault</v>
      </c>
      <c r="J89" s="7">
        <v>60.0</v>
      </c>
      <c r="K89" s="7">
        <v>0.0</v>
      </c>
      <c r="L89" s="7">
        <v>4.0</v>
      </c>
      <c r="M89" s="387" t="s">
        <v>1560</v>
      </c>
      <c r="N89" s="8" t="str">
        <f>IFERROR(__xludf.DUMMYFUNCTION("""COMPUTED_VALUE"""),"")</f>
        <v/>
      </c>
      <c r="O89" s="8" t="str">
        <f>IFERROR(__xludf.DUMMYFUNCTION("""COMPUTED_VALUE"""),"")</f>
        <v/>
      </c>
      <c r="P89" s="7">
        <v>9.0</v>
      </c>
      <c r="Q89" s="7"/>
    </row>
    <row r="90">
      <c r="A90" s="7" t="s">
        <v>1425</v>
      </c>
      <c r="B90" s="25" t="s">
        <v>153</v>
      </c>
      <c r="C90" s="385" t="s">
        <v>1426</v>
      </c>
      <c r="D90" s="385" t="s">
        <v>1559</v>
      </c>
      <c r="E90" s="387" t="s">
        <v>765</v>
      </c>
      <c r="F90" s="7">
        <v>89.0</v>
      </c>
      <c r="G90" s="386">
        <f t="shared" si="23"/>
        <v>45344</v>
      </c>
      <c r="H90" s="7" t="b">
        <v>1</v>
      </c>
      <c r="I90" s="388" t="str">
        <f>IFERROR(__xludf.DUMMYFUNCTION("""COMPUTED_VALUE"""),"[Blade Lineage Salsu] Faust")</f>
        <v>[Blade Lineage Salsu] Faust</v>
      </c>
      <c r="J90" s="7">
        <v>60.0</v>
      </c>
      <c r="K90" s="7">
        <v>0.0</v>
      </c>
      <c r="L90" s="7">
        <v>4.0</v>
      </c>
      <c r="M90" s="387" t="s">
        <v>1561</v>
      </c>
      <c r="N90" s="8" t="str">
        <f>IFERROR(__xludf.DUMMYFUNCTION("""COMPUTED_VALUE"""),"")</f>
        <v/>
      </c>
      <c r="O90" s="8" t="str">
        <f>IFERROR(__xludf.DUMMYFUNCTION("""COMPUTED_VALUE"""),"")</f>
        <v/>
      </c>
      <c r="P90" s="8"/>
      <c r="Q90" s="8"/>
    </row>
    <row r="91">
      <c r="A91" s="7" t="s">
        <v>1425</v>
      </c>
      <c r="B91" s="25" t="s">
        <v>154</v>
      </c>
      <c r="C91" s="385" t="s">
        <v>1423</v>
      </c>
      <c r="D91" s="385" t="s">
        <v>1562</v>
      </c>
      <c r="E91" s="387" t="s">
        <v>765</v>
      </c>
      <c r="F91" s="7">
        <v>90.0</v>
      </c>
      <c r="G91" s="386">
        <f t="shared" si="23"/>
        <v>45344</v>
      </c>
      <c r="H91" s="7" t="b">
        <v>1</v>
      </c>
      <c r="I91" s="388" t="str">
        <f>IFERROR(__xludf.DUMMYFUNCTION("""COMPUTED_VALUE"""),"[Blade Lineage Salsu] Don Quixote")</f>
        <v>[Blade Lineage Salsu] Don Quixote</v>
      </c>
      <c r="J91" s="7">
        <v>7.0</v>
      </c>
      <c r="K91" s="7">
        <v>38.0</v>
      </c>
      <c r="L91" s="7">
        <v>3.0</v>
      </c>
      <c r="M91" s="387" t="s">
        <v>1414</v>
      </c>
      <c r="N91" s="8" t="str">
        <f>IFERROR(__xludf.DUMMYFUNCTION("""COMPUTED_VALUE"""),"")</f>
        <v/>
      </c>
      <c r="O91" s="8" t="str">
        <f>IFERROR(__xludf.DUMMYFUNCTION("""COMPUTED_VALUE"""),"")</f>
        <v/>
      </c>
      <c r="P91" s="8"/>
      <c r="Q91" s="8"/>
    </row>
    <row r="92">
      <c r="A92" s="7" t="s">
        <v>1563</v>
      </c>
      <c r="B92" s="25" t="s">
        <v>162</v>
      </c>
      <c r="C92" s="385" t="s">
        <v>1423</v>
      </c>
      <c r="D92" s="385" t="s">
        <v>1559</v>
      </c>
      <c r="E92" s="387" t="s">
        <v>143</v>
      </c>
      <c r="F92" s="7">
        <v>91.0</v>
      </c>
      <c r="G92" s="386">
        <f t="shared" si="23"/>
        <v>45344</v>
      </c>
      <c r="H92" s="8" t="b">
        <v>0</v>
      </c>
      <c r="I92" s="388" t="str">
        <f>IFERROR(__xludf.DUMMYFUNCTION("""COMPUTED_VALUE"""),"")</f>
        <v/>
      </c>
      <c r="J92" s="7"/>
      <c r="K92" s="8"/>
      <c r="L92" s="8"/>
      <c r="M92" s="387" t="s">
        <v>1564</v>
      </c>
      <c r="N92" s="8" t="str">
        <f>IFERROR(__xludf.DUMMYFUNCTION("""COMPUTED_VALUE"""),"")</f>
        <v/>
      </c>
      <c r="O92" s="8" t="str">
        <f>IFERROR(__xludf.DUMMYFUNCTION("""COMPUTED_VALUE"""),"ØØ Season 3 Event [Kurokumo Clan Captain] Gregor")</f>
        <v>ØØ Season 3 Event [Kurokumo Clan Captain] Gregor</v>
      </c>
      <c r="P92" s="8"/>
      <c r="Q92" s="8"/>
    </row>
    <row r="93">
      <c r="A93" s="7" t="s">
        <v>1503</v>
      </c>
      <c r="B93" s="25" t="s">
        <v>155</v>
      </c>
      <c r="C93" s="385" t="s">
        <v>1423</v>
      </c>
      <c r="D93" s="385" t="s">
        <v>771</v>
      </c>
      <c r="E93" s="387" t="s">
        <v>138</v>
      </c>
      <c r="F93" s="7">
        <v>92.0</v>
      </c>
      <c r="G93" s="386">
        <f t="shared" ref="G93:G94" si="24">DATE(2024, 3, 7)</f>
        <v>45358</v>
      </c>
      <c r="H93" s="7" t="b">
        <v>1</v>
      </c>
      <c r="I93" s="388" t="str">
        <f>IFERROR(__xludf.DUMMYFUNCTION("""COMPUTED_VALUE"""),"[Liu Assoc. South Section 4] Ryoshu")</f>
        <v>[Liu Assoc. South Section 4] Ryoshu</v>
      </c>
      <c r="J93" s="7">
        <v>28.0</v>
      </c>
      <c r="K93" s="7">
        <v>899.0</v>
      </c>
      <c r="L93" s="7">
        <v>3.0</v>
      </c>
      <c r="M93" s="8"/>
      <c r="N93" s="8" t="str">
        <f>IFERROR(__xludf.DUMMYFUNCTION("""COMPUTED_VALUE"""),"")</f>
        <v/>
      </c>
      <c r="O93" s="8" t="str">
        <f>IFERROR(__xludf.DUMMYFUNCTION("""COMPUTED_VALUE"""),"")</f>
        <v/>
      </c>
      <c r="P93" s="8"/>
      <c r="Q93" s="8"/>
    </row>
    <row r="94">
      <c r="A94" s="7" t="s">
        <v>1565</v>
      </c>
      <c r="B94" s="25" t="s">
        <v>159</v>
      </c>
      <c r="C94" s="385" t="s">
        <v>1426</v>
      </c>
      <c r="D94" s="385" t="s">
        <v>771</v>
      </c>
      <c r="E94" s="387" t="s">
        <v>138</v>
      </c>
      <c r="F94" s="7">
        <v>93.0</v>
      </c>
      <c r="G94" s="386">
        <f t="shared" si="24"/>
        <v>45358</v>
      </c>
      <c r="H94" s="7" t="b">
        <v>1</v>
      </c>
      <c r="I94" s="388" t="str">
        <f>IFERROR(__xludf.DUMMYFUNCTION("""COMPUTED_VALUE"""),"[Liu Assoc. South Section 4 Director] Rodion")</f>
        <v>[Liu Assoc. South Section 4 Director] Rodion</v>
      </c>
      <c r="J94" s="7">
        <v>1.0</v>
      </c>
      <c r="K94" s="7">
        <v>0.0</v>
      </c>
      <c r="L94" s="7">
        <v>3.0</v>
      </c>
      <c r="M94" s="387" t="s">
        <v>1566</v>
      </c>
      <c r="N94" s="8" t="str">
        <f>IFERROR(__xludf.DUMMYFUNCTION("""COMPUTED_VALUE"""),"")</f>
        <v/>
      </c>
      <c r="O94" s="8" t="str">
        <f>IFERROR(__xludf.DUMMYFUNCTION("""COMPUTED_VALUE"""),"")</f>
        <v/>
      </c>
      <c r="P94" s="8"/>
      <c r="Q94" s="8"/>
    </row>
    <row r="95">
      <c r="A95" s="7" t="s">
        <v>1567</v>
      </c>
      <c r="B95" s="25" t="s">
        <v>158</v>
      </c>
      <c r="C95" s="385" t="s">
        <v>1426</v>
      </c>
      <c r="D95" s="385" t="s">
        <v>771</v>
      </c>
      <c r="E95" s="387" t="s">
        <v>123</v>
      </c>
      <c r="F95" s="7">
        <v>94.0</v>
      </c>
      <c r="G95" s="386">
        <f>DATE(2024, 3, 21)</f>
        <v>45372</v>
      </c>
      <c r="H95" s="8" t="b">
        <v>0</v>
      </c>
      <c r="I95" s="388" t="str">
        <f>IFERROR(__xludf.DUMMYFUNCTION("""COMPUTED_VALUE"""),"")</f>
        <v/>
      </c>
      <c r="J95" s="7"/>
      <c r="K95" s="8"/>
      <c r="L95" s="8"/>
      <c r="M95" s="387" t="s">
        <v>1568</v>
      </c>
      <c r="N95" s="8" t="str">
        <f>IFERROR(__xludf.DUMMYFUNCTION("""COMPUTED_VALUE"""),"ØØØ Standard Fare [Öufi South Section 3] Heathcliff")</f>
        <v>ØØØ Standard Fare [Öufi South Section 3] Heathcliff</v>
      </c>
      <c r="O95" s="8" t="str">
        <f>IFERROR(__xludf.DUMMYFUNCTION("""COMPUTED_VALUE"""),"")</f>
        <v/>
      </c>
      <c r="P95" s="8"/>
      <c r="Q95" s="8"/>
    </row>
    <row r="96">
      <c r="A96" s="7" t="s">
        <v>1569</v>
      </c>
      <c r="B96" s="25" t="s">
        <v>161</v>
      </c>
      <c r="C96" s="385" t="s">
        <v>1426</v>
      </c>
      <c r="D96" s="385" t="s">
        <v>1570</v>
      </c>
      <c r="E96" s="387" t="s">
        <v>134</v>
      </c>
      <c r="F96" s="7">
        <v>95.0</v>
      </c>
      <c r="G96" s="386">
        <f t="shared" ref="G96:G97" si="25">DATE(2024, 3, 28)</f>
        <v>45379</v>
      </c>
      <c r="H96" s="7" t="b">
        <v>1</v>
      </c>
      <c r="I96" s="388" t="str">
        <f>IFERROR(__xludf.DUMMYFUNCTION("""COMPUTED_VALUE"""),"[Wuthering Heights Chief Butler] Outis")</f>
        <v>[Wuthering Heights Chief Butler] Outis</v>
      </c>
      <c r="J96" s="7">
        <v>60.0</v>
      </c>
      <c r="K96" s="7">
        <v>0.0</v>
      </c>
      <c r="L96" s="7">
        <v>4.0</v>
      </c>
      <c r="M96" s="387" t="s">
        <v>1571</v>
      </c>
      <c r="N96" s="8" t="str">
        <f>IFERROR(__xludf.DUMMYFUNCTION("""COMPUTED_VALUE"""),"")</f>
        <v/>
      </c>
      <c r="O96" s="8" t="str">
        <f>IFERROR(__xludf.DUMMYFUNCTION("""COMPUTED_VALUE"""),"")</f>
        <v/>
      </c>
      <c r="P96" s="8"/>
      <c r="Q96" s="8"/>
    </row>
    <row r="97">
      <c r="A97" s="7" t="s">
        <v>1572</v>
      </c>
      <c r="B97" s="25" t="s">
        <v>156</v>
      </c>
      <c r="C97" s="385" t="s">
        <v>1423</v>
      </c>
      <c r="D97" s="385" t="s">
        <v>1570</v>
      </c>
      <c r="E97" s="387" t="s">
        <v>752</v>
      </c>
      <c r="F97" s="7">
        <v>96.0</v>
      </c>
      <c r="G97" s="386">
        <f t="shared" si="25"/>
        <v>45379</v>
      </c>
      <c r="H97" s="7" t="b">
        <v>1</v>
      </c>
      <c r="I97" s="388" t="str">
        <f>IFERROR(__xludf.DUMMYFUNCTION("""COMPUTED_VALUE"""),"[Dead Rabbits Boss] Meursault")</f>
        <v>[Dead Rabbits Boss] Meursault</v>
      </c>
      <c r="J97" s="7">
        <v>1.0</v>
      </c>
      <c r="K97" s="7">
        <v>0.0</v>
      </c>
      <c r="L97" s="7">
        <v>1.0</v>
      </c>
      <c r="M97" s="387" t="s">
        <v>1573</v>
      </c>
      <c r="N97" s="8" t="str">
        <f>IFERROR(__xludf.DUMMYFUNCTION("""COMPUTED_VALUE"""),"")</f>
        <v/>
      </c>
      <c r="O97" s="8" t="str">
        <f>IFERROR(__xludf.DUMMYFUNCTION("""COMPUTED_VALUE"""),"")</f>
        <v/>
      </c>
      <c r="P97" s="8"/>
      <c r="Q97" s="8"/>
    </row>
    <row r="98">
      <c r="A98" s="7" t="s">
        <v>1574</v>
      </c>
      <c r="B98" s="25" t="s">
        <v>153</v>
      </c>
      <c r="C98" s="385" t="s">
        <v>1423</v>
      </c>
      <c r="D98" s="385" t="s">
        <v>1570</v>
      </c>
      <c r="E98" s="387" t="s">
        <v>134</v>
      </c>
      <c r="F98" s="7">
        <v>97.0</v>
      </c>
      <c r="G98" s="386">
        <f t="shared" ref="G98:G99" si="26">DATE(2024, 4, 4)</f>
        <v>45386</v>
      </c>
      <c r="H98" s="7" t="b">
        <v>1</v>
      </c>
      <c r="I98" s="388" t="str">
        <f>IFERROR(__xludf.DUMMYFUNCTION("""COMPUTED_VALUE"""),"[Wuthering Heights Butler] Faust")</f>
        <v>[Wuthering Heights Butler] Faust</v>
      </c>
      <c r="J98" s="7">
        <v>7.0</v>
      </c>
      <c r="K98" s="7">
        <v>8.0</v>
      </c>
      <c r="L98" s="7">
        <v>3.0</v>
      </c>
      <c r="M98" s="8"/>
      <c r="N98" s="8" t="str">
        <f>IFERROR(__xludf.DUMMYFUNCTION("""COMPUTED_VALUE"""),"")</f>
        <v/>
      </c>
      <c r="O98" s="8" t="str">
        <f>IFERROR(__xludf.DUMMYFUNCTION("""COMPUTED_VALUE"""),"")</f>
        <v/>
      </c>
      <c r="P98" s="7">
        <v>8.0</v>
      </c>
      <c r="Q98" s="7"/>
    </row>
    <row r="99">
      <c r="A99" s="7" t="s">
        <v>1575</v>
      </c>
      <c r="B99" s="25" t="s">
        <v>162</v>
      </c>
      <c r="C99" s="385" t="s">
        <v>1426</v>
      </c>
      <c r="D99" s="385" t="s">
        <v>1570</v>
      </c>
      <c r="E99" s="387" t="s">
        <v>134</v>
      </c>
      <c r="F99" s="7">
        <v>98.0</v>
      </c>
      <c r="G99" s="386">
        <f t="shared" si="26"/>
        <v>45386</v>
      </c>
      <c r="H99" s="8" t="b">
        <v>0</v>
      </c>
      <c r="I99" s="388" t="str">
        <f>IFERROR(__xludf.DUMMYFUNCTION("""COMPUTED_VALUE"""),"")</f>
        <v/>
      </c>
      <c r="J99" s="7"/>
      <c r="K99" s="8"/>
      <c r="L99" s="8"/>
      <c r="M99" s="387" t="s">
        <v>1576</v>
      </c>
      <c r="N99" s="8" t="str">
        <f>IFERROR(__xludf.DUMMYFUNCTION("""COMPUTED_VALUE"""),"ØØØ Season 4 [Edgar Family Heir] Gregor")</f>
        <v>ØØØ Season 4 [Edgar Family Heir] Gregor</v>
      </c>
      <c r="O99" s="8" t="str">
        <f>IFERROR(__xludf.DUMMYFUNCTION("""COMPUTED_VALUE"""),"")</f>
        <v/>
      </c>
      <c r="P99" s="8"/>
      <c r="Q99" s="7">
        <v>18.0</v>
      </c>
    </row>
    <row r="100">
      <c r="A100" s="7" t="s">
        <v>1577</v>
      </c>
      <c r="B100" s="25" t="s">
        <v>122</v>
      </c>
      <c r="C100" s="385" t="s">
        <v>1423</v>
      </c>
      <c r="D100" s="385" t="s">
        <v>1570</v>
      </c>
      <c r="E100" s="387" t="s">
        <v>1578</v>
      </c>
      <c r="F100" s="7">
        <v>99.0</v>
      </c>
      <c r="G100" s="386">
        <f t="shared" ref="G100:G101" si="27">DATE(2024, 4, 18)</f>
        <v>45400</v>
      </c>
      <c r="H100" s="7" t="b">
        <v>1</v>
      </c>
      <c r="I100" s="388" t="str">
        <f>IFERROR(__xludf.DUMMYFUNCTION("""COMPUTED_VALUE"""),"[Edgar Family Butler] Ishmael")</f>
        <v>[Edgar Family Butler] Ishmael</v>
      </c>
      <c r="J100" s="7">
        <v>1.0</v>
      </c>
      <c r="K100" s="7">
        <v>0.0</v>
      </c>
      <c r="L100" s="7">
        <v>3.0</v>
      </c>
      <c r="M100" s="387" t="s">
        <v>1579</v>
      </c>
      <c r="N100" s="8" t="str">
        <f>IFERROR(__xludf.DUMMYFUNCTION("""COMPUTED_VALUE"""),"")</f>
        <v/>
      </c>
      <c r="O100" s="8" t="str">
        <f>IFERROR(__xludf.DUMMYFUNCTION("""COMPUTED_VALUE"""),"")</f>
        <v/>
      </c>
      <c r="P100" s="8"/>
      <c r="Q100" s="8"/>
    </row>
    <row r="101">
      <c r="A101" s="7" t="s">
        <v>1580</v>
      </c>
      <c r="B101" s="25" t="s">
        <v>155</v>
      </c>
      <c r="C101" s="385" t="s">
        <v>1426</v>
      </c>
      <c r="D101" s="385" t="s">
        <v>1570</v>
      </c>
      <c r="E101" s="387" t="s">
        <v>765</v>
      </c>
      <c r="F101" s="7">
        <v>100.0</v>
      </c>
      <c r="G101" s="386">
        <f t="shared" si="27"/>
        <v>45400</v>
      </c>
      <c r="H101" s="8" t="b">
        <v>0</v>
      </c>
      <c r="I101" s="388" t="str">
        <f>IFERROR(__xludf.DUMMYFUNCTION("""COMPUTED_VALUE"""),"")</f>
        <v/>
      </c>
      <c r="J101" s="7"/>
      <c r="K101" s="8"/>
      <c r="L101" s="8"/>
      <c r="M101" s="387" t="s">
        <v>1581</v>
      </c>
      <c r="N101" s="8" t="str">
        <f>IFERROR(__xludf.DUMMYFUNCTION("""COMPUTED_VALUE"""),"ØØØ Season 4 [Edgar Family Chief Butler] Ryoshu")</f>
        <v>ØØØ Season 4 [Edgar Family Chief Butler] Ryoshu</v>
      </c>
      <c r="O101" s="8" t="str">
        <f>IFERROR(__xludf.DUMMYFUNCTION("""COMPUTED_VALUE"""),"")</f>
        <v/>
      </c>
      <c r="P101" s="8"/>
      <c r="Q101" s="7">
        <v>17.0</v>
      </c>
    </row>
    <row r="102">
      <c r="A102" s="7" t="s">
        <v>1582</v>
      </c>
      <c r="B102" s="25" t="s">
        <v>160</v>
      </c>
      <c r="C102" s="385" t="s">
        <v>1426</v>
      </c>
      <c r="D102" s="385" t="s">
        <v>1583</v>
      </c>
      <c r="E102" s="387" t="s">
        <v>138</v>
      </c>
      <c r="F102" s="7">
        <v>101.0</v>
      </c>
      <c r="G102" s="386">
        <f>DATE(2024, 5, 2)</f>
        <v>45414</v>
      </c>
      <c r="H102" s="7" t="b">
        <v>1</v>
      </c>
      <c r="I102" s="388" t="str">
        <f>IFERROR(__xludf.DUMMYFUNCTION("""COMPUTED_VALUE"""),"[Dawn Office Fixer] Sinclair")</f>
        <v>[Dawn Office Fixer] Sinclair</v>
      </c>
      <c r="J102" s="7">
        <v>8.0</v>
      </c>
      <c r="K102" s="7">
        <v>5.0</v>
      </c>
      <c r="L102" s="7">
        <v>3.0</v>
      </c>
      <c r="M102" s="8"/>
      <c r="N102" s="8" t="str">
        <f>IFERROR(__xludf.DUMMYFUNCTION("""COMPUTED_VALUE"""),"")</f>
        <v/>
      </c>
      <c r="O102" s="8" t="str">
        <f>IFERROR(__xludf.DUMMYFUNCTION("""COMPUTED_VALUE"""),"")</f>
        <v/>
      </c>
      <c r="P102" s="7">
        <v>7.0</v>
      </c>
      <c r="Q102" s="7"/>
    </row>
    <row r="103">
      <c r="A103" s="7" t="s">
        <v>1584</v>
      </c>
      <c r="B103" s="25" t="s">
        <v>161</v>
      </c>
      <c r="C103" s="385" t="s">
        <v>1423</v>
      </c>
      <c r="D103" s="385" t="s">
        <v>771</v>
      </c>
      <c r="E103" s="387" t="s">
        <v>143</v>
      </c>
      <c r="F103" s="7">
        <v>102.0</v>
      </c>
      <c r="G103" s="386">
        <f t="shared" ref="G103:G104" si="28">DATE(2024, 5, 16)</f>
        <v>45428</v>
      </c>
      <c r="H103" s="7" t="b">
        <v>1</v>
      </c>
      <c r="I103" s="388" t="str">
        <f>IFERROR(__xludf.DUMMYFUNCTION("""COMPUTED_VALUE"""),"[The Ring Pointillist Student] Outis")</f>
        <v>[The Ring Pointillist Student] Outis</v>
      </c>
      <c r="J103" s="7">
        <v>6.0</v>
      </c>
      <c r="K103" s="7">
        <v>6.0</v>
      </c>
      <c r="L103" s="7">
        <v>3.0</v>
      </c>
      <c r="M103" s="387" t="s">
        <v>1521</v>
      </c>
      <c r="N103" s="8" t="str">
        <f>IFERROR(__xludf.DUMMYFUNCTION("""COMPUTED_VALUE"""),"")</f>
        <v/>
      </c>
      <c r="O103" s="8" t="str">
        <f>IFERROR(__xludf.DUMMYFUNCTION("""COMPUTED_VALUE"""),"")</f>
        <v/>
      </c>
      <c r="P103" s="8"/>
      <c r="Q103" s="8"/>
    </row>
    <row r="104">
      <c r="A104" s="7" t="s">
        <v>1584</v>
      </c>
      <c r="B104" s="25" t="s">
        <v>12</v>
      </c>
      <c r="C104" s="385" t="s">
        <v>1426</v>
      </c>
      <c r="D104" s="385" t="s">
        <v>771</v>
      </c>
      <c r="E104" s="387" t="s">
        <v>143</v>
      </c>
      <c r="F104" s="7">
        <v>103.0</v>
      </c>
      <c r="G104" s="386">
        <f t="shared" si="28"/>
        <v>45428</v>
      </c>
      <c r="H104" s="7" t="b">
        <v>1</v>
      </c>
      <c r="I104" s="388" t="str">
        <f>IFERROR(__xludf.DUMMYFUNCTION("""COMPUTED_VALUE"""),"[The Ring Pointillist Student] Yi Sang")</f>
        <v>[The Ring Pointillist Student] Yi Sang</v>
      </c>
      <c r="J104" s="7">
        <v>60.0</v>
      </c>
      <c r="K104" s="7">
        <v>0.0</v>
      </c>
      <c r="L104" s="7">
        <v>4.0</v>
      </c>
      <c r="M104" s="387" t="s">
        <v>1571</v>
      </c>
      <c r="N104" s="8" t="str">
        <f>IFERROR(__xludf.DUMMYFUNCTION("""COMPUTED_VALUE"""),"")</f>
        <v/>
      </c>
      <c r="O104" s="8" t="str">
        <f>IFERROR(__xludf.DUMMYFUNCTION("""COMPUTED_VALUE"""),"")</f>
        <v/>
      </c>
      <c r="P104" s="8"/>
      <c r="Q104" s="8"/>
    </row>
    <row r="105">
      <c r="A105" s="7" t="s">
        <v>1585</v>
      </c>
      <c r="B105" s="25" t="s">
        <v>155</v>
      </c>
      <c r="C105" s="385" t="s">
        <v>1423</v>
      </c>
      <c r="D105" s="385" t="s">
        <v>1586</v>
      </c>
      <c r="E105" s="387" t="s">
        <v>123</v>
      </c>
      <c r="F105" s="7">
        <v>104.0</v>
      </c>
      <c r="G105" s="386">
        <f t="shared" ref="G105:G106" si="29">DATE(2024, 6, 13)</f>
        <v>45456</v>
      </c>
      <c r="H105" s="7" t="b">
        <v>1</v>
      </c>
      <c r="I105" s="388" t="str">
        <f>IFERROR(__xludf.DUMMYFUNCTION("""COMPUTED_VALUE"""),"[District 20 Yurodivy] Ryoshu")</f>
        <v>[District 20 Yurodivy] Ryoshu</v>
      </c>
      <c r="J105" s="7">
        <v>35.0</v>
      </c>
      <c r="K105" s="7">
        <v>4166.0</v>
      </c>
      <c r="L105" s="7">
        <v>3.0</v>
      </c>
      <c r="M105" s="387" t="s">
        <v>1495</v>
      </c>
      <c r="N105" s="8" t="str">
        <f>IFERROR(__xludf.DUMMYFUNCTION("""COMPUTED_VALUE"""),"")</f>
        <v/>
      </c>
      <c r="O105" s="8" t="str">
        <f>IFERROR(__xludf.DUMMYFUNCTION("""COMPUTED_VALUE"""),"")</f>
        <v/>
      </c>
      <c r="P105" s="8"/>
      <c r="Q105" s="8"/>
    </row>
    <row r="106">
      <c r="A106" s="7" t="s">
        <v>1585</v>
      </c>
      <c r="B106" s="25" t="s">
        <v>157</v>
      </c>
      <c r="C106" s="385" t="s">
        <v>1426</v>
      </c>
      <c r="D106" s="385" t="s">
        <v>1587</v>
      </c>
      <c r="E106" s="387" t="s">
        <v>123</v>
      </c>
      <c r="F106" s="7">
        <v>105.0</v>
      </c>
      <c r="G106" s="386">
        <f t="shared" si="29"/>
        <v>45456</v>
      </c>
      <c r="H106" s="7" t="b">
        <v>1</v>
      </c>
      <c r="I106" s="388" t="str">
        <f>IFERROR(__xludf.DUMMYFUNCTION("""COMPUTED_VALUE"""),"[District 20 Yurodivy] Hong Lu")</f>
        <v>[District 20 Yurodivy] Hong Lu</v>
      </c>
      <c r="J106" s="7">
        <v>55.0</v>
      </c>
      <c r="K106" s="7">
        <v>36.0</v>
      </c>
      <c r="L106" s="7">
        <v>4.0</v>
      </c>
      <c r="M106" s="387" t="s">
        <v>1588</v>
      </c>
      <c r="N106" s="8" t="str">
        <f>IFERROR(__xludf.DUMMYFUNCTION("""COMPUTED_VALUE"""),"")</f>
        <v/>
      </c>
      <c r="O106" s="8" t="str">
        <f>IFERROR(__xludf.DUMMYFUNCTION("""COMPUTED_VALUE"""),"")</f>
        <v/>
      </c>
      <c r="P106" s="8"/>
      <c r="Q106" s="8"/>
    </row>
    <row r="107">
      <c r="A107" s="7" t="s">
        <v>1589</v>
      </c>
      <c r="B107" s="25" t="s">
        <v>159</v>
      </c>
      <c r="C107" s="385" t="s">
        <v>1423</v>
      </c>
      <c r="D107" s="385" t="s">
        <v>771</v>
      </c>
      <c r="E107" s="387" t="s">
        <v>123</v>
      </c>
      <c r="F107" s="7">
        <v>106.0</v>
      </c>
      <c r="G107" s="386">
        <f t="shared" ref="G107:G108" si="30">DATE(2024, 6, 27)</f>
        <v>45470</v>
      </c>
      <c r="H107" s="7" t="b">
        <v>1</v>
      </c>
      <c r="I107" s="388" t="str">
        <f>IFERROR(__xludf.DUMMYFUNCTION("""COMPUTED_VALUE"""),"[T Corp. Class 2 Collection Staff] Rodion")</f>
        <v>[T Corp. Class 2 Collection Staff] Rodion</v>
      </c>
      <c r="J107" s="7">
        <v>7.0</v>
      </c>
      <c r="K107" s="7">
        <v>48.0</v>
      </c>
      <c r="L107" s="7">
        <v>3.0</v>
      </c>
      <c r="M107" s="387" t="s">
        <v>1590</v>
      </c>
      <c r="N107" s="8" t="str">
        <f>IFERROR(__xludf.DUMMYFUNCTION("""COMPUTED_VALUE"""),"")</f>
        <v/>
      </c>
      <c r="O107" s="8" t="str">
        <f>IFERROR(__xludf.DUMMYFUNCTION("""COMPUTED_VALUE"""),"")</f>
        <v/>
      </c>
      <c r="P107" s="8"/>
      <c r="Q107" s="8"/>
    </row>
    <row r="108">
      <c r="A108" s="7" t="s">
        <v>1591</v>
      </c>
      <c r="B108" s="25" t="s">
        <v>154</v>
      </c>
      <c r="C108" s="385" t="s">
        <v>1426</v>
      </c>
      <c r="D108" s="385" t="s">
        <v>771</v>
      </c>
      <c r="E108" s="387" t="s">
        <v>123</v>
      </c>
      <c r="F108" s="7">
        <v>107.0</v>
      </c>
      <c r="G108" s="386">
        <f t="shared" si="30"/>
        <v>45470</v>
      </c>
      <c r="H108" s="7" t="b">
        <v>1</v>
      </c>
      <c r="I108" s="388" t="str">
        <f>IFERROR(__xludf.DUMMYFUNCTION("""COMPUTED_VALUE"""),"[T Corp. Class 3 Collection Staff] Don Quixote")</f>
        <v>[T Corp. Class 3 Collection Staff] Don Quixote</v>
      </c>
      <c r="J108" s="7">
        <v>55.0</v>
      </c>
      <c r="K108" s="7">
        <v>36.0</v>
      </c>
      <c r="L108" s="7">
        <v>3.0</v>
      </c>
      <c r="M108" s="387" t="s">
        <v>1592</v>
      </c>
      <c r="N108" s="8" t="str">
        <f>IFERROR(__xludf.DUMMYFUNCTION("""COMPUTED_VALUE"""),"")</f>
        <v/>
      </c>
      <c r="O108" s="8" t="str">
        <f>IFERROR(__xludf.DUMMYFUNCTION("""COMPUTED_VALUE"""),"")</f>
        <v/>
      </c>
      <c r="P108" s="7">
        <v>6.0</v>
      </c>
      <c r="Q108" s="7"/>
    </row>
    <row r="109">
      <c r="A109" s="7" t="s">
        <v>1593</v>
      </c>
      <c r="B109" s="25" t="s">
        <v>156</v>
      </c>
      <c r="C109" s="385" t="s">
        <v>1426</v>
      </c>
      <c r="D109" s="385" t="s">
        <v>771</v>
      </c>
      <c r="E109" s="387" t="s">
        <v>134</v>
      </c>
      <c r="F109" s="7">
        <v>108.0</v>
      </c>
      <c r="G109" s="386">
        <f>DATE(2024, 7, 11)</f>
        <v>45484</v>
      </c>
      <c r="H109" s="8" t="b">
        <v>0</v>
      </c>
      <c r="I109" s="388" t="str">
        <f>IFERROR(__xludf.DUMMYFUNCTION("""COMPUTED_VALUE"""),"")</f>
        <v/>
      </c>
      <c r="J109" s="7"/>
      <c r="K109" s="8"/>
      <c r="L109" s="8"/>
      <c r="M109" s="387" t="s">
        <v>1526</v>
      </c>
      <c r="N109" s="8" t="str">
        <f>IFERROR(__xludf.DUMMYFUNCTION("""COMPUTED_VALUE"""),"ØØØ Standard Fare [Dieci Assoc. South Section 4 Director] Meursault")</f>
        <v>ØØØ Standard Fare [Dieci Assoc. South Section 4 Director] Meursault</v>
      </c>
      <c r="O109" s="8" t="str">
        <f>IFERROR(__xludf.DUMMYFUNCTION("""COMPUTED_VALUE"""),"")</f>
        <v/>
      </c>
      <c r="P109" s="8"/>
      <c r="Q109" s="8"/>
    </row>
    <row r="110">
      <c r="A110" s="7" t="s">
        <v>1594</v>
      </c>
      <c r="B110" s="25" t="s">
        <v>161</v>
      </c>
      <c r="C110" s="385" t="s">
        <v>1426</v>
      </c>
      <c r="D110" s="385" t="s">
        <v>771</v>
      </c>
      <c r="E110" s="387" t="s">
        <v>1434</v>
      </c>
      <c r="F110" s="7">
        <v>109.0</v>
      </c>
      <c r="G110" s="386">
        <f>DATE(2024, 7, 25)</f>
        <v>45498</v>
      </c>
      <c r="H110" s="8" t="b">
        <v>0</v>
      </c>
      <c r="I110" s="388" t="str">
        <f>IFERROR(__xludf.DUMMYFUNCTION("""COMPUTED_VALUE"""),"")</f>
        <v/>
      </c>
      <c r="J110" s="7"/>
      <c r="K110" s="8"/>
      <c r="L110" s="8"/>
      <c r="M110" s="387" t="s">
        <v>1595</v>
      </c>
      <c r="N110" s="8" t="str">
        <f>IFERROR(__xludf.DUMMYFUNCTION("""COMPUTED_VALUE"""),"ØØØ Standard Fare [W Corp. L3 Cleanup Captain] Outis")</f>
        <v>ØØØ Standard Fare [W Corp. L3 Cleanup Captain] Outis</v>
      </c>
      <c r="O110" s="8" t="str">
        <f>IFERROR(__xludf.DUMMYFUNCTION("""COMPUTED_VALUE"""),"")</f>
        <v/>
      </c>
      <c r="P110" s="8"/>
      <c r="Q110" s="8"/>
    </row>
    <row r="111">
      <c r="A111" s="7" t="s">
        <v>1596</v>
      </c>
      <c r="B111" s="25" t="s">
        <v>153</v>
      </c>
      <c r="C111" s="385" t="s">
        <v>1426</v>
      </c>
      <c r="D111" s="385" t="s">
        <v>1587</v>
      </c>
      <c r="E111" s="387" t="s">
        <v>148</v>
      </c>
      <c r="F111" s="7">
        <v>110.0</v>
      </c>
      <c r="G111" s="386">
        <f t="shared" ref="G111:G112" si="31">DATE(2024, 8, 8)</f>
        <v>45512</v>
      </c>
      <c r="H111" s="8" t="b">
        <v>0</v>
      </c>
      <c r="I111" s="388" t="str">
        <f>IFERROR(__xludf.DUMMYFUNCTION("""COMPUTED_VALUE"""),"")</f>
        <v/>
      </c>
      <c r="J111" s="7"/>
      <c r="K111" s="8"/>
      <c r="L111" s="7" t="s">
        <v>1597</v>
      </c>
      <c r="M111" s="387" t="s">
        <v>1598</v>
      </c>
      <c r="N111" s="8" t="str">
        <f>IFERROR(__xludf.DUMMYFUNCTION("""COMPUTED_VALUE"""),"")</f>
        <v/>
      </c>
      <c r="O111" s="8" t="str">
        <f>IFERROR(__xludf.DUMMYFUNCTION("""COMPUTED_VALUE"""),"ØØØ Season 4 Event [MultiCrack Office Rep] Faust")</f>
        <v>ØØØ Season 4 Event [MultiCrack Office Rep] Faust</v>
      </c>
      <c r="P111" s="8"/>
      <c r="Q111" s="7">
        <v>16.0</v>
      </c>
    </row>
    <row r="112">
      <c r="A112" s="7" t="s">
        <v>1599</v>
      </c>
      <c r="B112" s="25" t="s">
        <v>158</v>
      </c>
      <c r="C112" s="385" t="s">
        <v>1423</v>
      </c>
      <c r="D112" s="385" t="s">
        <v>1586</v>
      </c>
      <c r="E112" s="387" t="s">
        <v>148</v>
      </c>
      <c r="F112" s="7">
        <v>111.0</v>
      </c>
      <c r="G112" s="386">
        <f t="shared" si="31"/>
        <v>45512</v>
      </c>
      <c r="H112" s="7" t="b">
        <v>1</v>
      </c>
      <c r="I112" s="388" t="str">
        <f>IFERROR(__xludf.DUMMYFUNCTION("""COMPUTED_VALUE"""),"[MultiCrack Office Fixer] Heathcliff")</f>
        <v>[MultiCrack Office Fixer] Heathcliff</v>
      </c>
      <c r="J112" s="7">
        <v>10.0</v>
      </c>
      <c r="K112" s="7">
        <v>36.0</v>
      </c>
      <c r="L112" s="7">
        <v>4.0</v>
      </c>
      <c r="M112" s="387" t="s">
        <v>1600</v>
      </c>
      <c r="N112" s="8" t="str">
        <f>IFERROR(__xludf.DUMMYFUNCTION("""COMPUTED_VALUE"""),"")</f>
        <v/>
      </c>
      <c r="O112" s="8" t="str">
        <f>IFERROR(__xludf.DUMMYFUNCTION("""COMPUTED_VALUE"""),"")</f>
        <v/>
      </c>
      <c r="P112" s="8"/>
      <c r="Q112" s="8"/>
    </row>
    <row r="113">
      <c r="A113" s="7" t="s">
        <v>1601</v>
      </c>
      <c r="B113" s="25" t="s">
        <v>158</v>
      </c>
      <c r="C113" s="385" t="s">
        <v>1426</v>
      </c>
      <c r="D113" s="385" t="s">
        <v>1570</v>
      </c>
      <c r="E113" s="387" t="s">
        <v>134</v>
      </c>
      <c r="F113" s="7">
        <v>112.0</v>
      </c>
      <c r="G113" s="386">
        <f>DATE(2024, 8, 22)</f>
        <v>45526</v>
      </c>
      <c r="H113" s="7" t="b">
        <v>1</v>
      </c>
      <c r="I113" s="388" t="str">
        <f>IFERROR(__xludf.DUMMYFUNCTION("""COMPUTED_VALUE"""),"[Wild Hunt] Heathcliff")</f>
        <v>[Wild Hunt] Heathcliff</v>
      </c>
      <c r="J113" s="7">
        <v>60.0</v>
      </c>
      <c r="K113" s="7">
        <v>0.0</v>
      </c>
      <c r="L113" s="7">
        <v>4.0</v>
      </c>
      <c r="M113" s="387" t="s">
        <v>1602</v>
      </c>
      <c r="N113" s="8" t="str">
        <f>IFERROR(__xludf.DUMMYFUNCTION("""COMPUTED_VALUE"""),"")</f>
        <v/>
      </c>
      <c r="O113" s="8" t="str">
        <f>IFERROR(__xludf.DUMMYFUNCTION("""COMPUTED_VALUE"""),"")</f>
        <v/>
      </c>
      <c r="P113" s="8"/>
      <c r="Q113" s="8"/>
    </row>
    <row r="114">
      <c r="A114" s="7" t="s">
        <v>1603</v>
      </c>
      <c r="B114" s="25" t="s">
        <v>155</v>
      </c>
      <c r="C114" s="385" t="s">
        <v>1426</v>
      </c>
      <c r="D114" s="385" t="s">
        <v>1604</v>
      </c>
      <c r="E114" s="387" t="s">
        <v>1605</v>
      </c>
      <c r="F114" s="7">
        <v>113.0</v>
      </c>
      <c r="G114" s="386">
        <f t="shared" ref="G114:G115" si="32">DATE(2024, 9, 5)</f>
        <v>45540</v>
      </c>
      <c r="H114" s="7" t="b">
        <v>0</v>
      </c>
      <c r="I114" s="388" t="str">
        <f>IFERROR(__xludf.DUMMYFUNCTION("""COMPUTED_VALUE"""),"")</f>
        <v/>
      </c>
      <c r="J114" s="7"/>
      <c r="K114" s="8"/>
      <c r="L114" s="8"/>
      <c r="M114" s="387" t="s">
        <v>1606</v>
      </c>
      <c r="N114" s="8" t="str">
        <f>IFERROR(__xludf.DUMMYFUNCTION("""COMPUTED_VALUE"""),"ØØØ Walpurgisnaught 4 [Lobotomy E.G.O:: Red Eyes &amp; Penitence] Ryoshu")</f>
        <v>ØØØ Walpurgisnaught 4 [Lobotomy E.G.O:: Red Eyes &amp; Penitence] Ryoshu</v>
      </c>
      <c r="O114" s="8" t="str">
        <f>IFERROR(__xludf.DUMMYFUNCTION("""COMPUTED_VALUE"""),"")</f>
        <v/>
      </c>
      <c r="P114" s="8"/>
      <c r="Q114" s="7">
        <v>15.0</v>
      </c>
    </row>
    <row r="115">
      <c r="A115" s="7" t="s">
        <v>1607</v>
      </c>
      <c r="B115" s="25" t="s">
        <v>12</v>
      </c>
      <c r="C115" s="385" t="s">
        <v>1426</v>
      </c>
      <c r="D115" s="385" t="s">
        <v>1604</v>
      </c>
      <c r="E115" s="387" t="s">
        <v>134</v>
      </c>
      <c r="F115" s="7">
        <v>114.0</v>
      </c>
      <c r="G115" s="386">
        <f t="shared" si="32"/>
        <v>45540</v>
      </c>
      <c r="H115" s="7" t="b">
        <v>1</v>
      </c>
      <c r="I115" s="388" t="str">
        <f>IFERROR(__xludf.DUMMYFUNCTION("""COMPUTED_VALUE"""),"[Lobotomy E.G.O::Solemn Lament] Yi Sang")</f>
        <v>[Lobotomy E.G.O::Solemn Lament] Yi Sang</v>
      </c>
      <c r="J115" s="7">
        <v>60.0</v>
      </c>
      <c r="K115" s="7">
        <v>0.0</v>
      </c>
      <c r="L115" s="7">
        <v>4.0</v>
      </c>
      <c r="M115" s="387" t="s">
        <v>1608</v>
      </c>
      <c r="N115" s="8" t="str">
        <f>IFERROR(__xludf.DUMMYFUNCTION("""COMPUTED_VALUE"""),"")</f>
        <v/>
      </c>
      <c r="O115" s="8" t="str">
        <f>IFERROR(__xludf.DUMMYFUNCTION("""COMPUTED_VALUE"""),"")</f>
        <v/>
      </c>
      <c r="P115" s="8"/>
      <c r="Q115" s="8"/>
    </row>
    <row r="116">
      <c r="A116" s="7" t="s">
        <v>1609</v>
      </c>
      <c r="B116" s="25" t="s">
        <v>159</v>
      </c>
      <c r="C116" s="385" t="s">
        <v>1426</v>
      </c>
      <c r="D116" s="385" t="s">
        <v>771</v>
      </c>
      <c r="E116" s="387" t="s">
        <v>752</v>
      </c>
      <c r="F116" s="7">
        <v>115.0</v>
      </c>
      <c r="G116" s="386">
        <f>DATE(2024, 9, 19)</f>
        <v>45554</v>
      </c>
      <c r="H116" s="8" t="b">
        <v>0</v>
      </c>
      <c r="I116" s="388" t="str">
        <f>IFERROR(__xludf.DUMMYFUNCTION("""COMPUTED_VALUE"""),"")</f>
        <v/>
      </c>
      <c r="J116" s="7"/>
      <c r="K116" s="8"/>
      <c r="L116" s="8"/>
      <c r="M116" s="387" t="s">
        <v>1610</v>
      </c>
      <c r="N116" s="8" t="str">
        <f>IFERROR(__xludf.DUMMYFUNCTION("""COMPUTED_VALUE"""),"ØØØ Standard Fare [Devyat' Assoc. North Section 3] Rodion")</f>
        <v>ØØØ Standard Fare [Devyat' Assoc. North Section 3] Rodion</v>
      </c>
      <c r="O116" s="8" t="str">
        <f>IFERROR(__xludf.DUMMYFUNCTION("""COMPUTED_VALUE"""),"")</f>
        <v/>
      </c>
      <c r="P116" s="8"/>
      <c r="Q116" s="8"/>
    </row>
    <row r="117">
      <c r="A117" s="7" t="s">
        <v>1611</v>
      </c>
      <c r="B117" s="25" t="s">
        <v>122</v>
      </c>
      <c r="C117" s="385" t="s">
        <v>1426</v>
      </c>
      <c r="D117" s="385" t="s">
        <v>771</v>
      </c>
      <c r="E117" s="387" t="s">
        <v>123</v>
      </c>
      <c r="F117" s="7">
        <v>116.0</v>
      </c>
      <c r="G117" s="386">
        <f>DATE(2024, 10, 3)</f>
        <v>45568</v>
      </c>
      <c r="H117" s="8" t="b">
        <v>0</v>
      </c>
      <c r="I117" s="388" t="str">
        <f>IFERROR(__xludf.DUMMYFUNCTION("""COMPUTED_VALUE"""),"")</f>
        <v/>
      </c>
      <c r="J117" s="7"/>
      <c r="K117" s="8"/>
      <c r="L117" s="8"/>
      <c r="M117" s="387" t="s">
        <v>1612</v>
      </c>
      <c r="N117" s="8" t="str">
        <f>IFERROR(__xludf.DUMMYFUNCTION("""COMPUTED_VALUE"""),"ØØØ Standard Fare [Zwei Assoc. West Section 3] Ishmael")</f>
        <v>ØØØ Standard Fare [Zwei Assoc. West Section 3] Ishmael</v>
      </c>
      <c r="O117" s="8" t="str">
        <f>IFERROR(__xludf.DUMMYFUNCTION("""COMPUTED_VALUE"""),"")</f>
        <v/>
      </c>
      <c r="P117" s="8"/>
      <c r="Q117" s="8"/>
    </row>
    <row r="118">
      <c r="A118" s="7" t="s">
        <v>1613</v>
      </c>
      <c r="B118" s="25" t="s">
        <v>156</v>
      </c>
      <c r="C118" s="385" t="s">
        <v>1426</v>
      </c>
      <c r="D118" s="385" t="s">
        <v>1614</v>
      </c>
      <c r="E118" s="387" t="s">
        <v>1615</v>
      </c>
      <c r="F118" s="7">
        <v>117.0</v>
      </c>
      <c r="G118" s="386">
        <f t="shared" ref="G118:G119" si="33">DATE(2024, 10, 10)</f>
        <v>45575</v>
      </c>
      <c r="H118" s="7" t="b">
        <v>1</v>
      </c>
      <c r="I118" s="388" t="str">
        <f>IFERROR(__xludf.DUMMYFUNCTION("""COMPUTED_VALUE"""),"[Cinq Assoc. West Section 3] Meursault")</f>
        <v>[Cinq Assoc. West Section 3] Meursault</v>
      </c>
      <c r="J118" s="7">
        <v>60.0</v>
      </c>
      <c r="K118" s="7">
        <v>0.0</v>
      </c>
      <c r="L118" s="7">
        <v>4.0</v>
      </c>
      <c r="M118" s="387" t="s">
        <v>1432</v>
      </c>
      <c r="N118" s="8" t="str">
        <f>IFERROR(__xludf.DUMMYFUNCTION("""COMPUTED_VALUE"""),"")</f>
        <v/>
      </c>
      <c r="O118" s="8" t="str">
        <f>IFERROR(__xludf.DUMMYFUNCTION("""COMPUTED_VALUE"""),"")</f>
        <v/>
      </c>
      <c r="P118" s="8"/>
      <c r="Q118" s="8"/>
    </row>
    <row r="119">
      <c r="A119" s="7" t="s">
        <v>1611</v>
      </c>
      <c r="B119" s="25" t="s">
        <v>160</v>
      </c>
      <c r="C119" s="385" t="s">
        <v>1423</v>
      </c>
      <c r="D119" s="385" t="s">
        <v>1614</v>
      </c>
      <c r="E119" s="387" t="s">
        <v>123</v>
      </c>
      <c r="F119" s="7">
        <v>118.0</v>
      </c>
      <c r="G119" s="386">
        <f t="shared" si="33"/>
        <v>45575</v>
      </c>
      <c r="H119" s="7" t="b">
        <v>1</v>
      </c>
      <c r="I119" s="388" t="str">
        <f>IFERROR(__xludf.DUMMYFUNCTION("""COMPUTED_VALUE"""),"[Zwei Assoc. West Section 3] Sinclair")</f>
        <v>[Zwei Assoc. West Section 3] Sinclair</v>
      </c>
      <c r="J119" s="7">
        <v>34.0</v>
      </c>
      <c r="K119" s="7">
        <v>1493.0</v>
      </c>
      <c r="L119" s="7">
        <v>3.0</v>
      </c>
      <c r="M119" s="387" t="s">
        <v>1616</v>
      </c>
      <c r="N119" s="8" t="str">
        <f>IFERROR(__xludf.DUMMYFUNCTION("""COMPUTED_VALUE"""),"")</f>
        <v/>
      </c>
      <c r="O119" s="8" t="str">
        <f>IFERROR(__xludf.DUMMYFUNCTION("""COMPUTED_VALUE"""),"")</f>
        <v/>
      </c>
      <c r="P119" s="8"/>
      <c r="Q119" s="8"/>
    </row>
    <row r="120">
      <c r="A120" s="7" t="s">
        <v>1617</v>
      </c>
      <c r="B120" s="25" t="s">
        <v>161</v>
      </c>
      <c r="C120" s="385" t="s">
        <v>1426</v>
      </c>
      <c r="D120" s="385" t="s">
        <v>1614</v>
      </c>
      <c r="E120" s="387" t="s">
        <v>143</v>
      </c>
      <c r="F120" s="7">
        <v>119.0</v>
      </c>
      <c r="G120" s="386">
        <f t="shared" ref="G120:G121" si="34">DATE(2024, 10, 17)</f>
        <v>45582</v>
      </c>
      <c r="H120" s="8" t="b">
        <v>0</v>
      </c>
      <c r="I120" s="388" t="str">
        <f>IFERROR(__xludf.DUMMYFUNCTION("""COMPUTED_VALUE"""),"")</f>
        <v/>
      </c>
      <c r="J120" s="7"/>
      <c r="K120" s="8"/>
      <c r="L120" s="8"/>
      <c r="M120" s="387" t="s">
        <v>1618</v>
      </c>
      <c r="N120" s="8" t="str">
        <f>IFERROR(__xludf.DUMMYFUNCTION("""COMPUTED_VALUE"""),"ØØØ Season 5 [The Barber of La Manchaland] Outis")</f>
        <v>ØØØ Season 5 [The Barber of La Manchaland] Outis</v>
      </c>
      <c r="O120" s="8" t="str">
        <f>IFERROR(__xludf.DUMMYFUNCTION("""COMPUTED_VALUE"""),"")</f>
        <v/>
      </c>
      <c r="P120" s="8"/>
      <c r="Q120" s="7">
        <v>12.0</v>
      </c>
    </row>
    <row r="121">
      <c r="A121" s="7" t="s">
        <v>1619</v>
      </c>
      <c r="B121" s="25" t="s">
        <v>157</v>
      </c>
      <c r="C121" s="385" t="s">
        <v>1423</v>
      </c>
      <c r="D121" s="385" t="s">
        <v>1614</v>
      </c>
      <c r="E121" s="387" t="s">
        <v>752</v>
      </c>
      <c r="F121" s="7">
        <v>120.0</v>
      </c>
      <c r="G121" s="386">
        <f t="shared" si="34"/>
        <v>45582</v>
      </c>
      <c r="H121" s="7" t="b">
        <v>1</v>
      </c>
      <c r="I121" s="388" t="str">
        <f>IFERROR(__xludf.DUMMYFUNCTION("""COMPUTED_VALUE"""),"[Fanghunt Office Fixer] Hong Lu")</f>
        <v>[Fanghunt Office Fixer] Hong Lu</v>
      </c>
      <c r="J121" s="7">
        <v>1.0</v>
      </c>
      <c r="K121" s="7">
        <v>0.0</v>
      </c>
      <c r="L121" s="7">
        <v>3.0</v>
      </c>
      <c r="M121" s="387" t="s">
        <v>1620</v>
      </c>
      <c r="N121" s="8" t="str">
        <f>IFERROR(__xludf.DUMMYFUNCTION("""COMPUTED_VALUE"""),"")</f>
        <v/>
      </c>
      <c r="O121" s="8" t="str">
        <f>IFERROR(__xludf.DUMMYFUNCTION("""COMPUTED_VALUE"""),"")</f>
        <v/>
      </c>
      <c r="P121" s="8"/>
      <c r="Q121" s="8"/>
    </row>
    <row r="122">
      <c r="A122" s="7" t="s">
        <v>1621</v>
      </c>
      <c r="B122" s="25" t="s">
        <v>162</v>
      </c>
      <c r="C122" s="385" t="s">
        <v>1426</v>
      </c>
      <c r="D122" s="385" t="s">
        <v>1614</v>
      </c>
      <c r="E122" s="387" t="s">
        <v>1622</v>
      </c>
      <c r="F122" s="7">
        <v>121.0</v>
      </c>
      <c r="G122" s="386">
        <f>DATE(2024, 11, 1)</f>
        <v>45597</v>
      </c>
      <c r="H122" s="7" t="b">
        <v>0</v>
      </c>
      <c r="I122" s="388" t="str">
        <f>IFERROR(__xludf.DUMMYFUNCTION("""COMPUTED_VALUE"""),"")</f>
        <v/>
      </c>
      <c r="J122" s="7"/>
      <c r="K122" s="8"/>
      <c r="L122" s="7" t="s">
        <v>1597</v>
      </c>
      <c r="M122" s="387" t="s">
        <v>1623</v>
      </c>
      <c r="N122" s="8" t="str">
        <f>IFERROR(__xludf.DUMMYFUNCTION("""COMPUTED_VALUE"""),"ØØØ Season 5 [The Priest of La Manchaland] Gregor")</f>
        <v>ØØØ Season 5 [The Priest of La Manchaland] Gregor</v>
      </c>
      <c r="O122" s="8" t="str">
        <f>IFERROR(__xludf.DUMMYFUNCTION("""COMPUTED_VALUE"""),"")</f>
        <v/>
      </c>
      <c r="P122" s="8"/>
      <c r="Q122" s="7">
        <v>11.0</v>
      </c>
    </row>
    <row r="123">
      <c r="A123" s="7" t="s">
        <v>1624</v>
      </c>
      <c r="B123" s="25" t="s">
        <v>159</v>
      </c>
      <c r="C123" s="385" t="s">
        <v>1426</v>
      </c>
      <c r="D123" s="385" t="s">
        <v>1614</v>
      </c>
      <c r="E123" s="387" t="s">
        <v>1622</v>
      </c>
      <c r="F123" s="7">
        <v>122.0</v>
      </c>
      <c r="G123" s="386">
        <f>DATE(2024, 11, 14)</f>
        <v>45610</v>
      </c>
      <c r="H123" s="7" t="b">
        <v>1</v>
      </c>
      <c r="I123" s="388" t="str">
        <f>IFERROR(__xludf.DUMMYFUNCTION("""COMPUTED_VALUE"""),"[The Princess of La Manchaland] Rodion")</f>
        <v>[The Princess of La Manchaland] Rodion</v>
      </c>
      <c r="J123" s="7">
        <v>60.0</v>
      </c>
      <c r="K123" s="7">
        <v>0.0</v>
      </c>
      <c r="L123" s="7">
        <v>4.0</v>
      </c>
      <c r="M123" s="387" t="s">
        <v>1625</v>
      </c>
      <c r="N123" s="8" t="str">
        <f>IFERROR(__xludf.DUMMYFUNCTION("""COMPUTED_VALUE"""),"")</f>
        <v/>
      </c>
      <c r="O123" s="8" t="str">
        <f>IFERROR(__xludf.DUMMYFUNCTION("""COMPUTED_VALUE"""),"")</f>
        <v/>
      </c>
      <c r="P123" s="8"/>
      <c r="Q123" s="8"/>
    </row>
    <row r="124">
      <c r="A124" s="7" t="s">
        <v>1609</v>
      </c>
      <c r="B124" s="25" t="s">
        <v>160</v>
      </c>
      <c r="C124" s="385" t="s">
        <v>1426</v>
      </c>
      <c r="D124" s="385" t="s">
        <v>771</v>
      </c>
      <c r="E124" s="387" t="s">
        <v>752</v>
      </c>
      <c r="F124" s="7">
        <v>123.0</v>
      </c>
      <c r="G124" s="386">
        <f>DATE(2024, 11, 28)</f>
        <v>45624</v>
      </c>
      <c r="H124" s="8" t="b">
        <v>0</v>
      </c>
      <c r="I124" s="388" t="str">
        <f>IFERROR(__xludf.DUMMYFUNCTION("""COMPUTED_VALUE"""),"")</f>
        <v/>
      </c>
      <c r="J124" s="7"/>
      <c r="K124" s="8"/>
      <c r="L124" s="8"/>
      <c r="M124" s="387" t="s">
        <v>1626</v>
      </c>
      <c r="N124" s="8" t="str">
        <f>IFERROR(__xludf.DUMMYFUNCTION("""COMPUTED_VALUE"""),"ØØØ Standard Fare [Devyat' Assoc. North Section 3] Sinclair")</f>
        <v>ØØØ Standard Fare [Devyat' Assoc. North Section 3] Sinclair</v>
      </c>
      <c r="O124" s="8" t="str">
        <f>IFERROR(__xludf.DUMMYFUNCTION("""COMPUTED_VALUE"""),"")</f>
        <v/>
      </c>
      <c r="P124" s="8"/>
      <c r="Q124" s="8"/>
    </row>
    <row r="125">
      <c r="A125" s="7" t="s">
        <v>1627</v>
      </c>
      <c r="B125" s="25" t="s">
        <v>154</v>
      </c>
      <c r="C125" s="385" t="s">
        <v>1426</v>
      </c>
      <c r="D125" s="385" t="s">
        <v>1614</v>
      </c>
      <c r="E125" s="387" t="s">
        <v>143</v>
      </c>
      <c r="F125" s="7">
        <v>124.0</v>
      </c>
      <c r="G125" s="386">
        <f>DATE(2024, 12, 12)</f>
        <v>45638</v>
      </c>
      <c r="H125" s="7" t="b">
        <v>1</v>
      </c>
      <c r="I125" s="388" t="str">
        <f>IFERROR(__xludf.DUMMYFUNCTION("""COMPUTED_VALUE"""),"[The Manager of La Manchaland] Don Quixote")</f>
        <v>[The Manager of La Manchaland] Don Quixote</v>
      </c>
      <c r="J125" s="7">
        <v>60.0</v>
      </c>
      <c r="K125" s="7">
        <v>0.0</v>
      </c>
      <c r="L125" s="7">
        <v>4.0</v>
      </c>
      <c r="M125" s="387" t="s">
        <v>1628</v>
      </c>
      <c r="N125" s="8" t="str">
        <f>IFERROR(__xludf.DUMMYFUNCTION("""COMPUTED_VALUE"""),"")</f>
        <v/>
      </c>
      <c r="O125" s="8" t="str">
        <f>IFERROR(__xludf.DUMMYFUNCTION("""COMPUTED_VALUE"""),"")</f>
        <v/>
      </c>
      <c r="P125" s="8"/>
      <c r="Q125" s="8"/>
    </row>
    <row r="126">
      <c r="A126" s="7" t="s">
        <v>1629</v>
      </c>
      <c r="B126" s="25" t="s">
        <v>158</v>
      </c>
      <c r="C126" s="385" t="s">
        <v>1426</v>
      </c>
      <c r="D126" s="385" t="s">
        <v>1630</v>
      </c>
      <c r="E126" s="387" t="s">
        <v>765</v>
      </c>
      <c r="F126" s="7">
        <v>125.0</v>
      </c>
      <c r="G126" s="386">
        <f t="shared" ref="G126:G127" si="35">DATE(2025, 1, 9)</f>
        <v>45666</v>
      </c>
      <c r="H126" s="8" t="b">
        <v>0</v>
      </c>
      <c r="I126" s="388" t="str">
        <f>IFERROR(__xludf.DUMMYFUNCTION("""COMPUTED_VALUE"""),"")</f>
        <v/>
      </c>
      <c r="J126" s="7"/>
      <c r="K126" s="8"/>
      <c r="L126" s="8"/>
      <c r="M126" s="387" t="s">
        <v>1631</v>
      </c>
      <c r="N126" s="8" t="str">
        <f>IFERROR(__xludf.DUMMYFUNCTION("""COMPUTED_VALUE"""),"ØØØ Walpurgisnaught 5 [Full-Stop Office Fixer] Heathcliff")</f>
        <v>ØØØ Walpurgisnaught 5 [Full-Stop Office Fixer] Heathcliff</v>
      </c>
      <c r="O126" s="8" t="str">
        <f>IFERROR(__xludf.DUMMYFUNCTION("""COMPUTED_VALUE"""),"")</f>
        <v/>
      </c>
      <c r="P126" s="8"/>
      <c r="Q126" s="7">
        <v>10.0</v>
      </c>
    </row>
    <row r="127">
      <c r="A127" s="7" t="s">
        <v>1632</v>
      </c>
      <c r="B127" s="25" t="s">
        <v>157</v>
      </c>
      <c r="C127" s="385" t="s">
        <v>1426</v>
      </c>
      <c r="D127" s="385" t="s">
        <v>1630</v>
      </c>
      <c r="E127" s="387" t="s">
        <v>765</v>
      </c>
      <c r="F127" s="7">
        <v>126.0</v>
      </c>
      <c r="G127" s="386">
        <f t="shared" si="35"/>
        <v>45666</v>
      </c>
      <c r="H127" s="7" t="b">
        <v>1</v>
      </c>
      <c r="I127" s="388" t="str">
        <f>IFERROR(__xludf.DUMMYFUNCTION("""COMPUTED_VALUE"""),"[Full-Stop Office Rep] Hong Lu")</f>
        <v>[Full-Stop Office Rep] Hong Lu</v>
      </c>
      <c r="J127" s="7">
        <v>60.0</v>
      </c>
      <c r="K127" s="7">
        <v>0.0</v>
      </c>
      <c r="L127" s="7">
        <v>3.0</v>
      </c>
      <c r="M127" s="387" t="s">
        <v>1633</v>
      </c>
      <c r="N127" s="8" t="str">
        <f>IFERROR(__xludf.DUMMYFUNCTION("""COMPUTED_VALUE"""),"")</f>
        <v/>
      </c>
      <c r="O127" s="8" t="str">
        <f>IFERROR(__xludf.DUMMYFUNCTION("""COMPUTED_VALUE"""),"")</f>
        <v/>
      </c>
      <c r="P127" s="7">
        <v>5.0</v>
      </c>
      <c r="Q127" s="7"/>
    </row>
    <row r="128">
      <c r="A128" s="7" t="s">
        <v>1634</v>
      </c>
      <c r="B128" s="25" t="s">
        <v>12</v>
      </c>
      <c r="C128" s="385" t="s">
        <v>1423</v>
      </c>
      <c r="D128" s="385" t="s">
        <v>1635</v>
      </c>
      <c r="E128" s="387" t="s">
        <v>752</v>
      </c>
      <c r="F128" s="7">
        <v>127.0</v>
      </c>
      <c r="G128" s="386">
        <f t="shared" ref="G128:G129" si="36">DATE(2025, 1, 23)</f>
        <v>45680</v>
      </c>
      <c r="H128" s="7" t="b">
        <v>1</v>
      </c>
      <c r="I128" s="388" t="str">
        <f>IFERROR(__xludf.DUMMYFUNCTION("""COMPUTED_VALUE"""),"[LCE E.G.O::Lantern] Yi Sang")</f>
        <v>[LCE E.G.O::Lantern] Yi Sang</v>
      </c>
      <c r="J128" s="7">
        <v>1.0</v>
      </c>
      <c r="K128" s="7">
        <v>0.0</v>
      </c>
      <c r="L128" s="7">
        <v>3.0</v>
      </c>
      <c r="M128" s="387" t="s">
        <v>1636</v>
      </c>
      <c r="N128" s="8" t="str">
        <f>IFERROR(__xludf.DUMMYFUNCTION("""COMPUTED_VALUE"""),"")</f>
        <v/>
      </c>
      <c r="O128" s="8" t="str">
        <f>IFERROR(__xludf.DUMMYFUNCTION("""COMPUTED_VALUE"""),"")</f>
        <v/>
      </c>
      <c r="P128" s="8"/>
      <c r="Q128" s="8"/>
    </row>
    <row r="129">
      <c r="A129" s="7" t="s">
        <v>1637</v>
      </c>
      <c r="B129" s="25" t="s">
        <v>153</v>
      </c>
      <c r="C129" s="385" t="s">
        <v>1426</v>
      </c>
      <c r="D129" s="385" t="s">
        <v>1638</v>
      </c>
      <c r="E129" s="387" t="s">
        <v>138</v>
      </c>
      <c r="F129" s="7">
        <v>128.0</v>
      </c>
      <c r="G129" s="386">
        <f t="shared" si="36"/>
        <v>45680</v>
      </c>
      <c r="H129" s="7" t="b">
        <v>1</v>
      </c>
      <c r="I129" s="388" t="str">
        <f>IFERROR(__xludf.DUMMYFUNCTION("""COMPUTED_VALUE"""),"[LCE E.G.O::Ardor Blossom Star] Faust")</f>
        <v>[LCE E.G.O::Ardor Blossom Star] Faust</v>
      </c>
      <c r="J129" s="7">
        <v>60.0</v>
      </c>
      <c r="K129" s="7">
        <v>0.0</v>
      </c>
      <c r="L129" s="7">
        <v>4.0</v>
      </c>
      <c r="M129" s="387" t="s">
        <v>1639</v>
      </c>
      <c r="N129" s="8" t="str">
        <f>IFERROR(__xludf.DUMMYFUNCTION("""COMPUTED_VALUE"""),"")</f>
        <v/>
      </c>
      <c r="O129" s="8" t="str">
        <f>IFERROR(__xludf.DUMMYFUNCTION("""COMPUTED_VALUE"""),"")</f>
        <v/>
      </c>
      <c r="P129" s="8"/>
      <c r="Q129" s="8"/>
    </row>
    <row r="130">
      <c r="A130" s="7" t="s">
        <v>1438</v>
      </c>
      <c r="B130" s="25" t="s">
        <v>158</v>
      </c>
      <c r="C130" s="385" t="s">
        <v>1426</v>
      </c>
      <c r="D130" s="385" t="s">
        <v>1640</v>
      </c>
      <c r="E130" s="387" t="s">
        <v>143</v>
      </c>
      <c r="F130" s="7">
        <v>129.0</v>
      </c>
      <c r="G130" s="386">
        <f t="shared" ref="G130:G131" si="37">DATE(2025, 2, 6)</f>
        <v>45694</v>
      </c>
      <c r="H130" s="8" t="b">
        <v>0</v>
      </c>
      <c r="I130" s="388" t="str">
        <f>IFERROR(__xludf.DUMMYFUNCTION("""COMPUTED_VALUE"""),"")</f>
        <v/>
      </c>
      <c r="J130" s="7"/>
      <c r="K130" s="8"/>
      <c r="L130" s="7" t="s">
        <v>1597</v>
      </c>
      <c r="M130" s="387" t="s">
        <v>1641</v>
      </c>
      <c r="N130" s="8" t="str">
        <f>IFERROR(__xludf.DUMMYFUNCTION("""COMPUTED_VALUE"""),"")</f>
        <v/>
      </c>
      <c r="O130" s="8" t="str">
        <f>IFERROR(__xludf.DUMMYFUNCTION("""COMPUTED_VALUE"""),"ØØØ Season 5 Bokgak Reward [Kurokumo Clan Wakashu] Heathcliff")</f>
        <v>ØØØ Season 5 Bokgak Reward [Kurokumo Clan Wakashu] Heathcliff</v>
      </c>
      <c r="P130" s="8"/>
      <c r="Q130" s="7">
        <v>13.0</v>
      </c>
    </row>
    <row r="131">
      <c r="A131" s="7" t="s">
        <v>1563</v>
      </c>
      <c r="B131" s="25" t="s">
        <v>122</v>
      </c>
      <c r="C131" s="385" t="s">
        <v>1426</v>
      </c>
      <c r="D131" s="385" t="s">
        <v>1642</v>
      </c>
      <c r="E131" s="387" t="s">
        <v>143</v>
      </c>
      <c r="F131" s="7">
        <v>130.0</v>
      </c>
      <c r="G131" s="386">
        <f t="shared" si="37"/>
        <v>45694</v>
      </c>
      <c r="H131" s="8" t="b">
        <v>0</v>
      </c>
      <c r="I131" s="388" t="str">
        <f>IFERROR(__xludf.DUMMYFUNCTION("""COMPUTED_VALUE"""),"")</f>
        <v/>
      </c>
      <c r="J131" s="7"/>
      <c r="K131" s="8"/>
      <c r="L131" s="7" t="s">
        <v>1597</v>
      </c>
      <c r="M131" s="387" t="s">
        <v>1643</v>
      </c>
      <c r="N131" s="8" t="str">
        <f>IFERROR(__xludf.DUMMYFUNCTION("""COMPUTED_VALUE"""),"")</f>
        <v/>
      </c>
      <c r="O131" s="8" t="str">
        <f>IFERROR(__xludf.DUMMYFUNCTION("""COMPUTED_VALUE"""),"ØØØ Season 5 Bokgak [Kurokumo Clan Captain] Ishmael")</f>
        <v>ØØØ Season 5 Bokgak [Kurokumo Clan Captain] Ishmael</v>
      </c>
      <c r="P131" s="8"/>
      <c r="Q131" s="7">
        <v>14.0</v>
      </c>
    </row>
    <row r="132">
      <c r="A132" s="7" t="s">
        <v>1644</v>
      </c>
      <c r="B132" s="25" t="s">
        <v>12</v>
      </c>
      <c r="C132" s="385" t="s">
        <v>1426</v>
      </c>
      <c r="D132" s="385" t="s">
        <v>771</v>
      </c>
      <c r="E132" s="387" t="s">
        <v>138</v>
      </c>
      <c r="F132" s="7">
        <v>131.0</v>
      </c>
      <c r="G132" s="386">
        <f>DATE(2025, 2, 20)</f>
        <v>45708</v>
      </c>
      <c r="H132" s="8" t="b">
        <v>0</v>
      </c>
      <c r="I132" s="388" t="str">
        <f>IFERROR(__xludf.DUMMYFUNCTION("""COMPUTED_VALUE"""),"")</f>
        <v/>
      </c>
      <c r="J132" s="7"/>
      <c r="K132" s="8"/>
      <c r="L132" s="8"/>
      <c r="M132" s="8"/>
      <c r="N132" s="8" t="str">
        <f>IFERROR(__xludf.DUMMYFUNCTION("""COMPUTED_VALUE"""),"ØØØ Standard Fare [Liu Assoc. South Section 3] Yi Sang")</f>
        <v>ØØØ Standard Fare [Liu Assoc. South Section 3] Yi Sang</v>
      </c>
      <c r="O132" s="8" t="str">
        <f>IFERROR(__xludf.DUMMYFUNCTION("""COMPUTED_VALUE"""),"")</f>
        <v/>
      </c>
      <c r="P132" s="8"/>
      <c r="Q132" s="8"/>
    </row>
    <row r="133">
      <c r="A133" s="7" t="s">
        <v>1645</v>
      </c>
      <c r="B133" s="25" t="s">
        <v>162</v>
      </c>
      <c r="C133" s="385" t="s">
        <v>1426</v>
      </c>
      <c r="D133" s="385" t="s">
        <v>1614</v>
      </c>
      <c r="E133" s="387" t="s">
        <v>138</v>
      </c>
      <c r="F133" s="7">
        <v>132.0</v>
      </c>
      <c r="G133" s="386">
        <f t="shared" ref="G133:G134" si="38">DATE(2025, 3, 6)</f>
        <v>45722</v>
      </c>
      <c r="H133" s="8" t="b">
        <v>0</v>
      </c>
      <c r="I133" s="388" t="str">
        <f>IFERROR(__xludf.DUMMYFUNCTION("""COMPUTED_VALUE"""),"")</f>
        <v/>
      </c>
      <c r="J133" s="7"/>
      <c r="K133" s="8"/>
      <c r="L133" s="7" t="s">
        <v>1597</v>
      </c>
      <c r="M133" s="387" t="s">
        <v>1414</v>
      </c>
      <c r="N133" s="8" t="str">
        <f>IFERROR(__xludf.DUMMYFUNCTION("""COMPUTED_VALUE"""),"ØØØ Season 5 [Firefist Office Survivor] Gregor")</f>
        <v>ØØØ Season 5 [Firefist Office Survivor] Gregor</v>
      </c>
      <c r="O133" s="8" t="str">
        <f>IFERROR(__xludf.DUMMYFUNCTION("""COMPUTED_VALUE"""),"")</f>
        <v/>
      </c>
      <c r="P133" s="8"/>
      <c r="Q133" s="7">
        <v>9.0</v>
      </c>
    </row>
    <row r="134">
      <c r="A134" s="7" t="s">
        <v>1646</v>
      </c>
      <c r="B134" s="25" t="s">
        <v>154</v>
      </c>
      <c r="C134" s="385" t="s">
        <v>1426</v>
      </c>
      <c r="D134" s="385" t="s">
        <v>771</v>
      </c>
      <c r="E134" s="387" t="s">
        <v>1647</v>
      </c>
      <c r="F134" s="7">
        <v>133.0</v>
      </c>
      <c r="G134" s="386">
        <f t="shared" si="38"/>
        <v>45722</v>
      </c>
      <c r="H134" s="8" t="b">
        <v>0</v>
      </c>
      <c r="I134" s="388" t="str">
        <f>IFERROR(__xludf.DUMMYFUNCTION("""COMPUTED_VALUE"""),"")</f>
        <v/>
      </c>
      <c r="J134" s="7"/>
      <c r="K134" s="8"/>
      <c r="L134" s="8"/>
      <c r="M134" s="387" t="s">
        <v>1648</v>
      </c>
      <c r="N134" s="8" t="str">
        <f>IFERROR(__xludf.DUMMYFUNCTION("""COMPUTED_VALUE"""),"ØØØ Standard Fare [Cinq East Section 3] Don Quixote")</f>
        <v>ØØØ Standard Fare [Cinq East Section 3] Don Quixote</v>
      </c>
      <c r="O134" s="8" t="str">
        <f>IFERROR(__xludf.DUMMYFUNCTION("""COMPUTED_VALUE"""),"")</f>
        <v/>
      </c>
      <c r="P134" s="8"/>
      <c r="Q134" s="8"/>
    </row>
    <row r="135">
      <c r="A135" s="7" t="s">
        <v>1649</v>
      </c>
      <c r="B135" s="25" t="s">
        <v>155</v>
      </c>
      <c r="C135" s="385" t="s">
        <v>1426</v>
      </c>
      <c r="D135" s="385" t="s">
        <v>1638</v>
      </c>
      <c r="E135" s="387" t="s">
        <v>752</v>
      </c>
      <c r="F135" s="7">
        <v>134.0</v>
      </c>
      <c r="G135" s="386">
        <f t="shared" ref="G135:G136" si="39">DATE(2025, 3, 20)</f>
        <v>45736</v>
      </c>
      <c r="H135" s="7" t="b">
        <v>1</v>
      </c>
      <c r="I135" s="388" t="str">
        <f>IFERROR(__xludf.DUMMYFUNCTION("""COMPUTED_VALUE"""),"[Heishou Pack - Mao Branch] Ryoshu")</f>
        <v>[Heishou Pack - Mao Branch] Ryoshu</v>
      </c>
      <c r="J135" s="7">
        <v>60.0</v>
      </c>
      <c r="K135" s="7">
        <v>0.0</v>
      </c>
      <c r="L135" s="7">
        <v>4.0</v>
      </c>
      <c r="M135" s="387" t="s">
        <v>1650</v>
      </c>
      <c r="N135" s="8" t="str">
        <f>IFERROR(__xludf.DUMMYFUNCTION("""COMPUTED_VALUE"""),"")</f>
        <v/>
      </c>
      <c r="O135" s="8" t="str">
        <f>IFERROR(__xludf.DUMMYFUNCTION("""COMPUTED_VALUE"""),"")</f>
        <v/>
      </c>
      <c r="P135" s="8"/>
      <c r="Q135" s="8"/>
    </row>
    <row r="136">
      <c r="A136" s="7" t="s">
        <v>1649</v>
      </c>
      <c r="B136" s="25" t="s">
        <v>161</v>
      </c>
      <c r="C136" s="385" t="s">
        <v>1426</v>
      </c>
      <c r="D136" s="385" t="s">
        <v>1635</v>
      </c>
      <c r="E136" s="387" t="s">
        <v>752</v>
      </c>
      <c r="F136" s="7">
        <v>135.0</v>
      </c>
      <c r="G136" s="386">
        <f t="shared" si="39"/>
        <v>45736</v>
      </c>
      <c r="H136" s="7" t="b">
        <v>1</v>
      </c>
      <c r="I136" s="388" t="str">
        <f>IFERROR(__xludf.DUMMYFUNCTION("""COMPUTED_VALUE"""),"[Heishou Pack - Mao Branch] Outis")</f>
        <v>[Heishou Pack - Mao Branch] Outis</v>
      </c>
      <c r="J136" s="7">
        <v>60.0</v>
      </c>
      <c r="K136" s="7">
        <v>0.0</v>
      </c>
      <c r="L136" s="7">
        <v>4.0</v>
      </c>
      <c r="M136" s="387" t="s">
        <v>1650</v>
      </c>
      <c r="N136" s="8" t="str">
        <f>IFERROR(__xludf.DUMMYFUNCTION("""COMPUTED_VALUE"""),"")</f>
        <v/>
      </c>
      <c r="O136" s="8" t="str">
        <f>IFERROR(__xludf.DUMMYFUNCTION("""COMPUTED_VALUE"""),"")</f>
        <v/>
      </c>
      <c r="P136" s="8"/>
      <c r="Q136" s="8"/>
    </row>
    <row r="137">
      <c r="A137" s="7" t="s">
        <v>1540</v>
      </c>
      <c r="B137" s="25" t="s">
        <v>160</v>
      </c>
      <c r="C137" s="385" t="s">
        <v>1426</v>
      </c>
      <c r="D137" s="385" t="s">
        <v>771</v>
      </c>
      <c r="E137" s="387" t="s">
        <v>143</v>
      </c>
      <c r="F137" s="7">
        <v>136.0</v>
      </c>
      <c r="G137" s="386">
        <f>DATE(2025, 4, 3)</f>
        <v>45750</v>
      </c>
      <c r="H137" s="7" t="b">
        <v>1</v>
      </c>
      <c r="I137" s="388" t="str">
        <f>IFERROR(__xludf.DUMMYFUNCTION("""COMPUTED_VALUE"""),"[The Middle Little Brother] Sinclair")</f>
        <v>[The Middle Little Brother] Sinclair</v>
      </c>
      <c r="J137" s="7">
        <v>60.0</v>
      </c>
      <c r="K137" s="7">
        <v>0.0</v>
      </c>
      <c r="L137" s="7">
        <v>4.0</v>
      </c>
      <c r="M137" s="387" t="s">
        <v>1651</v>
      </c>
      <c r="N137" s="8" t="str">
        <f>IFERROR(__xludf.DUMMYFUNCTION("""COMPUTED_VALUE"""),"")</f>
        <v/>
      </c>
      <c r="O137" s="8" t="str">
        <f>IFERROR(__xludf.DUMMYFUNCTION("""COMPUTED_VALUE"""),"")</f>
        <v/>
      </c>
      <c r="P137" s="8"/>
      <c r="Q137" s="8"/>
    </row>
    <row r="138">
      <c r="A138" s="7" t="s">
        <v>1451</v>
      </c>
      <c r="B138" s="25" t="s">
        <v>157</v>
      </c>
      <c r="C138" s="385" t="s">
        <v>1426</v>
      </c>
      <c r="D138" s="385" t="s">
        <v>771</v>
      </c>
      <c r="E138" s="387" t="s">
        <v>148</v>
      </c>
      <c r="F138" s="7">
        <v>137.0</v>
      </c>
      <c r="G138" s="386">
        <f>DATE(2025, 4, 30)</f>
        <v>45777</v>
      </c>
      <c r="H138" s="7" t="b">
        <v>1</v>
      </c>
      <c r="I138" s="388" t="str">
        <f>IFERROR(__xludf.DUMMYFUNCTION("""COMPUTED_VALUE"""),"[R Corp. 4th Pack Reindeer] Hong Lu")</f>
        <v>[R Corp. 4th Pack Reindeer] Hong Lu</v>
      </c>
      <c r="J138" s="7">
        <v>1.0</v>
      </c>
      <c r="K138" s="7">
        <v>0.0</v>
      </c>
      <c r="L138" s="7">
        <v>3.0</v>
      </c>
      <c r="M138" s="387" t="s">
        <v>1652</v>
      </c>
      <c r="N138" s="8" t="str">
        <f>IFERROR(__xludf.DUMMYFUNCTION("""COMPUTED_VALUE"""),"")</f>
        <v/>
      </c>
      <c r="O138" s="8" t="str">
        <f>IFERROR(__xludf.DUMMYFUNCTION("""COMPUTED_VALUE"""),"")</f>
        <v/>
      </c>
      <c r="P138" s="8"/>
      <c r="Q138" s="8"/>
    </row>
    <row r="139">
      <c r="A139" s="7" t="s">
        <v>1653</v>
      </c>
      <c r="B139" s="25" t="s">
        <v>159</v>
      </c>
      <c r="C139" s="385" t="s">
        <v>1426</v>
      </c>
      <c r="D139" s="385" t="s">
        <v>1654</v>
      </c>
      <c r="E139" s="387" t="s">
        <v>1431</v>
      </c>
      <c r="F139" s="7">
        <v>138.0</v>
      </c>
      <c r="G139" s="386">
        <f t="shared" ref="G139:G140" si="40">DATE(2025, 5, 15)</f>
        <v>45792</v>
      </c>
      <c r="H139" s="7" t="b">
        <v>1</v>
      </c>
      <c r="I139" s="388" t="str">
        <f>IFERROR(__xludf.DUMMYFUNCTION("""COMPUTED_VALUE"""),"[Heishou Pack - Si Branch] Rodion")</f>
        <v>[Heishou Pack - Si Branch] Rodion</v>
      </c>
      <c r="J139" s="7">
        <v>60.0</v>
      </c>
      <c r="K139" s="7">
        <v>0.0</v>
      </c>
      <c r="L139" s="7">
        <v>4.0</v>
      </c>
      <c r="M139" s="387" t="s">
        <v>1655</v>
      </c>
      <c r="N139" s="8" t="str">
        <f>IFERROR(__xludf.DUMMYFUNCTION("""COMPUTED_VALUE"""),"")</f>
        <v/>
      </c>
      <c r="O139" s="8" t="str">
        <f>IFERROR(__xludf.DUMMYFUNCTION("""COMPUTED_VALUE"""),"")</f>
        <v/>
      </c>
      <c r="P139" s="8"/>
      <c r="Q139" s="8"/>
    </row>
    <row r="140">
      <c r="A140" s="7" t="s">
        <v>1653</v>
      </c>
      <c r="B140" s="25" t="s">
        <v>162</v>
      </c>
      <c r="C140" s="385" t="s">
        <v>1426</v>
      </c>
      <c r="D140" s="385" t="s">
        <v>1654</v>
      </c>
      <c r="E140" s="387" t="s">
        <v>1431</v>
      </c>
      <c r="F140" s="7">
        <v>139.0</v>
      </c>
      <c r="G140" s="386">
        <f t="shared" si="40"/>
        <v>45792</v>
      </c>
      <c r="H140" s="7" t="b">
        <v>1</v>
      </c>
      <c r="I140" s="388" t="str">
        <f>IFERROR(__xludf.DUMMYFUNCTION("""COMPUTED_VALUE"""),"[Heishou Pack - Si Branch] Gregor")</f>
        <v>[Heishou Pack - Si Branch] Gregor</v>
      </c>
      <c r="J140" s="7">
        <v>60.0</v>
      </c>
      <c r="K140" s="7">
        <v>0.0</v>
      </c>
      <c r="L140" s="7">
        <v>4.0</v>
      </c>
      <c r="M140" s="387" t="s">
        <v>1656</v>
      </c>
      <c r="N140" s="8" t="str">
        <f>IFERROR(__xludf.DUMMYFUNCTION("""COMPUTED_VALUE"""),"")</f>
        <v/>
      </c>
      <c r="O140" s="8" t="str">
        <f>IFERROR(__xludf.DUMMYFUNCTION("""COMPUTED_VALUE"""),"")</f>
        <v/>
      </c>
      <c r="P140" s="8"/>
      <c r="Q140" s="8"/>
    </row>
    <row r="141">
      <c r="A141" s="7" t="s">
        <v>1657</v>
      </c>
      <c r="B141" s="25" t="s">
        <v>153</v>
      </c>
      <c r="C141" s="385" t="s">
        <v>1426</v>
      </c>
      <c r="D141" s="385" t="s">
        <v>1654</v>
      </c>
      <c r="E141" s="387" t="s">
        <v>752</v>
      </c>
      <c r="F141" s="7">
        <v>140.0</v>
      </c>
      <c r="G141" s="386">
        <f>DATE(2025, 5, 22)</f>
        <v>45799</v>
      </c>
      <c r="H141" s="7" t="b">
        <v>1</v>
      </c>
      <c r="I141" s="388" t="str">
        <f>IFERROR(__xludf.DUMMYFUNCTION("""COMPUTED_VALUE"""),"[Heishou Pack - Mao Branch Adept] Faust")</f>
        <v>[Heishou Pack - Mao Branch Adept] Faust</v>
      </c>
      <c r="J141" s="7">
        <v>60.0</v>
      </c>
      <c r="K141" s="7">
        <v>0.0</v>
      </c>
      <c r="L141" s="7">
        <v>4.0</v>
      </c>
      <c r="M141" s="387" t="s">
        <v>1658</v>
      </c>
      <c r="N141" s="8" t="str">
        <f>IFERROR(__xludf.DUMMYFUNCTION("""COMPUTED_VALUE"""),"")</f>
        <v/>
      </c>
      <c r="O141" s="8" t="str">
        <f>IFERROR(__xludf.DUMMYFUNCTION("""COMPUTED_VALUE"""),"")</f>
        <v/>
      </c>
      <c r="P141" s="8"/>
      <c r="Q141" s="8"/>
    </row>
    <row r="142">
      <c r="A142" s="7" t="s">
        <v>1659</v>
      </c>
      <c r="B142" s="25" t="s">
        <v>122</v>
      </c>
      <c r="C142" s="385" t="s">
        <v>1426</v>
      </c>
      <c r="D142" s="385" t="s">
        <v>1654</v>
      </c>
      <c r="E142" s="387" t="s">
        <v>1615</v>
      </c>
      <c r="F142" s="7">
        <v>141.0</v>
      </c>
      <c r="G142" s="386">
        <f>DATE(2025, 6, 5)</f>
        <v>45813</v>
      </c>
      <c r="H142" s="7" t="b">
        <v>1</v>
      </c>
      <c r="I142" s="388" t="str">
        <f>IFERROR(__xludf.DUMMYFUNCTION("""COMPUTED_VALUE"""),"[Family Hierarch Candidate] Ishmael")</f>
        <v>[Family Hierarch Candidate] Ishmael</v>
      </c>
      <c r="J142" s="7">
        <v>60.0</v>
      </c>
      <c r="K142" s="7">
        <v>0.0</v>
      </c>
      <c r="L142" s="7">
        <v>4.0</v>
      </c>
      <c r="M142" s="387" t="s">
        <v>1660</v>
      </c>
      <c r="N142" s="8" t="str">
        <f>IFERROR(__xludf.DUMMYFUNCTION("""COMPUTED_VALUE"""),"")</f>
        <v/>
      </c>
      <c r="O142" s="8" t="str">
        <f>IFERROR(__xludf.DUMMYFUNCTION("""COMPUTED_VALUE"""),"")</f>
        <v/>
      </c>
      <c r="P142" s="8"/>
      <c r="Q142" s="8"/>
    </row>
    <row r="143">
      <c r="A143" s="7" t="s">
        <v>1661</v>
      </c>
      <c r="B143" s="25" t="s">
        <v>160</v>
      </c>
      <c r="C143" s="385" t="s">
        <v>1426</v>
      </c>
      <c r="D143" s="385" t="s">
        <v>1654</v>
      </c>
      <c r="E143" s="387" t="s">
        <v>1662</v>
      </c>
      <c r="F143" s="7">
        <v>142.0</v>
      </c>
      <c r="G143" s="386">
        <f t="shared" ref="G143:G144" si="41">DATE(2025, 6, 19)</f>
        <v>45827</v>
      </c>
      <c r="H143" s="7" t="b">
        <v>1</v>
      </c>
      <c r="I143" s="388" t="str">
        <f>IFERROR(__xludf.DUMMYFUNCTION("""COMPUTED_VALUE"""),"[The Thumb East Soldato ||] Sinclair")</f>
        <v>[The Thumb East Soldato ||] Sinclair</v>
      </c>
      <c r="J143" s="7">
        <v>60.0</v>
      </c>
      <c r="K143" s="7">
        <v>0.0</v>
      </c>
      <c r="L143" s="7">
        <v>4.0</v>
      </c>
      <c r="M143" s="387" t="s">
        <v>1663</v>
      </c>
      <c r="N143" s="8" t="str">
        <f>IFERROR(__xludf.DUMMYFUNCTION("""COMPUTED_VALUE"""),"")</f>
        <v/>
      </c>
      <c r="O143" s="8" t="str">
        <f>IFERROR(__xludf.DUMMYFUNCTION("""COMPUTED_VALUE"""),"")</f>
        <v/>
      </c>
      <c r="P143" s="8"/>
      <c r="Q143" s="8"/>
    </row>
    <row r="144">
      <c r="A144" s="7" t="s">
        <v>1664</v>
      </c>
      <c r="B144" s="25" t="s">
        <v>156</v>
      </c>
      <c r="C144" s="385" t="s">
        <v>1426</v>
      </c>
      <c r="D144" s="385" t="s">
        <v>1654</v>
      </c>
      <c r="E144" s="387" t="s">
        <v>1662</v>
      </c>
      <c r="F144" s="7">
        <v>143.0</v>
      </c>
      <c r="G144" s="386">
        <f t="shared" si="41"/>
        <v>45827</v>
      </c>
      <c r="H144" s="7" t="b">
        <v>1</v>
      </c>
      <c r="I144" s="388" t="str">
        <f>IFERROR(__xludf.DUMMYFUNCTION("""COMPUTED_VALUE"""),"[The Thumb East Capo ||||] Meursault")</f>
        <v>[The Thumb East Capo ||||] Meursault</v>
      </c>
      <c r="J144" s="7">
        <v>60.0</v>
      </c>
      <c r="K144" s="7">
        <v>0.0</v>
      </c>
      <c r="L144" s="7">
        <v>4.0</v>
      </c>
      <c r="M144" s="387" t="s">
        <v>1665</v>
      </c>
      <c r="N144" s="8" t="str">
        <f>IFERROR(__xludf.DUMMYFUNCTION("""COMPUTED_VALUE"""),"")</f>
        <v/>
      </c>
      <c r="O144" s="8" t="str">
        <f>IFERROR(__xludf.DUMMYFUNCTION("""COMPUTED_VALUE"""),"")</f>
        <v/>
      </c>
      <c r="P144" s="8"/>
      <c r="Q144" s="8"/>
    </row>
    <row r="145">
      <c r="A145" s="7" t="s">
        <v>1666</v>
      </c>
      <c r="B145" s="25" t="s">
        <v>12</v>
      </c>
      <c r="C145" s="385" t="s">
        <v>1426</v>
      </c>
      <c r="D145" s="385" t="s">
        <v>1654</v>
      </c>
      <c r="E145" s="387" t="s">
        <v>1454</v>
      </c>
      <c r="F145" s="7">
        <v>144.0</v>
      </c>
      <c r="G145" s="386">
        <f>DATE(2025, 7, 3)</f>
        <v>45841</v>
      </c>
      <c r="H145" s="7" t="b">
        <v>1</v>
      </c>
      <c r="I145" s="388" t="str">
        <f>IFERROR(__xludf.DUMMYFUNCTION("""COMPUTED_VALUE"""),"[N Corp. E.G.O::Fell Bullet] Yi Sang")</f>
        <v>[N Corp. E.G.O::Fell Bullet] Yi Sang</v>
      </c>
      <c r="J145" s="7">
        <v>1.0</v>
      </c>
      <c r="K145" s="7">
        <v>0.0</v>
      </c>
      <c r="L145" s="7">
        <v>3.0</v>
      </c>
      <c r="M145" s="387" t="s">
        <v>1667</v>
      </c>
      <c r="N145" s="8" t="str">
        <f>IFERROR(__xludf.DUMMYFUNCTION("""COMPUTED_VALUE"""),"")</f>
        <v/>
      </c>
      <c r="O145" s="8" t="str">
        <f>IFERROR(__xludf.DUMMYFUNCTION("""COMPUTED_VALUE"""),"")</f>
        <v/>
      </c>
      <c r="P145" s="7">
        <v>4.0</v>
      </c>
      <c r="Q145" s="7"/>
    </row>
    <row r="146">
      <c r="A146" s="7" t="s">
        <v>1668</v>
      </c>
      <c r="B146" s="25" t="s">
        <v>154</v>
      </c>
      <c r="C146" s="385" t="s">
        <v>1426</v>
      </c>
      <c r="D146" s="385" t="s">
        <v>1669</v>
      </c>
      <c r="E146" s="387" t="s">
        <v>1670</v>
      </c>
      <c r="F146" s="7">
        <v>145.0</v>
      </c>
      <c r="G146" s="386">
        <f t="shared" ref="G146:G147" si="42">DATE(2025, 7, 17)</f>
        <v>45855</v>
      </c>
      <c r="H146" s="7" t="b">
        <v>1</v>
      </c>
      <c r="I146" s="388" t="str">
        <f>IFERROR(__xludf.DUMMYFUNCTION("""COMPUTED_VALUE"""),"[Lobotomy E.G.O::In the Name of Love and Hate] Don Quixote")</f>
        <v>[Lobotomy E.G.O::In the Name of Love and Hate] Don Quixote</v>
      </c>
      <c r="J146" s="7">
        <v>1.0</v>
      </c>
      <c r="K146" s="7">
        <v>0.0</v>
      </c>
      <c r="L146" s="7">
        <v>3.0</v>
      </c>
      <c r="M146" s="387" t="s">
        <v>1671</v>
      </c>
      <c r="N146" s="8" t="str">
        <f>IFERROR(__xludf.DUMMYFUNCTION("""COMPUTED_VALUE"""),"")</f>
        <v/>
      </c>
      <c r="O146" s="8" t="str">
        <f>IFERROR(__xludf.DUMMYFUNCTION("""COMPUTED_VALUE"""),"")</f>
        <v/>
      </c>
      <c r="P146" s="7">
        <v>3.0</v>
      </c>
      <c r="Q146" s="7"/>
    </row>
    <row r="147">
      <c r="A147" s="7" t="s">
        <v>1672</v>
      </c>
      <c r="B147" s="25" t="s">
        <v>159</v>
      </c>
      <c r="C147" s="385" t="s">
        <v>1426</v>
      </c>
      <c r="D147" s="385" t="s">
        <v>1669</v>
      </c>
      <c r="E147" s="387" t="s">
        <v>1673</v>
      </c>
      <c r="F147" s="7">
        <v>146.0</v>
      </c>
      <c r="G147" s="386">
        <f t="shared" si="42"/>
        <v>45855</v>
      </c>
      <c r="H147" s="7" t="b">
        <v>1</v>
      </c>
      <c r="I147" s="388" t="str">
        <f>IFERROR(__xludf.DUMMYFUNCTION("""COMPUTED_VALUE"""),"[Lobotomy E.G.O:: The Sword Sharpened with Tears] Rodion")</f>
        <v>[Lobotomy E.G.O:: The Sword Sharpened with Tears] Rodion</v>
      </c>
      <c r="J147" s="7">
        <v>60.0</v>
      </c>
      <c r="K147" s="7">
        <v>0.0</v>
      </c>
      <c r="L147" s="7">
        <v>4.0</v>
      </c>
      <c r="M147" s="387" t="s">
        <v>1674</v>
      </c>
      <c r="N147" s="8" t="str">
        <f>IFERROR(__xludf.DUMMYFUNCTION("""COMPUTED_VALUE"""),"")</f>
        <v/>
      </c>
      <c r="O147" s="8" t="str">
        <f>IFERROR(__xludf.DUMMYFUNCTION("""COMPUTED_VALUE"""),"")</f>
        <v/>
      </c>
      <c r="P147" s="8"/>
      <c r="Q147" s="8"/>
    </row>
    <row r="148">
      <c r="A148" s="7" t="s">
        <v>1675</v>
      </c>
      <c r="B148" s="25" t="s">
        <v>161</v>
      </c>
      <c r="C148" s="385" t="s">
        <v>1426</v>
      </c>
      <c r="D148" s="385" t="s">
        <v>1676</v>
      </c>
      <c r="E148" s="387" t="s">
        <v>123</v>
      </c>
      <c r="F148" s="7">
        <v>147.0</v>
      </c>
      <c r="G148" s="386">
        <f>DATE(2025, 7, 31)</f>
        <v>45869</v>
      </c>
      <c r="H148" s="7" t="b">
        <v>1</v>
      </c>
      <c r="I148" s="388" t="str">
        <f>IFERROR(__xludf.DUMMYFUNCTION("""COMPUTED_VALUE"""),"[T Corp. Class 3 VDCU Staff] Outis")</f>
        <v>[T Corp. Class 3 VDCU Staff] Outis</v>
      </c>
      <c r="J148" s="7">
        <v>55.0</v>
      </c>
      <c r="K148" s="7">
        <v>58.0</v>
      </c>
      <c r="L148" s="7">
        <v>4.0</v>
      </c>
      <c r="M148" s="387" t="s">
        <v>1677</v>
      </c>
      <c r="N148" s="8" t="str">
        <f>IFERROR(__xludf.DUMMYFUNCTION("""COMPUTED_VALUE"""),"")</f>
        <v/>
      </c>
      <c r="O148" s="8" t="str">
        <f>IFERROR(__xludf.DUMMYFUNCTION("""COMPUTED_VALUE"""),"")</f>
        <v/>
      </c>
      <c r="P148" s="8"/>
      <c r="Q148" s="8"/>
    </row>
    <row r="149">
      <c r="A149" s="7" t="s">
        <v>1678</v>
      </c>
      <c r="B149" s="25" t="s">
        <v>157</v>
      </c>
      <c r="C149" s="385" t="s">
        <v>1426</v>
      </c>
      <c r="D149" s="385" t="s">
        <v>1654</v>
      </c>
      <c r="E149" s="387" t="s">
        <v>1615</v>
      </c>
      <c r="F149" s="7">
        <v>148.0</v>
      </c>
      <c r="G149" s="386">
        <f>DATE(2025, 8, 14)</f>
        <v>45883</v>
      </c>
      <c r="H149" s="7" t="b">
        <v>1</v>
      </c>
      <c r="I149" s="388" t="str">
        <f>IFERROR(__xludf.DUMMYFUNCTION("""COMPUTED_VALUE"""),"[The Lord of Hongyuan] Hong Lu")</f>
        <v>[The Lord of Hongyuan] Hong Lu</v>
      </c>
      <c r="J149" s="7">
        <v>60.0</v>
      </c>
      <c r="K149" s="7">
        <v>0.0</v>
      </c>
      <c r="L149" s="7">
        <v>4.0</v>
      </c>
      <c r="M149" s="387" t="s">
        <v>1679</v>
      </c>
      <c r="N149" s="8" t="str">
        <f>IFERROR(__xludf.DUMMYFUNCTION("""COMPUTED_VALUE"""),"")</f>
        <v/>
      </c>
      <c r="O149" s="8" t="str">
        <f>IFERROR(__xludf.DUMMYFUNCTION("""COMPUTED_VALUE"""),"")</f>
        <v/>
      </c>
      <c r="P149" s="8"/>
      <c r="Q149" s="8"/>
    </row>
    <row r="150">
      <c r="A150" s="7" t="s">
        <v>1680</v>
      </c>
      <c r="B150" s="25" t="s">
        <v>160</v>
      </c>
      <c r="C150" s="385" t="s">
        <v>1426</v>
      </c>
      <c r="D150" s="385" t="s">
        <v>1681</v>
      </c>
      <c r="E150" s="387" t="s">
        <v>1682</v>
      </c>
      <c r="F150" s="7">
        <v>149.0</v>
      </c>
      <c r="G150" s="386">
        <f t="shared" ref="G150:G151" si="43">DATE(2025, 8, 28)</f>
        <v>45897</v>
      </c>
      <c r="H150" s="7" t="b">
        <v>1</v>
      </c>
      <c r="I150" s="388" t="str">
        <f>IFERROR(__xludf.DUMMYFUNCTION("""COMPUTED_VALUE"""),"[Heishou Pack - You Branch Adept] Sinclair")</f>
        <v>[Heishou Pack - You Branch Adept] Sinclair</v>
      </c>
      <c r="J150" s="7">
        <v>60.0</v>
      </c>
      <c r="K150" s="7">
        <v>0.0</v>
      </c>
      <c r="L150" s="7">
        <v>4.0</v>
      </c>
      <c r="M150" s="387" t="s">
        <v>1683</v>
      </c>
      <c r="N150" s="8" t="str">
        <f>IFERROR(__xludf.DUMMYFUNCTION("""COMPUTED_VALUE"""),"")</f>
        <v/>
      </c>
      <c r="O150" s="8" t="str">
        <f>IFERROR(__xludf.DUMMYFUNCTION("""COMPUTED_VALUE"""),"")</f>
        <v/>
      </c>
      <c r="P150" s="8"/>
      <c r="Q150" s="8"/>
    </row>
    <row r="151">
      <c r="A151" s="7" t="s">
        <v>1684</v>
      </c>
      <c r="B151" s="25" t="s">
        <v>12</v>
      </c>
      <c r="C151" s="385" t="s">
        <v>1426</v>
      </c>
      <c r="D151" s="385" t="s">
        <v>1685</v>
      </c>
      <c r="E151" s="387" t="s">
        <v>1686</v>
      </c>
      <c r="F151" s="7">
        <v>150.0</v>
      </c>
      <c r="G151" s="386">
        <f t="shared" si="43"/>
        <v>45897</v>
      </c>
      <c r="H151" s="7" t="b">
        <v>1</v>
      </c>
      <c r="I151" s="388" t="str">
        <f>IFERROR(__xludf.DUMMYFUNCTION("""COMPUTED_VALUE"""),"[Heishou Pack - Wu Branch Adept] Yi Sang")</f>
        <v>[Heishou Pack - Wu Branch Adept] Yi Sang</v>
      </c>
      <c r="J151" s="7">
        <v>60.0</v>
      </c>
      <c r="K151" s="7">
        <v>0.0</v>
      </c>
      <c r="L151" s="7">
        <v>4.0</v>
      </c>
      <c r="M151" s="387" t="s">
        <v>1687</v>
      </c>
      <c r="N151" s="8" t="str">
        <f>IFERROR(__xludf.DUMMYFUNCTION("""COMPUTED_VALUE"""),"")</f>
        <v/>
      </c>
      <c r="O151" s="8" t="str">
        <f>IFERROR(__xludf.DUMMYFUNCTION("""COMPUTED_VALUE"""),"")</f>
        <v/>
      </c>
      <c r="P151" s="8"/>
      <c r="Q151" s="8"/>
    </row>
    <row r="152">
      <c r="A152" s="7" t="s">
        <v>1688</v>
      </c>
      <c r="B152" s="25" t="s">
        <v>155</v>
      </c>
      <c r="C152" s="385" t="s">
        <v>1426</v>
      </c>
      <c r="D152" s="385" t="s">
        <v>1654</v>
      </c>
      <c r="E152" s="387" t="s">
        <v>1689</v>
      </c>
      <c r="F152" s="7">
        <v>151.0</v>
      </c>
      <c r="G152" s="386">
        <f>DATE(2025, 9, 11)</f>
        <v>45911</v>
      </c>
      <c r="H152" s="7" t="b">
        <v>1</v>
      </c>
      <c r="I152" s="388" t="str">
        <f>IFERROR(__xludf.DUMMYFUNCTION("""COMPUTED_VALUE"""),"[N Corp. E.G.O:: Contempt, Awe] Ryoshu")</f>
        <v>[N Corp. E.G.O:: Contempt, Awe] Ryoshu</v>
      </c>
      <c r="J152" s="7">
        <v>60.0</v>
      </c>
      <c r="K152" s="7">
        <v>0.0</v>
      </c>
      <c r="L152" s="7">
        <v>4.0</v>
      </c>
      <c r="M152" s="387" t="s">
        <v>1690</v>
      </c>
      <c r="N152" s="8" t="str">
        <f>IFERROR(__xludf.DUMMYFUNCTION("""COMPUTED_VALUE"""),"")</f>
        <v/>
      </c>
      <c r="O152" s="8" t="str">
        <f>IFERROR(__xludf.DUMMYFUNCTION("""COMPUTED_VALUE"""),"")</f>
        <v/>
      </c>
      <c r="P152" s="8"/>
      <c r="Q152" s="8"/>
    </row>
    <row r="153">
      <c r="A153" s="7" t="s">
        <v>1691</v>
      </c>
      <c r="B153" s="25" t="s">
        <v>153</v>
      </c>
      <c r="C153" s="385" t="s">
        <v>1426</v>
      </c>
      <c r="D153" s="385" t="s">
        <v>771</v>
      </c>
      <c r="E153" s="387" t="s">
        <v>1454</v>
      </c>
      <c r="F153" s="7">
        <v>152.0</v>
      </c>
      <c r="G153" s="386">
        <f>DATE(2025, 10, 9)</f>
        <v>45939</v>
      </c>
      <c r="H153" s="8" t="b">
        <v>0</v>
      </c>
      <c r="I153" s="388" t="str">
        <f>IFERROR(__xludf.DUMMYFUNCTION("""COMPUTED_VALUE"""),"")</f>
        <v/>
      </c>
      <c r="J153" s="7"/>
      <c r="K153" s="8"/>
      <c r="L153" s="8"/>
      <c r="M153" s="387" t="s">
        <v>1522</v>
      </c>
      <c r="N153" s="8" t="str">
        <f>IFERROR(__xludf.DUMMYFUNCTION("""COMPUTED_VALUE"""),"ØØØ Standard Fare [Shi East Section 3] Faust")</f>
        <v>ØØØ Standard Fare [Shi East Section 3] Faust</v>
      </c>
      <c r="O153" s="8" t="str">
        <f>IFERROR(__xludf.DUMMYFUNCTION("""COMPUTED_VALUE"""),"")</f>
        <v/>
      </c>
      <c r="P153" s="8"/>
      <c r="Q153" s="8"/>
    </row>
    <row r="154">
      <c r="A154" s="7" t="s">
        <v>1692</v>
      </c>
      <c r="B154" s="25" t="s">
        <v>158</v>
      </c>
      <c r="C154" s="385" t="s">
        <v>1426</v>
      </c>
      <c r="D154" s="385" t="s">
        <v>1676</v>
      </c>
      <c r="E154" s="387" t="s">
        <v>1434</v>
      </c>
      <c r="F154" s="7">
        <v>153.0</v>
      </c>
      <c r="G154" s="386">
        <f t="shared" ref="G154:G155" si="44">DATE(2025, 10, 23)</f>
        <v>45953</v>
      </c>
      <c r="H154" s="7" t="b">
        <v>1</v>
      </c>
      <c r="I154" s="388" t="str">
        <f>IFERROR(__xludf.DUMMYFUNCTION("""COMPUTED_VALUE"""),"[W Corp. L4 Cleanup Agent - CCA] Heathcliff")</f>
        <v>[W Corp. L4 Cleanup Agent - CCA] Heathcliff</v>
      </c>
      <c r="J154" s="7">
        <v>1.0</v>
      </c>
      <c r="K154" s="7">
        <v>0.0</v>
      </c>
      <c r="L154" s="7">
        <v>4.0</v>
      </c>
      <c r="M154" s="387" t="s">
        <v>1693</v>
      </c>
      <c r="N154" s="8" t="str">
        <f>IFERROR(__xludf.DUMMYFUNCTION("""COMPUTED_VALUE"""),"")</f>
        <v/>
      </c>
      <c r="O154" s="8" t="str">
        <f>IFERROR(__xludf.DUMMYFUNCTION("""COMPUTED_VALUE"""),"")</f>
        <v/>
      </c>
      <c r="P154" s="8"/>
      <c r="Q154" s="8"/>
    </row>
    <row r="155">
      <c r="A155" s="7" t="s">
        <v>1694</v>
      </c>
      <c r="B155" s="25" t="s">
        <v>156</v>
      </c>
      <c r="C155" s="385" t="s">
        <v>1426</v>
      </c>
      <c r="D155" s="385" t="s">
        <v>1676</v>
      </c>
      <c r="E155" s="387" t="s">
        <v>1622</v>
      </c>
      <c r="F155" s="7">
        <v>154.0</v>
      </c>
      <c r="G155" s="386">
        <f t="shared" si="44"/>
        <v>45953</v>
      </c>
      <c r="H155" s="7" t="b">
        <v>1</v>
      </c>
      <c r="I155" s="388" t="str">
        <f>IFERROR(__xludf.DUMMYFUNCTION("""COMPUTED_VALUE"""),"[The Prince of La Manchaland] Meursault")</f>
        <v>[The Prince of La Manchaland] Meursault</v>
      </c>
      <c r="J155" s="7">
        <v>60.0</v>
      </c>
      <c r="K155" s="7">
        <v>0.0</v>
      </c>
      <c r="L155" s="7">
        <v>4.0</v>
      </c>
      <c r="M155" s="387" t="s">
        <v>1695</v>
      </c>
      <c r="N155" s="8" t="str">
        <f>IFERROR(__xludf.DUMMYFUNCTION("""COMPUTED_VALUE"""),"")</f>
        <v/>
      </c>
      <c r="O155" s="8" t="str">
        <f>IFERROR(__xludf.DUMMYFUNCTION("""COMPUTED_VALUE"""),"")</f>
        <v/>
      </c>
      <c r="P155" s="8"/>
      <c r="Q155" s="8"/>
    </row>
    <row r="156">
      <c r="A156" s="7" t="s">
        <v>1696</v>
      </c>
      <c r="B156" s="25" t="s">
        <v>122</v>
      </c>
      <c r="C156" s="385" t="s">
        <v>1426</v>
      </c>
      <c r="D156" s="385" t="s">
        <v>1697</v>
      </c>
      <c r="E156" s="387" t="s">
        <v>1497</v>
      </c>
      <c r="F156" s="7">
        <v>155.0</v>
      </c>
      <c r="G156" s="386">
        <f t="shared" ref="G156:G157" si="45">DATE(2025, 11, 6)</f>
        <v>45967</v>
      </c>
      <c r="H156" s="7" t="b">
        <v>1</v>
      </c>
      <c r="I156" s="388" t="str">
        <f>IFERROR(__xludf.DUMMYFUNCTION("""COMPUTED_VALUE"""),"[Jeong's Office Rep] Ishmael")</f>
        <v>[Jeong's Office Rep] Ishmael</v>
      </c>
      <c r="J156" s="7">
        <v>60.0</v>
      </c>
      <c r="K156" s="7">
        <v>0.0</v>
      </c>
      <c r="L156" s="7">
        <v>4.0</v>
      </c>
      <c r="M156" s="387" t="s">
        <v>1698</v>
      </c>
      <c r="N156" s="8" t="str">
        <f>IFERROR(__xludf.DUMMYFUNCTION("""COMPUTED_VALUE"""),"")</f>
        <v/>
      </c>
      <c r="O156" s="8" t="str">
        <f>IFERROR(__xludf.DUMMYFUNCTION("""COMPUTED_VALUE"""),"")</f>
        <v/>
      </c>
      <c r="P156" s="8"/>
      <c r="Q156" s="8"/>
    </row>
    <row r="157">
      <c r="A157" s="7" t="s">
        <v>1699</v>
      </c>
      <c r="B157" s="25" t="s">
        <v>162</v>
      </c>
      <c r="C157" s="385" t="s">
        <v>1426</v>
      </c>
      <c r="D157" s="385" t="s">
        <v>1697</v>
      </c>
      <c r="E157" s="387" t="s">
        <v>1689</v>
      </c>
      <c r="F157" s="7">
        <v>156.0</v>
      </c>
      <c r="G157" s="386">
        <f t="shared" si="45"/>
        <v>45967</v>
      </c>
      <c r="H157" s="7" t="b">
        <v>1</v>
      </c>
      <c r="I157" s="388" t="str">
        <f>IFERROR(__xludf.DUMMYFUNCTION("""COMPUTED_VALUE"""),"[Night Awl Capitano] Gregor")</f>
        <v>[Night Awl Capitano] Gregor</v>
      </c>
      <c r="J157" s="7">
        <v>60.0</v>
      </c>
      <c r="K157" s="7">
        <v>0.0</v>
      </c>
      <c r="L157" s="7">
        <v>4.0</v>
      </c>
      <c r="M157" s="387" t="s">
        <v>1700</v>
      </c>
      <c r="N157" s="8" t="str">
        <f>IFERROR(__xludf.DUMMYFUNCTION("""COMPUTED_VALUE"""),"")</f>
        <v/>
      </c>
      <c r="O157" s="8" t="str">
        <f>IFERROR(__xludf.DUMMYFUNCTION("""COMPUTED_VALUE"""),"")</f>
        <v/>
      </c>
      <c r="P157" s="8"/>
      <c r="Q157" s="8"/>
    </row>
    <row r="158">
      <c r="A158" s="7" t="s">
        <v>1701</v>
      </c>
      <c r="B158" s="25" t="s">
        <v>154</v>
      </c>
      <c r="C158" s="385" t="s">
        <v>1426</v>
      </c>
      <c r="D158" s="385" t="s">
        <v>1654</v>
      </c>
      <c r="E158" s="387" t="s">
        <v>1702</v>
      </c>
      <c r="F158" s="7">
        <v>157.0</v>
      </c>
      <c r="G158" s="386">
        <f t="shared" ref="G158:G159" si="46">DATE(2025, 11, 20)</f>
        <v>45981</v>
      </c>
      <c r="H158" s="7" t="b">
        <v>1</v>
      </c>
      <c r="I158" s="388" t="str">
        <f>IFERROR(__xludf.DUMMYFUNCTION("""COMPUTED_VALUE"""),"[Heishou Pack - Wei Branch] Don Quixote")</f>
        <v>[Heishou Pack - Wei Branch] Don Quixote</v>
      </c>
      <c r="J158" s="7">
        <v>60.0</v>
      </c>
      <c r="K158" s="7">
        <v>0.0</v>
      </c>
      <c r="L158" s="7">
        <v>4.0</v>
      </c>
      <c r="M158" s="387" t="s">
        <v>1703</v>
      </c>
      <c r="N158" s="8" t="str">
        <f>IFERROR(__xludf.DUMMYFUNCTION("""COMPUTED_VALUE"""),"")</f>
        <v/>
      </c>
      <c r="O158" s="8" t="str">
        <f>IFERROR(__xludf.DUMMYFUNCTION("""COMPUTED_VALUE"""),"")</f>
        <v/>
      </c>
      <c r="P158" s="8"/>
      <c r="Q158" s="8"/>
    </row>
    <row r="159">
      <c r="A159" s="7" t="s">
        <v>1680</v>
      </c>
      <c r="B159" s="25" t="s">
        <v>158</v>
      </c>
      <c r="C159" s="385" t="s">
        <v>1426</v>
      </c>
      <c r="D159" s="385" t="s">
        <v>1654</v>
      </c>
      <c r="E159" s="387" t="s">
        <v>1682</v>
      </c>
      <c r="F159" s="7">
        <v>158.0</v>
      </c>
      <c r="G159" s="386">
        <f t="shared" si="46"/>
        <v>45981</v>
      </c>
      <c r="H159" s="7" t="b">
        <v>1</v>
      </c>
      <c r="I159" s="388" t="str">
        <f>IFERROR(__xludf.DUMMYFUNCTION("""COMPUTED_VALUE"""),"[Heishou Pack - You Branch Adept] Heathcliff")</f>
        <v>[Heishou Pack - You Branch Adept] Heathcliff</v>
      </c>
      <c r="J159" s="7">
        <v>60.0</v>
      </c>
      <c r="K159" s="7">
        <v>0.0</v>
      </c>
      <c r="L159" s="7">
        <v>4.0</v>
      </c>
      <c r="M159" s="387" t="s">
        <v>1704</v>
      </c>
      <c r="N159" s="8" t="str">
        <f>IFERROR(__xludf.DUMMYFUNCTION("""COMPUTED_VALUE"""),"")</f>
        <v/>
      </c>
      <c r="O159" s="8" t="str">
        <f>IFERROR(__xludf.DUMMYFUNCTION("""COMPUTED_VALUE"""),"")</f>
        <v/>
      </c>
      <c r="P159" s="8"/>
      <c r="Q159" s="8"/>
    </row>
    <row r="160">
      <c r="A160" s="7" t="s">
        <v>1705</v>
      </c>
      <c r="B160" s="25" t="s">
        <v>155</v>
      </c>
      <c r="C160" s="385" t="s">
        <v>1426</v>
      </c>
      <c r="D160" s="385" t="s">
        <v>1654</v>
      </c>
      <c r="E160" s="387" t="s">
        <v>1431</v>
      </c>
      <c r="F160" s="7">
        <v>159.0</v>
      </c>
      <c r="G160" s="386">
        <f>DATE(2025, 12, 4)</f>
        <v>45995</v>
      </c>
      <c r="H160" s="7" t="b">
        <v>1</v>
      </c>
      <c r="I160" s="388" t="str">
        <f>IFERROR(__xludf.DUMMYFUNCTION("""COMPUTED_VALUE"""),"[Drifting Blade of Hongyuan] Ryoshu")</f>
        <v>[Drifting Blade of Hongyuan] Ryoshu</v>
      </c>
      <c r="J160" s="7">
        <v>60.0</v>
      </c>
      <c r="K160" s="7">
        <v>0.0</v>
      </c>
      <c r="L160" s="7">
        <v>4.0</v>
      </c>
      <c r="M160" s="387" t="s">
        <v>1706</v>
      </c>
      <c r="N160" s="8" t="str">
        <f>IFERROR(__xludf.DUMMYFUNCTION("""COMPUTED_VALUE"""),"")</f>
        <v/>
      </c>
      <c r="O160" s="8" t="str">
        <f>IFERROR(__xludf.DUMMYFUNCTION("""COMPUTED_VALUE"""),"")</f>
        <v/>
      </c>
      <c r="P160" s="8"/>
      <c r="Q160" s="8"/>
    </row>
    <row r="161">
      <c r="A161" s="7" t="s">
        <v>1451</v>
      </c>
      <c r="B161" s="25" t="s">
        <v>159</v>
      </c>
      <c r="C161" s="385" t="s">
        <v>1426</v>
      </c>
      <c r="D161" s="385" t="s">
        <v>771</v>
      </c>
      <c r="E161" s="387" t="s">
        <v>1452</v>
      </c>
      <c r="F161" s="7">
        <v>160.0</v>
      </c>
      <c r="G161" s="386">
        <f>DATE(2025, 12, 18)</f>
        <v>46009</v>
      </c>
      <c r="H161" s="8" t="b">
        <v>0</v>
      </c>
      <c r="I161" s="388" t="str">
        <f>IFERROR(__xludf.DUMMYFUNCTION("""COMPUTED_VALUE"""),"")</f>
        <v/>
      </c>
      <c r="J161" s="7"/>
      <c r="K161" s="8"/>
      <c r="L161" s="8"/>
      <c r="M161" s="387" t="s">
        <v>1707</v>
      </c>
      <c r="N161" s="8" t="str">
        <f>IFERROR(__xludf.DUMMYFUNCTION("""COMPUTED_VALUE"""),"ØØØ Standard Fare [R Corp. 4th Pack Reindeer] Rodion")</f>
        <v>ØØØ Standard Fare [R Corp. 4th Pack Reindeer] Rodion</v>
      </c>
      <c r="O161" s="8" t="str">
        <f>IFERROR(__xludf.DUMMYFUNCTION("""COMPUTED_VALUE"""),"")</f>
        <v/>
      </c>
      <c r="P161" s="8"/>
      <c r="Q161" s="8"/>
    </row>
    <row r="162">
      <c r="A162" s="7" t="s">
        <v>1708</v>
      </c>
      <c r="B162" s="25" t="s">
        <v>153</v>
      </c>
      <c r="C162" s="385" t="s">
        <v>1426</v>
      </c>
      <c r="D162" s="385" t="s">
        <v>1709</v>
      </c>
      <c r="E162" s="387" t="s">
        <v>1578</v>
      </c>
      <c r="F162" s="7">
        <v>161.0</v>
      </c>
      <c r="G162" s="386">
        <f t="shared" ref="G162:G163" si="47">DATE(2025, 12, 31)</f>
        <v>46022</v>
      </c>
      <c r="H162" s="8" t="b">
        <v>0</v>
      </c>
      <c r="I162" s="388" t="str">
        <f>IFERROR(__xludf.DUMMYFUNCTION("""COMPUTED_VALUE"""),"")</f>
        <v/>
      </c>
      <c r="J162" s="7"/>
      <c r="K162" s="8"/>
      <c r="L162" s="7" t="s">
        <v>1597</v>
      </c>
      <c r="M162" s="387" t="s">
        <v>1710</v>
      </c>
      <c r="N162" s="8" t="str">
        <f>IFERROR(__xludf.DUMMYFUNCTION("""COMPUTED_VALUE"""),"ØØØ Season 7 [The Index Proselyte: 【Paper Slip】] Faust")</f>
        <v>ØØØ Season 7 [The Index Proselyte: 【Paper Slip】] Faust</v>
      </c>
      <c r="O162" s="8" t="str">
        <f>IFERROR(__xludf.DUMMYFUNCTION("""COMPUTED_VALUE"""),"")</f>
        <v/>
      </c>
      <c r="P162" s="8"/>
      <c r="Q162" s="7">
        <v>8.0</v>
      </c>
    </row>
    <row r="163">
      <c r="A163" s="7" t="s">
        <v>1711</v>
      </c>
      <c r="B163" s="25" t="s">
        <v>161</v>
      </c>
      <c r="C163" s="385" t="s">
        <v>1426</v>
      </c>
      <c r="D163" s="385" t="s">
        <v>1709</v>
      </c>
      <c r="E163" s="387" t="s">
        <v>1712</v>
      </c>
      <c r="F163" s="7">
        <v>162.0</v>
      </c>
      <c r="G163" s="386">
        <f t="shared" si="47"/>
        <v>46022</v>
      </c>
      <c r="H163" s="7" t="b">
        <v>1</v>
      </c>
      <c r="I163" s="388" t="str">
        <f>IFERROR(__xludf.DUMMYFUNCTION("""COMPUTED_VALUE"""),"[LCA Udjat Vanguard Team 3 Leader] Outis")</f>
        <v>[LCA Udjat Vanguard Team 3 Leader] Outis</v>
      </c>
      <c r="J163" s="7">
        <v>10.0</v>
      </c>
      <c r="K163" s="7">
        <v>71.0</v>
      </c>
      <c r="L163" s="7">
        <v>3.0</v>
      </c>
      <c r="M163" s="387" t="s">
        <v>1713</v>
      </c>
      <c r="N163" s="8" t="str">
        <f>IFERROR(__xludf.DUMMYFUNCTION("""COMPUTED_VALUE"""),"")</f>
        <v/>
      </c>
      <c r="O163" s="8" t="str">
        <f>IFERROR(__xludf.DUMMYFUNCTION("""COMPUTED_VALUE"""),"")</f>
        <v/>
      </c>
      <c r="P163" s="7">
        <v>2.0</v>
      </c>
      <c r="Q163" s="7"/>
    </row>
    <row r="164">
      <c r="A164" s="7" t="s">
        <v>1714</v>
      </c>
      <c r="B164" s="25" t="s">
        <v>154</v>
      </c>
      <c r="C164" s="385" t="s">
        <v>1426</v>
      </c>
      <c r="D164" s="385" t="s">
        <v>1709</v>
      </c>
      <c r="E164" s="387" t="s">
        <v>1578</v>
      </c>
      <c r="F164" s="7">
        <v>163.0</v>
      </c>
      <c r="G164" s="386">
        <f>DATE(2026, 1, 8)</f>
        <v>46030</v>
      </c>
      <c r="H164" s="7" t="b">
        <v>1</v>
      </c>
      <c r="I164" s="388" t="str">
        <f>IFERROR(__xludf.DUMMYFUNCTION("""COMPUTED_VALUE"""),"[The Index Proxy - Effloresced E.G.O::Procuration] Don Quixote")</f>
        <v>[The Index Proxy - Effloresced E.G.O::Procuration] Don Quixote</v>
      </c>
      <c r="J164" s="7">
        <v>60.0</v>
      </c>
      <c r="K164" s="7">
        <v>0.0</v>
      </c>
      <c r="L164" s="7">
        <v>4.0</v>
      </c>
      <c r="M164" s="387" t="s">
        <v>1715</v>
      </c>
      <c r="N164" s="8" t="str">
        <f>IFERROR(__xludf.DUMMYFUNCTION("""COMPUTED_VALUE"""),"")</f>
        <v/>
      </c>
      <c r="O164" s="8" t="str">
        <f>IFERROR(__xludf.DUMMYFUNCTION("""COMPUTED_VALUE"""),"")</f>
        <v/>
      </c>
      <c r="P164" s="8"/>
      <c r="Q164" s="8"/>
    </row>
    <row r="165">
      <c r="A165" s="7" t="s">
        <v>1716</v>
      </c>
      <c r="B165" s="25" t="s">
        <v>122</v>
      </c>
      <c r="C165" s="385" t="s">
        <v>1426</v>
      </c>
      <c r="D165" s="385" t="s">
        <v>1709</v>
      </c>
      <c r="E165" s="387" t="s">
        <v>1483</v>
      </c>
      <c r="F165" s="7">
        <v>164.0</v>
      </c>
      <c r="G165" s="386">
        <f>DATE(2026, 1, 22)</f>
        <v>46044</v>
      </c>
      <c r="H165" s="7" t="b">
        <v>1</v>
      </c>
      <c r="I165" s="388" t="str">
        <f>IFERROR(__xludf.DUMMYFUNCTION("""COMPUTED_VALUE"""),"[The House of Spiders: The Middle Apprentice] Ishmael")</f>
        <v>[The House of Spiders: The Middle Apprentice] Ishmael</v>
      </c>
      <c r="J165" s="7">
        <v>60.0</v>
      </c>
      <c r="K165" s="7">
        <v>0.0</v>
      </c>
      <c r="L165" s="7">
        <v>4.0</v>
      </c>
      <c r="M165" s="387" t="s">
        <v>1717</v>
      </c>
      <c r="N165" s="8" t="str">
        <f>IFERROR(__xludf.DUMMYFUNCTION("""COMPUTED_VALUE"""),"")</f>
        <v/>
      </c>
      <c r="O165" s="8" t="str">
        <f>IFERROR(__xludf.DUMMYFUNCTION("""COMPUTED_VALUE"""),"")</f>
        <v/>
      </c>
      <c r="P165" s="8"/>
      <c r="Q165" s="8"/>
    </row>
    <row r="166">
      <c r="A166" s="7" t="s">
        <v>1718</v>
      </c>
      <c r="B166" s="25" t="s">
        <v>160</v>
      </c>
      <c r="C166" s="385" t="s">
        <v>1426</v>
      </c>
      <c r="D166" s="385" t="s">
        <v>1709</v>
      </c>
      <c r="E166" s="387" t="s">
        <v>1454</v>
      </c>
      <c r="F166" s="7">
        <v>165.0</v>
      </c>
      <c r="G166" s="386">
        <f t="shared" ref="G166:G167" si="48">DATE(2026, 2, 5)</f>
        <v>46058</v>
      </c>
      <c r="H166" s="8" t="b">
        <v>0</v>
      </c>
      <c r="I166" s="388" t="str">
        <f>IFERROR(__xludf.DUMMYFUNCTION("""COMPUTED_VALUE"""),"")</f>
        <v/>
      </c>
      <c r="J166" s="7"/>
      <c r="K166" s="8"/>
      <c r="L166" s="7" t="s">
        <v>1597</v>
      </c>
      <c r="M166" s="387" t="s">
        <v>1719</v>
      </c>
      <c r="N166" s="8" t="str">
        <f>IFERROR(__xludf.DUMMYFUNCTION("""COMPUTED_VALUE"""),"ØØØ Season 7 [The House of Spiders: The Pinky Apprentice] Sinclair")</f>
        <v>ØØØ Season 7 [The House of Spiders: The Pinky Apprentice] Sinclair</v>
      </c>
      <c r="O166" s="8" t="str">
        <f>IFERROR(__xludf.DUMMYFUNCTION("""COMPUTED_VALUE"""),"")</f>
        <v/>
      </c>
      <c r="P166" s="8"/>
      <c r="Q166" s="7">
        <v>2.0</v>
      </c>
    </row>
    <row r="167">
      <c r="A167" s="7" t="s">
        <v>1720</v>
      </c>
      <c r="B167" s="25" t="s">
        <v>162</v>
      </c>
      <c r="C167" s="385" t="s">
        <v>1426</v>
      </c>
      <c r="D167" s="385" t="s">
        <v>1709</v>
      </c>
      <c r="E167" s="387" t="s">
        <v>1721</v>
      </c>
      <c r="F167" s="7">
        <v>166.0</v>
      </c>
      <c r="G167" s="386">
        <f t="shared" si="48"/>
        <v>46058</v>
      </c>
      <c r="H167" s="7" t="b">
        <v>1</v>
      </c>
      <c r="I167" s="388" t="str">
        <f>IFERROR(__xludf.DUMMYFUNCTION("""COMPUTED_VALUE"""),"[Lobotomy E.G.O::Lamp] Gregor")</f>
        <v>[Lobotomy E.G.O::Lamp] Gregor</v>
      </c>
      <c r="J167" s="7">
        <v>60.0</v>
      </c>
      <c r="K167" s="7">
        <v>0.0</v>
      </c>
      <c r="L167" s="7">
        <v>4.0</v>
      </c>
      <c r="M167" s="387" t="s">
        <v>1722</v>
      </c>
      <c r="N167" s="8" t="str">
        <f>IFERROR(__xludf.DUMMYFUNCTION("""COMPUTED_VALUE"""),"")</f>
        <v/>
      </c>
      <c r="O167" s="8" t="str">
        <f>IFERROR(__xludf.DUMMYFUNCTION("""COMPUTED_VALUE"""),"")</f>
        <v/>
      </c>
      <c r="P167" s="8"/>
      <c r="Q167" s="8"/>
    </row>
    <row r="168">
      <c r="A168" s="7" t="s">
        <v>1723</v>
      </c>
      <c r="B168" s="25" t="s">
        <v>12</v>
      </c>
      <c r="C168" s="385" t="s">
        <v>1426</v>
      </c>
      <c r="D168" s="385" t="s">
        <v>1709</v>
      </c>
      <c r="E168" s="387" t="s">
        <v>1724</v>
      </c>
      <c r="F168" s="7">
        <v>167.0</v>
      </c>
      <c r="G168" s="386">
        <f>DATE(2026, 2, 19)</f>
        <v>46072</v>
      </c>
      <c r="H168" s="7" t="b">
        <v>1</v>
      </c>
      <c r="I168" s="388" t="str">
        <f>IFERROR(__xludf.DUMMYFUNCTION("""COMPUTED_VALUE"""),"[The House of Spiders: The Index Nursefather] Yi Sang")</f>
        <v>[The House of Spiders: The Index Nursefather] Yi Sang</v>
      </c>
      <c r="J168" s="7">
        <v>60.0</v>
      </c>
      <c r="K168" s="7">
        <v>0.0</v>
      </c>
      <c r="L168" s="7">
        <v>4.0</v>
      </c>
      <c r="M168" s="387" t="s">
        <v>1725</v>
      </c>
      <c r="N168" s="8" t="str">
        <f>IFERROR(__xludf.DUMMYFUNCTION("""COMPUTED_VALUE"""),"")</f>
        <v/>
      </c>
      <c r="O168" s="8" t="str">
        <f>IFERROR(__xludf.DUMMYFUNCTION("""COMPUTED_VALUE"""),"")</f>
        <v/>
      </c>
      <c r="P168" s="8"/>
      <c r="Q168" s="8"/>
    </row>
    <row r="169">
      <c r="A169" s="7" t="s">
        <v>1726</v>
      </c>
      <c r="B169" s="25" t="s">
        <v>156</v>
      </c>
      <c r="C169" s="385" t="s">
        <v>1426</v>
      </c>
      <c r="D169" s="385" t="s">
        <v>1727</v>
      </c>
      <c r="E169" s="387" t="s">
        <v>1483</v>
      </c>
      <c r="F169" s="7">
        <v>168.0</v>
      </c>
      <c r="G169" s="386">
        <f t="shared" ref="G169:G170" si="49">DATE(2026, 3, 5)</f>
        <v>46086</v>
      </c>
      <c r="H169" s="7" t="b">
        <v>1</v>
      </c>
      <c r="I169" s="388" t="str">
        <f>IFERROR(__xludf.DUMMYFUNCTION("""COMPUTED_VALUE"""),"[Lobotomy E.G.O:: Hornet 【Alteration】] Meursault")</f>
        <v>[Lobotomy E.G.O:: Hornet 【Alteration】] Meursault</v>
      </c>
      <c r="J169" s="7">
        <v>50.0</v>
      </c>
      <c r="K169" s="7">
        <v>916.0</v>
      </c>
      <c r="L169" s="7">
        <v>4.0</v>
      </c>
      <c r="M169" s="387" t="s">
        <v>1728</v>
      </c>
      <c r="N169" s="8" t="str">
        <f>IFERROR(__xludf.DUMMYFUNCTION("""COMPUTED_VALUE"""),"")</f>
        <v/>
      </c>
      <c r="O169" s="8" t="str">
        <f>IFERROR(__xludf.DUMMYFUNCTION("""COMPUTED_VALUE"""),"")</f>
        <v/>
      </c>
      <c r="P169" s="8"/>
      <c r="Q169" s="8"/>
    </row>
    <row r="170">
      <c r="A170" s="7" t="s">
        <v>1729</v>
      </c>
      <c r="B170" s="25" t="s">
        <v>155</v>
      </c>
      <c r="C170" s="385" t="s">
        <v>1426</v>
      </c>
      <c r="D170" s="385" t="s">
        <v>1727</v>
      </c>
      <c r="E170" s="387" t="s">
        <v>1497</v>
      </c>
      <c r="F170" s="7">
        <v>169.0</v>
      </c>
      <c r="G170" s="386">
        <f t="shared" si="49"/>
        <v>46086</v>
      </c>
      <c r="H170" s="7" t="b">
        <v>1</v>
      </c>
      <c r="I170" s="388" t="str">
        <f>IFERROR(__xludf.DUMMYFUNCTION("""COMPUTED_VALUE"""),"[Lobotomy E.G.O::Faint Aroma &amp; Solitude] Ryoshu")</f>
        <v>[Lobotomy E.G.O::Faint Aroma &amp; Solitude] Ryoshu</v>
      </c>
      <c r="J170" s="7">
        <v>60.0</v>
      </c>
      <c r="K170" s="7">
        <v>0.0</v>
      </c>
      <c r="L170" s="7">
        <v>4.0</v>
      </c>
      <c r="M170" s="387" t="s">
        <v>1730</v>
      </c>
      <c r="N170" s="8" t="str">
        <f>IFERROR(__xludf.DUMMYFUNCTION("""COMPUTED_VALUE"""),"")</f>
        <v/>
      </c>
      <c r="O170" s="8" t="str">
        <f>IFERROR(__xludf.DUMMYFUNCTION("""COMPUTED_VALUE"""),"")</f>
        <v/>
      </c>
      <c r="P170" s="8"/>
      <c r="Q170" s="8"/>
    </row>
    <row r="171">
      <c r="A171" s="7" t="s">
        <v>1731</v>
      </c>
      <c r="B171" s="25" t="s">
        <v>162</v>
      </c>
      <c r="C171" s="385" t="s">
        <v>1426</v>
      </c>
      <c r="D171" s="385" t="s">
        <v>1732</v>
      </c>
      <c r="E171" s="387" t="s">
        <v>1434</v>
      </c>
      <c r="F171" s="7">
        <v>170.0</v>
      </c>
      <c r="G171" s="386">
        <f t="shared" ref="G171:G173" si="50">DATE(2026, 3, 19)</f>
        <v>46100</v>
      </c>
      <c r="H171" s="7" t="b">
        <v>1</v>
      </c>
      <c r="I171" s="388" t="str">
        <f>IFERROR(__xludf.DUMMYFUNCTION("""COMPUTED_VALUE"""),"[LCE E.G.O::AEDD] Gregor")</f>
        <v>[LCE E.G.O::AEDD] Gregor</v>
      </c>
      <c r="J171" s="7">
        <v>60.0</v>
      </c>
      <c r="K171" s="7">
        <v>0.0</v>
      </c>
      <c r="L171" s="7">
        <v>4.0</v>
      </c>
      <c r="M171" s="387" t="s">
        <v>1733</v>
      </c>
      <c r="N171" s="8" t="str">
        <f>IFERROR(__xludf.DUMMYFUNCTION("""COMPUTED_VALUE"""),"")</f>
        <v/>
      </c>
      <c r="O171" s="8" t="str">
        <f>IFERROR(__xludf.DUMMYFUNCTION("""COMPUTED_VALUE"""),"")</f>
        <v/>
      </c>
      <c r="P171" s="8"/>
      <c r="Q171" s="8"/>
    </row>
    <row r="172">
      <c r="A172" s="7" t="s">
        <v>1734</v>
      </c>
      <c r="B172" s="25" t="s">
        <v>153</v>
      </c>
      <c r="C172" s="385" t="s">
        <v>1426</v>
      </c>
      <c r="D172" s="385" t="s">
        <v>1709</v>
      </c>
      <c r="E172" s="387" t="s">
        <v>1605</v>
      </c>
      <c r="F172" s="7">
        <v>171.0</v>
      </c>
      <c r="G172" s="386">
        <f t="shared" si="50"/>
        <v>46100</v>
      </c>
      <c r="H172" s="8" t="b">
        <v>0</v>
      </c>
      <c r="I172" s="388" t="str">
        <f>IFERROR(__xludf.DUMMYFUNCTION("""COMPUTED_VALUE"""),"")</f>
        <v/>
      </c>
      <c r="J172" s="7"/>
      <c r="K172" s="8"/>
      <c r="L172" s="7" t="s">
        <v>1597</v>
      </c>
      <c r="M172" s="387" t="s">
        <v>1735</v>
      </c>
      <c r="N172" s="8" t="str">
        <f>IFERROR(__xludf.DUMMYFUNCTION("""COMPUTED_VALUE"""),"ØØØ Season 7 [The House of Spiders: The Ring Apprentice] Faust")</f>
        <v>ØØØ Season 7 [The House of Spiders: The Ring Apprentice] Faust</v>
      </c>
      <c r="O172" s="8" t="str">
        <f>IFERROR(__xludf.DUMMYFUNCTION("""COMPUTED_VALUE"""),"")</f>
        <v/>
      </c>
      <c r="P172" s="8"/>
      <c r="Q172" s="7">
        <v>7.0</v>
      </c>
    </row>
    <row r="173">
      <c r="A173" s="7" t="s">
        <v>1736</v>
      </c>
      <c r="B173" s="25" t="s">
        <v>157</v>
      </c>
      <c r="C173" s="385" t="s">
        <v>1426</v>
      </c>
      <c r="D173" s="385" t="s">
        <v>1709</v>
      </c>
      <c r="E173" s="387" t="s">
        <v>1737</v>
      </c>
      <c r="F173" s="7">
        <v>172.0</v>
      </c>
      <c r="G173" s="386">
        <f t="shared" si="50"/>
        <v>46100</v>
      </c>
      <c r="H173" s="7" t="b">
        <v>1</v>
      </c>
      <c r="I173" s="388" t="str">
        <f>IFERROR(__xludf.DUMMYFUNCTION("""COMPUTED_VALUE"""),"[The House of Spiders: The Ring Nursefather] Hong Lu")</f>
        <v>[The House of Spiders: The Ring Nursefather] Hong Lu</v>
      </c>
      <c r="J173" s="7">
        <v>60.0</v>
      </c>
      <c r="K173" s="7">
        <v>0.0</v>
      </c>
      <c r="L173" s="7">
        <v>4.0</v>
      </c>
      <c r="M173" s="387" t="s">
        <v>1738</v>
      </c>
      <c r="N173" s="8" t="str">
        <f>IFERROR(__xludf.DUMMYFUNCTION("""COMPUTED_VALUE"""),"")</f>
        <v/>
      </c>
      <c r="O173" s="8" t="str">
        <f>IFERROR(__xludf.DUMMYFUNCTION("""COMPUTED_VALUE"""),"")</f>
        <v/>
      </c>
      <c r="P173" s="8"/>
      <c r="Q173" s="8"/>
    </row>
    <row r="174">
      <c r="A174" s="7" t="s">
        <v>1739</v>
      </c>
      <c r="B174" s="25" t="s">
        <v>156</v>
      </c>
      <c r="C174" s="385" t="s">
        <v>1426</v>
      </c>
      <c r="D174" s="385" t="s">
        <v>1740</v>
      </c>
      <c r="E174" s="387" t="s">
        <v>1741</v>
      </c>
      <c r="F174" s="7">
        <v>173.0</v>
      </c>
      <c r="G174" s="389">
        <f t="shared" ref="G174:G175" si="51">DATE(2026, 4, 16)</f>
        <v>46128</v>
      </c>
      <c r="H174" s="7" t="b">
        <v>1</v>
      </c>
      <c r="I174" s="388" t="str">
        <f>IFERROR(__xludf.DUMMYFUNCTION("""COMPUTED_VALUE"""),"[The Ring Fauvist Student] Meursault")</f>
        <v>[The Ring Fauvist Student] Meursault</v>
      </c>
      <c r="J174" s="7">
        <v>60.0</v>
      </c>
      <c r="K174" s="7">
        <v>0.0</v>
      </c>
      <c r="L174" s="7">
        <v>4.0</v>
      </c>
      <c r="M174" s="387" t="s">
        <v>1742</v>
      </c>
      <c r="N174" s="8" t="str">
        <f>IFERROR(__xludf.DUMMYFUNCTION("""COMPUTED_VALUE"""),"")</f>
        <v/>
      </c>
      <c r="O174" s="8" t="str">
        <f>IFERROR(__xludf.DUMMYFUNCTION("""COMPUTED_VALUE"""),"")</f>
        <v/>
      </c>
      <c r="P174" s="8"/>
      <c r="Q174" s="8"/>
    </row>
    <row r="175">
      <c r="A175" s="7" t="s">
        <v>1743</v>
      </c>
      <c r="B175" s="25" t="s">
        <v>159</v>
      </c>
      <c r="C175" s="385" t="s">
        <v>1426</v>
      </c>
      <c r="D175" s="385" t="s">
        <v>1744</v>
      </c>
      <c r="E175" s="387" t="s">
        <v>1741</v>
      </c>
      <c r="F175" s="7">
        <v>174.0</v>
      </c>
      <c r="G175" s="389">
        <f t="shared" si="51"/>
        <v>46128</v>
      </c>
      <c r="H175" s="7" t="b">
        <v>1</v>
      </c>
      <c r="I175" s="388" t="str">
        <f>IFERROR(__xludf.DUMMYFUNCTION("""COMPUTED_VALUE"""),"[The Ring Fauvist Docent] Rodion")</f>
        <v>[The Ring Fauvist Docent] Rodion</v>
      </c>
      <c r="J175" s="7">
        <v>60.0</v>
      </c>
      <c r="K175" s="7">
        <v>0.0</v>
      </c>
      <c r="L175" s="7">
        <v>4.0</v>
      </c>
      <c r="M175" s="387" t="s">
        <v>1745</v>
      </c>
      <c r="N175" s="8" t="str">
        <f>IFERROR(__xludf.DUMMYFUNCTION("""COMPUTED_VALUE"""),"")</f>
        <v/>
      </c>
      <c r="O175" s="8" t="str">
        <f>IFERROR(__xludf.DUMMYFUNCTION("""COMPUTED_VALUE"""),"")</f>
        <v/>
      </c>
      <c r="P175" s="8"/>
      <c r="Q175" s="8"/>
    </row>
    <row r="176">
      <c r="A176" s="7" t="s">
        <v>1746</v>
      </c>
      <c r="B176" s="25" t="s">
        <v>158</v>
      </c>
      <c r="C176" s="385" t="s">
        <v>1426</v>
      </c>
      <c r="D176" s="385" t="s">
        <v>1732</v>
      </c>
      <c r="E176" s="387" t="s">
        <v>1483</v>
      </c>
      <c r="F176" s="390">
        <v>175.0</v>
      </c>
      <c r="G176" s="391">
        <f>DATE(2026, 4, 30)</f>
        <v>46142</v>
      </c>
      <c r="H176" s="7" t="b">
        <v>1</v>
      </c>
      <c r="I176" s="388" t="str">
        <f>IFERROR(__xludf.DUMMYFUNCTION("""COMPUTED_VALUE"""),"[The Middle Big Brother] Heathcliff")</f>
        <v>[The Middle Big Brother] Heathcliff</v>
      </c>
      <c r="J176" s="7">
        <v>60.0</v>
      </c>
      <c r="K176" s="7">
        <v>0.0</v>
      </c>
      <c r="L176" s="7">
        <v>4.0</v>
      </c>
      <c r="M176" s="387" t="s">
        <v>1747</v>
      </c>
      <c r="N176" s="8" t="str">
        <f>IFERROR(__xludf.DUMMYFUNCTION("""COMPUTED_VALUE"""),"")</f>
        <v/>
      </c>
      <c r="O176" s="8" t="str">
        <f>IFERROR(__xludf.DUMMYFUNCTION("""COMPUTED_VALUE"""),"")</f>
        <v/>
      </c>
      <c r="P176" s="8"/>
      <c r="Q176" s="8"/>
    </row>
    <row r="177">
      <c r="A177" s="7" t="s">
        <v>1748</v>
      </c>
      <c r="B177" s="25" t="s">
        <v>155</v>
      </c>
      <c r="C177" s="385" t="s">
        <v>1426</v>
      </c>
      <c r="D177" s="385" t="s">
        <v>1709</v>
      </c>
      <c r="E177" s="387" t="s">
        <v>1749</v>
      </c>
      <c r="F177" s="7">
        <v>176.0</v>
      </c>
      <c r="G177" s="389">
        <f>DATE(2026, 5, 14)</f>
        <v>46156</v>
      </c>
      <c r="H177" s="8" t="b">
        <v>0</v>
      </c>
      <c r="I177" s="388" t="str">
        <f>IFERROR(__xludf.DUMMYFUNCTION("""COMPUTED_VALUE"""),"")</f>
        <v/>
      </c>
      <c r="J177" s="7"/>
      <c r="L177" s="7" t="s">
        <v>1597</v>
      </c>
      <c r="M177" s="387" t="s">
        <v>1750</v>
      </c>
      <c r="N177" s="8" t="str">
        <f>IFERROR(__xludf.DUMMYFUNCTION("""COMPUTED_VALUE"""),"ØØØ Season 7 [Blade of The House of Spiders] Ryoshu")</f>
        <v>ØØØ Season 7 [Blade of The House of Spiders] Ryoshu</v>
      </c>
      <c r="O177" s="8" t="str">
        <f>IFERROR(__xludf.DUMMYFUNCTION("""COMPUTED_VALUE"""),"")</f>
        <v/>
      </c>
      <c r="P177" s="8"/>
      <c r="Q177" s="7">
        <v>1.0</v>
      </c>
    </row>
    <row r="178">
      <c r="A178" s="7" t="s">
        <v>1751</v>
      </c>
      <c r="B178" s="25" t="s">
        <v>161</v>
      </c>
      <c r="C178" s="385" t="s">
        <v>1426</v>
      </c>
      <c r="D178" s="385" t="s">
        <v>1709</v>
      </c>
      <c r="E178" s="387" t="s">
        <v>1483</v>
      </c>
      <c r="F178" s="7">
        <v>177.0</v>
      </c>
      <c r="G178" s="389">
        <f>DATE(2026, 5, 28)</f>
        <v>46170</v>
      </c>
      <c r="H178" s="8" t="b">
        <v>0</v>
      </c>
      <c r="I178" s="388" t="str">
        <f>IFERROR(__xludf.DUMMYFUNCTION("""COMPUTED_VALUE"""),"")</f>
        <v/>
      </c>
      <c r="J178" s="7"/>
      <c r="K178" s="8"/>
      <c r="L178" s="7" t="s">
        <v>1597</v>
      </c>
      <c r="M178" s="387" t="s">
        <v>1752</v>
      </c>
      <c r="N178" s="8" t="str">
        <f>IFERROR(__xludf.DUMMYFUNCTION("""COMPUTED_VALUE"""),"ØØØ Season 7 [The House of Spiders: The Middle Nursefather] Outis")</f>
        <v>ØØØ Season 7 [The House of Spiders: The Middle Nursefather] Outis</v>
      </c>
      <c r="O178" s="8" t="str">
        <f>IFERROR(__xludf.DUMMYFUNCTION("""COMPUTED_VALUE"""),"")</f>
        <v/>
      </c>
      <c r="P178" s="8"/>
      <c r="Q178" s="7">
        <v>3.0</v>
      </c>
    </row>
    <row r="179">
      <c r="A179" s="7" t="s">
        <v>1753</v>
      </c>
      <c r="B179" s="25" t="s">
        <v>157</v>
      </c>
      <c r="C179" s="385" t="s">
        <v>1426</v>
      </c>
      <c r="D179" s="385" t="s">
        <v>1740</v>
      </c>
      <c r="E179" s="387" t="s">
        <v>1454</v>
      </c>
      <c r="F179" s="7">
        <v>178.0</v>
      </c>
      <c r="G179" s="389">
        <f t="shared" ref="G179:G180" si="52">DATE(2026, 6, 11)</f>
        <v>46184</v>
      </c>
      <c r="H179" s="7" t="b">
        <v>1</v>
      </c>
      <c r="I179" s="388" t="str">
        <f>IFERROR(__xludf.DUMMYFUNCTION("""COMPUTED_VALUE"""),"[S Corp. Ch'unokkun] Hong Lu")</f>
        <v>[S Corp. Ch'unokkun] Hong Lu</v>
      </c>
      <c r="J179" s="7">
        <v>1.0</v>
      </c>
      <c r="K179" s="7">
        <v>0.0</v>
      </c>
      <c r="L179" s="7">
        <v>3.0</v>
      </c>
      <c r="M179" s="387" t="s">
        <v>1754</v>
      </c>
      <c r="N179" s="8" t="str">
        <f>IFERROR(__xludf.DUMMYFUNCTION("""COMPUTED_VALUE"""),"")</f>
        <v/>
      </c>
      <c r="O179" s="8" t="str">
        <f>IFERROR(__xludf.DUMMYFUNCTION("""COMPUTED_VALUE"""),"")</f>
        <v/>
      </c>
      <c r="P179" s="8"/>
      <c r="Q179" s="8"/>
    </row>
    <row r="180">
      <c r="A180" s="7" t="s">
        <v>1755</v>
      </c>
      <c r="B180" s="25" t="s">
        <v>122</v>
      </c>
      <c r="C180" s="385" t="s">
        <v>1426</v>
      </c>
      <c r="D180" s="385" t="s">
        <v>1744</v>
      </c>
      <c r="E180" s="387" t="s">
        <v>1454</v>
      </c>
      <c r="F180" s="7">
        <v>179.0</v>
      </c>
      <c r="G180" s="389">
        <f t="shared" si="52"/>
        <v>46184</v>
      </c>
      <c r="H180" s="7" t="b">
        <v>1</v>
      </c>
      <c r="I180" s="388" t="str">
        <f>IFERROR(__xludf.DUMMYFUNCTION("""COMPUTED_VALUE"""),"[LCD Osir Team] Ishmael")</f>
        <v>[LCD Osir Team] Ishmael</v>
      </c>
      <c r="J180" s="7">
        <v>59.0</v>
      </c>
      <c r="K180" s="7">
        <v>8924.0</v>
      </c>
      <c r="L180" s="7">
        <v>4.0</v>
      </c>
      <c r="M180" s="387" t="s">
        <v>1756</v>
      </c>
      <c r="N180" s="8" t="str">
        <f>IFERROR(__xludf.DUMMYFUNCTION("""COMPUTED_VALUE"""),"")</f>
        <v/>
      </c>
      <c r="O180" s="8" t="str">
        <f>IFERROR(__xludf.DUMMYFUNCTION("""COMPUTED_VALUE"""),"")</f>
        <v/>
      </c>
      <c r="P180" s="8"/>
      <c r="Q180" s="7">
        <v>4.0</v>
      </c>
    </row>
    <row r="181">
      <c r="A181" s="7" t="s">
        <v>1757</v>
      </c>
      <c r="B181" s="25" t="s">
        <v>158</v>
      </c>
      <c r="C181" s="385" t="s">
        <v>1426</v>
      </c>
      <c r="D181" s="385" t="s">
        <v>1709</v>
      </c>
      <c r="E181" s="387" t="s">
        <v>1662</v>
      </c>
      <c r="F181" s="7">
        <v>180.0</v>
      </c>
      <c r="G181" s="389">
        <f t="shared" ref="G181:G182" si="53">DATE(2026, 6, 25)</f>
        <v>46198</v>
      </c>
      <c r="H181" s="8" t="b">
        <v>0</v>
      </c>
      <c r="I181" s="388" t="str">
        <f>IFERROR(__xludf.DUMMYFUNCTION("""COMPUTED_VALUE"""),"")</f>
        <v/>
      </c>
      <c r="J181" s="7"/>
      <c r="K181" s="8"/>
      <c r="L181" s="7" t="s">
        <v>1597</v>
      </c>
      <c r="M181" s="387" t="s">
        <v>1758</v>
      </c>
      <c r="N181" s="8" t="str">
        <f>IFERROR(__xludf.DUMMYFUNCTION("""COMPUTED_VALUE"""),"ØØØ Season 7 [The House of Spiders: The Thumb Apprentice] Heathcliff")</f>
        <v>ØØØ Season 7 [The House of Spiders: The Thumb Apprentice] Heathcliff</v>
      </c>
      <c r="O181" s="8" t="str">
        <f>IFERROR(__xludf.DUMMYFUNCTION("""COMPUTED_VALUE"""),"")</f>
        <v/>
      </c>
      <c r="P181" s="8"/>
      <c r="Q181" s="7">
        <v>6.0</v>
      </c>
    </row>
    <row r="182">
      <c r="A182" s="7" t="s">
        <v>1759</v>
      </c>
      <c r="B182" s="25" t="s">
        <v>159</v>
      </c>
      <c r="C182" s="385" t="s">
        <v>1426</v>
      </c>
      <c r="D182" s="385" t="s">
        <v>1709</v>
      </c>
      <c r="E182" s="387" t="s">
        <v>1760</v>
      </c>
      <c r="F182" s="7">
        <v>181.0</v>
      </c>
      <c r="G182" s="389">
        <f t="shared" si="53"/>
        <v>46198</v>
      </c>
      <c r="H182" s="7" t="b">
        <v>0</v>
      </c>
      <c r="I182" s="388" t="str">
        <f>IFERROR(__xludf.DUMMYFUNCTION("""COMPUTED_VALUE"""),"")</f>
        <v/>
      </c>
      <c r="J182" s="7"/>
      <c r="K182" s="8"/>
      <c r="L182" s="7" t="s">
        <v>1597</v>
      </c>
      <c r="M182" s="387" t="s">
        <v>1761</v>
      </c>
      <c r="N182" s="8" t="str">
        <f>IFERROR(__xludf.DUMMYFUNCTION("""COMPUTED_VALUE"""),"ØØØ Season 7 [The House of Spiders: The Thumb Nursefather] Rodion")</f>
        <v>ØØØ Season 7 [The House of Spiders: The Thumb Nursefather] Rodion</v>
      </c>
      <c r="O182" s="8" t="str">
        <f>IFERROR(__xludf.DUMMYFUNCTION("""COMPUTED_VALUE"""),"")</f>
        <v/>
      </c>
      <c r="P182" s="8"/>
      <c r="Q182" s="7">
        <v>5.0</v>
      </c>
    </row>
    <row r="183">
      <c r="A183" s="7" t="s">
        <v>1762</v>
      </c>
      <c r="B183" s="25" t="s">
        <v>153</v>
      </c>
      <c r="C183" s="385" t="s">
        <v>1426</v>
      </c>
      <c r="D183" s="385" t="s">
        <v>1763</v>
      </c>
      <c r="E183" s="387" t="s">
        <v>138</v>
      </c>
      <c r="F183" s="7">
        <v>182.0</v>
      </c>
      <c r="G183" s="389">
        <f t="shared" ref="G183:G184" si="54">DATE(2026, 7, 9)</f>
        <v>46212</v>
      </c>
      <c r="H183" s="8" t="b">
        <v>0</v>
      </c>
      <c r="I183" s="388" t="str">
        <f>IFERROR(__xludf.DUMMYFUNCTION("""COMPUTED_VALUE"""),"")</f>
        <v/>
      </c>
      <c r="J183" s="7"/>
      <c r="K183" s="8"/>
      <c r="L183" s="7" t="s">
        <v>1764</v>
      </c>
      <c r="M183" s="8"/>
      <c r="N183" s="8" t="str">
        <f>IFERROR(__xludf.DUMMYFUNCTION("""COMPUTED_VALUE"""),"ØØØ Walpurgisnaught 9 [Yuna Dawn Office] Faust")</f>
        <v>ØØØ Walpurgisnaught 9 [Yuna Dawn Office] Faust</v>
      </c>
      <c r="O183" s="8" t="str">
        <f>IFERROR(__xludf.DUMMYFUNCTION("""COMPUTED_VALUE"""),"")</f>
        <v/>
      </c>
      <c r="P183" s="8"/>
      <c r="Q183" s="8"/>
    </row>
    <row r="184">
      <c r="A184" s="7" t="s">
        <v>1765</v>
      </c>
      <c r="B184" s="25" t="s">
        <v>154</v>
      </c>
      <c r="C184" s="385" t="s">
        <v>1426</v>
      </c>
      <c r="D184" s="385" t="s">
        <v>1763</v>
      </c>
      <c r="E184" s="8"/>
      <c r="F184" s="7">
        <v>183.0</v>
      </c>
      <c r="G184" s="389">
        <f t="shared" si="54"/>
        <v>46212</v>
      </c>
      <c r="H184" s="8" t="b">
        <v>0</v>
      </c>
      <c r="I184" s="388" t="str">
        <f>IFERROR(__xludf.DUMMYFUNCTION("""COMPUTED_VALUE"""),"")</f>
        <v/>
      </c>
      <c r="J184" s="7"/>
      <c r="K184" s="8"/>
      <c r="L184" s="7" t="s">
        <v>1764</v>
      </c>
      <c r="M184" s="8"/>
      <c r="N184" s="8" t="str">
        <f>IFERROR(__xludf.DUMMYFUNCTION("""COMPUTED_VALUE"""),"ØØØ Walpurgisnaught 9 [Salvador Dawn Office] Don Quixote")</f>
        <v>ØØØ Walpurgisnaught 9 [Salvador Dawn Office] Don Quixote</v>
      </c>
      <c r="O184" s="8" t="str">
        <f>IFERROR(__xludf.DUMMYFUNCTION("""COMPUTED_VALUE"""),"")</f>
        <v/>
      </c>
      <c r="P184" s="8"/>
      <c r="Q184" s="8"/>
    </row>
    <row r="185">
      <c r="A185" s="7" t="s">
        <v>1766</v>
      </c>
      <c r="B185" s="25" t="s">
        <v>160</v>
      </c>
      <c r="C185" s="385" t="s">
        <v>1426</v>
      </c>
      <c r="D185" s="385" t="s">
        <v>771</v>
      </c>
      <c r="E185" s="387" t="s">
        <v>1490</v>
      </c>
      <c r="F185" s="7">
        <v>184.0</v>
      </c>
      <c r="G185" s="389">
        <f>DATE(2026, 7, 25)</f>
        <v>46228</v>
      </c>
      <c r="H185" s="8" t="b">
        <v>0</v>
      </c>
      <c r="I185" s="388" t="str">
        <f>IFERROR(__xludf.DUMMYFUNCTION("""COMPUTED_VALUE"""),"")</f>
        <v/>
      </c>
      <c r="J185" s="7"/>
      <c r="K185" s="8"/>
      <c r="L185" s="8"/>
      <c r="M185" s="8"/>
      <c r="N185" s="8" t="str">
        <f>IFERROR(__xludf.DUMMYFUNCTION("""COMPUTED_VALUE"""),"ØØØ Standard Fare [Wayfarer Doorbreach Team 4 Leader] Sinclair")</f>
        <v>ØØØ Standard Fare [Wayfarer Doorbreach Team 4 Leader] Sinclair</v>
      </c>
      <c r="O185" s="8" t="str">
        <f>IFERROR(__xludf.DUMMYFUNCTION("""COMPUTED_VALUE"""),"")</f>
        <v/>
      </c>
      <c r="P185" s="8"/>
      <c r="Q185" s="8"/>
    </row>
    <row r="186">
      <c r="A186" s="7" t="s">
        <v>1767</v>
      </c>
      <c r="B186" s="25" t="s">
        <v>153</v>
      </c>
      <c r="C186" s="385" t="s">
        <v>1426</v>
      </c>
      <c r="D186" s="385" t="s">
        <v>1768</v>
      </c>
      <c r="E186" s="387" t="s">
        <v>143</v>
      </c>
      <c r="F186" s="7">
        <v>185.0</v>
      </c>
      <c r="G186" s="389">
        <f>DATE(2026, 8, 8)</f>
        <v>46242</v>
      </c>
      <c r="H186" s="8" t="b">
        <v>0</v>
      </c>
      <c r="I186" s="388" t="str">
        <f>IFERROR(__xludf.DUMMYFUNCTION("""COMPUTED_VALUE"""),"")</f>
        <v/>
      </c>
      <c r="J186" s="7"/>
      <c r="K186" s="8"/>
      <c r="L186" s="7" t="s">
        <v>1597</v>
      </c>
      <c r="M186" s="387" t="s">
        <v>1769</v>
      </c>
      <c r="N186" s="8" t="str">
        <f>IFERROR(__xludf.DUMMYFUNCTION("""COMPUTED_VALUE"""),"ØØØ Season 8 [N Corp E.G.O:: Hex Nail] Faust")</f>
        <v>ØØØ Season 8 [N Corp E.G.O:: Hex Nail] Faust</v>
      </c>
      <c r="O186" s="8" t="str">
        <f>IFERROR(__xludf.DUMMYFUNCTION("""COMPUTED_VALUE"""),"")</f>
        <v/>
      </c>
      <c r="P186" s="8"/>
      <c r="Q186" s="8"/>
    </row>
    <row r="187">
      <c r="A187" s="7" t="s">
        <v>1770</v>
      </c>
      <c r="B187" s="25" t="s">
        <v>160</v>
      </c>
      <c r="C187" s="385" t="s">
        <v>1426</v>
      </c>
      <c r="D187" s="385" t="s">
        <v>1768</v>
      </c>
      <c r="E187" s="387" t="s">
        <v>752</v>
      </c>
      <c r="F187" s="7">
        <v>186.0</v>
      </c>
      <c r="G187" s="389">
        <f>G186</f>
        <v>46242</v>
      </c>
      <c r="H187" s="8" t="b">
        <v>0</v>
      </c>
      <c r="I187" s="388" t="str">
        <f>IFERROR(__xludf.DUMMYFUNCTION("""COMPUTED_VALUE"""),"")</f>
        <v/>
      </c>
      <c r="J187" s="7"/>
      <c r="K187" s="8"/>
      <c r="L187" s="7" t="s">
        <v>1597</v>
      </c>
      <c r="M187" s="8"/>
      <c r="N187" s="8" t="str">
        <f>IFERROR(__xludf.DUMMYFUNCTION("""COMPUTED_VALUE"""),"ØØØ Season 8 [N Corp E.G.O:: Lantern] Sinclair")</f>
        <v>ØØØ Season 8 [N Corp E.G.O:: Lantern] Sinclair</v>
      </c>
      <c r="O187" s="8" t="str">
        <f>IFERROR(__xludf.DUMMYFUNCTION("""COMPUTED_VALUE"""),"")</f>
        <v/>
      </c>
      <c r="P187" s="8"/>
      <c r="Q187" s="8"/>
    </row>
    <row r="188">
      <c r="A188" s="7" t="s">
        <v>1771</v>
      </c>
      <c r="B188" s="25" t="s">
        <v>159</v>
      </c>
      <c r="C188" s="385" t="s">
        <v>1426</v>
      </c>
      <c r="D188" s="385" t="s">
        <v>1768</v>
      </c>
      <c r="E188" s="387" t="s">
        <v>138</v>
      </c>
      <c r="F188" s="7">
        <v>187.0</v>
      </c>
      <c r="G188" s="389">
        <f>G186+7</f>
        <v>46249</v>
      </c>
      <c r="H188" s="8" t="b">
        <v>0</v>
      </c>
      <c r="I188" s="388" t="str">
        <f>IFERROR(__xludf.DUMMYFUNCTION("""COMPUTED_VALUE"""),"")</f>
        <v/>
      </c>
      <c r="J188" s="7"/>
      <c r="K188" s="8"/>
      <c r="L188" s="7" t="s">
        <v>1597</v>
      </c>
      <c r="M188" s="8"/>
      <c r="N188" s="8" t="str">
        <f>IFERROR(__xludf.DUMMYFUNCTION("""COMPUTED_VALUE"""),"ØØØ Season 8 [N Corp E.G.O:: Indicant's Trial] Rodion")</f>
        <v>ØØØ Season 8 [N Corp E.G.O:: Indicant's Trial] Rodion</v>
      </c>
      <c r="O188" s="8" t="str">
        <f>IFERROR(__xludf.DUMMYFUNCTION("""COMPUTED_VALUE"""),"")</f>
        <v/>
      </c>
      <c r="P188" s="8"/>
      <c r="Q188" s="8"/>
    </row>
    <row r="189">
      <c r="A189" s="7" t="s">
        <v>1772</v>
      </c>
      <c r="B189" s="25" t="s">
        <v>158</v>
      </c>
      <c r="C189" s="385" t="s">
        <v>1426</v>
      </c>
      <c r="D189" s="385" t="s">
        <v>1768</v>
      </c>
      <c r="E189" s="387" t="s">
        <v>1497</v>
      </c>
      <c r="F189" s="7">
        <v>188.0</v>
      </c>
      <c r="G189" s="389">
        <f>G186+7+(14*1)</f>
        <v>46263</v>
      </c>
      <c r="H189" s="8" t="b">
        <v>0</v>
      </c>
      <c r="I189" s="388" t="str">
        <f>IFERROR(__xludf.DUMMYFUNCTION("""COMPUTED_VALUE"""),"")</f>
        <v/>
      </c>
      <c r="J189" s="7"/>
      <c r="K189" s="8"/>
      <c r="L189" s="7" t="s">
        <v>1597</v>
      </c>
      <c r="M189" s="387" t="s">
        <v>1545</v>
      </c>
      <c r="N189" s="8" t="str">
        <f>IFERROR(__xludf.DUMMYFUNCTION("""COMPUTED_VALUE"""),"ØØØ Season 8 [N Corp E.G.O:: King of Binds] Heathcliff")</f>
        <v>ØØØ Season 8 [N Corp E.G.O:: King of Binds] Heathcliff</v>
      </c>
      <c r="O189" s="8" t="str">
        <f>IFERROR(__xludf.DUMMYFUNCTION("""COMPUTED_VALUE"""),"")</f>
        <v/>
      </c>
      <c r="P189" s="8"/>
      <c r="Q189" s="8"/>
    </row>
    <row r="190">
      <c r="A190" s="7" t="s">
        <v>1773</v>
      </c>
      <c r="B190" s="25" t="s">
        <v>157</v>
      </c>
      <c r="C190" s="385" t="s">
        <v>1426</v>
      </c>
      <c r="D190" s="385" t="s">
        <v>1768</v>
      </c>
      <c r="E190" s="387" t="s">
        <v>123</v>
      </c>
      <c r="F190" s="7">
        <v>189.0</v>
      </c>
      <c r="G190" s="389">
        <f>G186+7+(14*2)</f>
        <v>46277</v>
      </c>
      <c r="H190" s="8" t="b">
        <v>0</v>
      </c>
      <c r="I190" s="388" t="str">
        <f>IFERROR(__xludf.DUMMYFUNCTION("""COMPUTED_VALUE"""),"")</f>
        <v/>
      </c>
      <c r="J190" s="7"/>
      <c r="K190" s="8"/>
      <c r="L190" s="7" t="s">
        <v>1597</v>
      </c>
      <c r="M190" s="387" t="s">
        <v>1774</v>
      </c>
      <c r="N190" s="8" t="str">
        <f>IFERROR(__xludf.DUMMYFUNCTION("""COMPUTED_VALUE"""),"ØØØ Season 8 [N Corp E.G.O:: Carvenous Wailings] Hong Lu")</f>
        <v>ØØØ Season 8 [N Corp E.G.O:: Carvenous Wailings] Hong Lu</v>
      </c>
      <c r="O190" s="8" t="str">
        <f>IFERROR(__xludf.DUMMYFUNCTION("""COMPUTED_VALUE"""),"")</f>
        <v/>
      </c>
      <c r="P190" s="8"/>
      <c r="Q190" s="8"/>
    </row>
    <row r="191">
      <c r="A191" s="7" t="s">
        <v>1775</v>
      </c>
      <c r="B191" s="25" t="s">
        <v>12</v>
      </c>
      <c r="C191" s="385" t="s">
        <v>1426</v>
      </c>
      <c r="D191" s="385" t="s">
        <v>1768</v>
      </c>
      <c r="E191" s="387" t="s">
        <v>1434</v>
      </c>
      <c r="F191" s="7">
        <v>190.0</v>
      </c>
      <c r="G191" s="389">
        <f>G186+7+(14*2)</f>
        <v>46277</v>
      </c>
      <c r="H191" s="8" t="b">
        <v>0</v>
      </c>
      <c r="I191" s="388" t="str">
        <f>IFERROR(__xludf.DUMMYFUNCTION("""COMPUTED_VALUE"""),"")</f>
        <v/>
      </c>
      <c r="J191" s="7"/>
      <c r="K191" s="8"/>
      <c r="L191" s="7" t="s">
        <v>1597</v>
      </c>
      <c r="M191" s="387" t="s">
        <v>1776</v>
      </c>
      <c r="N191" s="8" t="str">
        <f>IFERROR(__xludf.DUMMYFUNCTION("""COMPUTED_VALUE"""),"ØØØ Season 8 [N Corp E.G.O:: Dimension Shredder] Yi Sang")</f>
        <v>ØØØ Season 8 [N Corp E.G.O:: Dimension Shredder] Yi Sang</v>
      </c>
      <c r="O191" s="8" t="str">
        <f>IFERROR(__xludf.DUMMYFUNCTION("""COMPUTED_VALUE"""),"")</f>
        <v/>
      </c>
      <c r="P191" s="8"/>
      <c r="Q191" s="8"/>
    </row>
    <row r="192">
      <c r="A192" s="7" t="s">
        <v>1777</v>
      </c>
      <c r="B192" s="25" t="s">
        <v>122</v>
      </c>
      <c r="C192" s="385" t="s">
        <v>1426</v>
      </c>
      <c r="D192" s="385" t="s">
        <v>1768</v>
      </c>
      <c r="E192" s="387" t="s">
        <v>1778</v>
      </c>
      <c r="F192" s="7">
        <v>191.0</v>
      </c>
      <c r="G192" s="389">
        <f>G186+7+(14*3)</f>
        <v>46291</v>
      </c>
      <c r="H192" s="8" t="b">
        <v>0</v>
      </c>
      <c r="I192" s="388" t="str">
        <f>IFERROR(__xludf.DUMMYFUNCTION("""COMPUTED_VALUE"""),"")</f>
        <v/>
      </c>
      <c r="J192" s="7"/>
      <c r="K192" s="8"/>
      <c r="L192" s="7" t="s">
        <v>1597</v>
      </c>
      <c r="M192" s="8"/>
      <c r="N192" s="8" t="str">
        <f>IFERROR(__xludf.DUMMYFUNCTION("""COMPUTED_VALUE"""),"ØØØ Season 8 [N Corp E.G.O:: Blind Obsession] Ishmael")</f>
        <v>ØØØ Season 8 [N Corp E.G.O:: Blind Obsession] Ishmael</v>
      </c>
      <c r="O192" s="8" t="str">
        <f>IFERROR(__xludf.DUMMYFUNCTION("""COMPUTED_VALUE"""),"")</f>
        <v/>
      </c>
      <c r="P192" s="8"/>
      <c r="Q192" s="8"/>
    </row>
    <row r="193">
      <c r="A193" s="8"/>
      <c r="B193" s="25"/>
      <c r="C193" s="385" t="s">
        <v>1426</v>
      </c>
      <c r="D193" s="385" t="s">
        <v>1779</v>
      </c>
      <c r="E193" s="8"/>
      <c r="F193" s="7">
        <v>192.0</v>
      </c>
      <c r="G193" s="389">
        <f>G186+7+(14*4)</f>
        <v>46305</v>
      </c>
      <c r="H193" s="8" t="b">
        <v>0</v>
      </c>
      <c r="I193" s="388" t="str">
        <f>IFERROR(__xludf.DUMMYFUNCTION("""COMPUTED_VALUE"""),"")</f>
        <v/>
      </c>
      <c r="J193" s="7"/>
      <c r="K193" s="8"/>
      <c r="L193" s="7" t="s">
        <v>1764</v>
      </c>
      <c r="M193" s="8"/>
      <c r="N193" s="8" t="str">
        <f>IFERROR(__xludf.DUMMYFUNCTION("""COMPUTED_VALUE"""),"")</f>
        <v/>
      </c>
      <c r="O193" s="8" t="str">
        <f>IFERROR(__xludf.DUMMYFUNCTION("""COMPUTED_VALUE"""),"")</f>
        <v/>
      </c>
      <c r="P193" s="8"/>
      <c r="Q193" s="8"/>
    </row>
    <row r="194">
      <c r="A194" s="8"/>
      <c r="B194" s="25"/>
      <c r="C194" s="385" t="s">
        <v>1426</v>
      </c>
      <c r="D194" s="385" t="s">
        <v>1779</v>
      </c>
      <c r="E194" s="8"/>
      <c r="F194" s="7">
        <v>193.0</v>
      </c>
      <c r="G194" s="389">
        <f>G186+7+(14*4)</f>
        <v>46305</v>
      </c>
      <c r="H194" s="8" t="b">
        <v>0</v>
      </c>
      <c r="I194" s="388" t="str">
        <f>IFERROR(__xludf.DUMMYFUNCTION("""COMPUTED_VALUE"""),"")</f>
        <v/>
      </c>
      <c r="J194" s="7"/>
      <c r="K194" s="8"/>
      <c r="L194" s="7" t="s">
        <v>1764</v>
      </c>
      <c r="M194" s="8"/>
      <c r="N194" s="8" t="str">
        <f>IFERROR(__xludf.DUMMYFUNCTION("""COMPUTED_VALUE"""),"")</f>
        <v/>
      </c>
      <c r="O194" s="8" t="str">
        <f>IFERROR(__xludf.DUMMYFUNCTION("""COMPUTED_VALUE"""),"")</f>
        <v/>
      </c>
      <c r="P194" s="8"/>
      <c r="Q194" s="8"/>
    </row>
    <row r="195">
      <c r="A195" s="7" t="s">
        <v>1780</v>
      </c>
      <c r="B195" s="25" t="s">
        <v>156</v>
      </c>
      <c r="C195" s="385" t="s">
        <v>1426</v>
      </c>
      <c r="D195" s="385" t="s">
        <v>1781</v>
      </c>
      <c r="E195" s="387" t="s">
        <v>1782</v>
      </c>
      <c r="F195" s="7">
        <v>194.0</v>
      </c>
      <c r="G195" s="389">
        <f>G186+7+(14*5)</f>
        <v>46319</v>
      </c>
      <c r="H195" s="8" t="b">
        <v>0</v>
      </c>
      <c r="I195" s="388" t="str">
        <f>IFERROR(__xludf.DUMMYFUNCTION("""COMPUTED_VALUE"""),"")</f>
        <v/>
      </c>
      <c r="J195" s="7"/>
      <c r="K195" s="8"/>
      <c r="L195" s="8"/>
      <c r="M195" s="8"/>
      <c r="N195" s="8" t="str">
        <f>IFERROR(__xludf.DUMMYFUNCTION("""COMPUTED_VALUE"""),"")</f>
        <v/>
      </c>
      <c r="O195" s="8" t="str">
        <f>IFERROR(__xludf.DUMMYFUNCTION("""COMPUTED_VALUE"""),"ØØØ Season 8 Bokgak [The Night Drifter of Hongyuan] Meursault")</f>
        <v>ØØØ Season 8 Bokgak [The Night Drifter of Hongyuan] Meursault</v>
      </c>
      <c r="P195" s="8"/>
      <c r="Q195" s="8"/>
    </row>
    <row r="196">
      <c r="A196" s="8"/>
      <c r="B196" s="25"/>
      <c r="C196" s="385" t="s">
        <v>1426</v>
      </c>
      <c r="D196" s="385" t="s">
        <v>1768</v>
      </c>
      <c r="E196" s="8"/>
      <c r="F196" s="7">
        <v>195.0</v>
      </c>
      <c r="G196" s="389">
        <f>G186+7+(14*6)</f>
        <v>46333</v>
      </c>
      <c r="H196" s="8" t="b">
        <v>0</v>
      </c>
      <c r="I196" s="388" t="str">
        <f>IFERROR(__xludf.DUMMYFUNCTION("""COMPUTED_VALUE"""),"")</f>
        <v/>
      </c>
      <c r="J196" s="7"/>
      <c r="K196" s="8"/>
      <c r="L196" s="8"/>
      <c r="M196" s="8"/>
      <c r="N196" s="8" t="str">
        <f>IFERROR(__xludf.DUMMYFUNCTION("""COMPUTED_VALUE"""),"")</f>
        <v/>
      </c>
      <c r="O196" s="8" t="str">
        <f>IFERROR(__xludf.DUMMYFUNCTION("""COMPUTED_VALUE"""),"")</f>
        <v/>
      </c>
      <c r="P196" s="8"/>
      <c r="Q196" s="8"/>
    </row>
    <row r="197">
      <c r="A197" s="8"/>
      <c r="B197" s="25"/>
      <c r="C197" s="385" t="s">
        <v>1426</v>
      </c>
      <c r="D197" s="385" t="s">
        <v>1768</v>
      </c>
      <c r="E197" s="8"/>
      <c r="F197" s="7">
        <v>196.0</v>
      </c>
      <c r="G197" s="389">
        <f>G186+7+(14*6)</f>
        <v>46333</v>
      </c>
      <c r="H197" s="8" t="b">
        <v>0</v>
      </c>
      <c r="I197" s="388" t="str">
        <f>IFERROR(__xludf.DUMMYFUNCTION("""COMPUTED_VALUE"""),"")</f>
        <v/>
      </c>
      <c r="J197" s="7"/>
      <c r="K197" s="8"/>
      <c r="L197" s="8"/>
      <c r="M197" s="8"/>
      <c r="N197" s="8" t="str">
        <f>IFERROR(__xludf.DUMMYFUNCTION("""COMPUTED_VALUE"""),"")</f>
        <v/>
      </c>
      <c r="O197" s="8" t="str">
        <f>IFERROR(__xludf.DUMMYFUNCTION("""COMPUTED_VALUE"""),"")</f>
        <v/>
      </c>
      <c r="P197" s="8"/>
      <c r="Q197" s="8"/>
    </row>
    <row r="198">
      <c r="A198" s="8"/>
      <c r="B198" s="25"/>
      <c r="C198" s="385" t="s">
        <v>1426</v>
      </c>
      <c r="D198" s="385" t="s">
        <v>1783</v>
      </c>
      <c r="E198" s="8"/>
      <c r="F198" s="7">
        <v>197.0</v>
      </c>
      <c r="G198" s="389">
        <f>G186+7+(14*7)</f>
        <v>46347</v>
      </c>
      <c r="H198" s="8" t="b">
        <v>0</v>
      </c>
      <c r="I198" s="388" t="str">
        <f>IFERROR(__xludf.DUMMYFUNCTION("""COMPUTED_VALUE"""),"")</f>
        <v/>
      </c>
      <c r="J198" s="7"/>
      <c r="K198" s="8"/>
      <c r="L198" s="8"/>
      <c r="M198" s="8"/>
      <c r="N198" s="8" t="str">
        <f>IFERROR(__xludf.DUMMYFUNCTION("""COMPUTED_VALUE"""),"")</f>
        <v/>
      </c>
      <c r="O198" s="8" t="str">
        <f>IFERROR(__xludf.DUMMYFUNCTION("""COMPUTED_VALUE"""),"")</f>
        <v/>
      </c>
      <c r="P198" s="8"/>
      <c r="Q198" s="8"/>
    </row>
    <row r="199">
      <c r="A199" s="8"/>
      <c r="B199" s="25"/>
      <c r="C199" s="385" t="s">
        <v>1426</v>
      </c>
      <c r="D199" s="385" t="s">
        <v>1784</v>
      </c>
      <c r="E199" s="8"/>
      <c r="F199" s="7">
        <v>198.0</v>
      </c>
      <c r="G199" s="389">
        <f>G186+7+(14*7)</f>
        <v>46347</v>
      </c>
      <c r="H199" s="8" t="b">
        <v>0</v>
      </c>
      <c r="I199" s="388" t="str">
        <f>IFERROR(__xludf.DUMMYFUNCTION("""COMPUTED_VALUE"""),"")</f>
        <v/>
      </c>
      <c r="J199" s="7"/>
      <c r="K199" s="8"/>
      <c r="L199" s="8"/>
      <c r="M199" s="8"/>
      <c r="N199" s="8" t="str">
        <f>IFERROR(__xludf.DUMMYFUNCTION("""COMPUTED_VALUE"""),"")</f>
        <v/>
      </c>
      <c r="O199" s="8" t="str">
        <f>IFERROR(__xludf.DUMMYFUNCTION("""COMPUTED_VALUE"""),"")</f>
        <v/>
      </c>
      <c r="P199" s="8"/>
      <c r="Q199" s="8"/>
    </row>
    <row r="200">
      <c r="A200" s="8"/>
      <c r="B200" s="25"/>
      <c r="C200" s="385" t="s">
        <v>1426</v>
      </c>
      <c r="D200" s="385" t="s">
        <v>771</v>
      </c>
      <c r="E200" s="8"/>
      <c r="F200" s="7">
        <v>199.0</v>
      </c>
      <c r="G200" s="389">
        <f>G186+7+(14*8)</f>
        <v>46361</v>
      </c>
      <c r="H200" s="8" t="b">
        <v>0</v>
      </c>
      <c r="I200" s="388" t="str">
        <f>IFERROR(__xludf.DUMMYFUNCTION("""COMPUTED_VALUE"""),"")</f>
        <v/>
      </c>
      <c r="J200" s="7"/>
      <c r="K200" s="8"/>
      <c r="L200" s="8"/>
      <c r="M200" s="8"/>
      <c r="N200" s="8" t="str">
        <f>IFERROR(__xludf.DUMMYFUNCTION("""COMPUTED_VALUE"""),"")</f>
        <v/>
      </c>
      <c r="O200" s="8" t="str">
        <f>IFERROR(__xludf.DUMMYFUNCTION("""COMPUTED_VALUE"""),"")</f>
        <v/>
      </c>
      <c r="P200" s="8"/>
      <c r="Q200" s="8"/>
    </row>
    <row r="201">
      <c r="A201" s="8"/>
      <c r="B201" s="25"/>
      <c r="C201" s="385" t="s">
        <v>1426</v>
      </c>
      <c r="D201" s="385" t="s">
        <v>1768</v>
      </c>
      <c r="E201" s="8"/>
      <c r="F201" s="7">
        <v>200.0</v>
      </c>
      <c r="G201" s="389">
        <f>G186+7+(14*9)</f>
        <v>46375</v>
      </c>
      <c r="H201" s="8" t="b">
        <v>0</v>
      </c>
      <c r="I201" s="388" t="str">
        <f>IFERROR(__xludf.DUMMYFUNCTION("""COMPUTED_VALUE"""),"")</f>
        <v/>
      </c>
      <c r="J201" s="7"/>
      <c r="K201" s="8"/>
      <c r="L201" s="8"/>
      <c r="M201" s="8"/>
      <c r="N201" s="8" t="str">
        <f>IFERROR(__xludf.DUMMYFUNCTION("""COMPUTED_VALUE"""),"")</f>
        <v/>
      </c>
      <c r="O201" s="8" t="str">
        <f>IFERROR(__xludf.DUMMYFUNCTION("""COMPUTED_VALUE"""),"")</f>
        <v/>
      </c>
      <c r="P201" s="8"/>
      <c r="Q201" s="8"/>
    </row>
    <row r="202">
      <c r="A202" s="8"/>
      <c r="B202" s="25"/>
      <c r="C202" s="385" t="s">
        <v>1426</v>
      </c>
      <c r="D202" s="385" t="s">
        <v>1768</v>
      </c>
      <c r="E202" s="8"/>
      <c r="F202" s="7">
        <v>201.0</v>
      </c>
      <c r="G202" s="389">
        <f>G186+7+(14*10)</f>
        <v>46389</v>
      </c>
      <c r="H202" s="8" t="b">
        <v>0</v>
      </c>
      <c r="I202" s="388" t="str">
        <f>IFERROR(__xludf.DUMMYFUNCTION("""COMPUTED_VALUE"""),"")</f>
        <v/>
      </c>
      <c r="J202" s="7"/>
      <c r="K202" s="8"/>
      <c r="L202" s="8"/>
      <c r="M202" s="8"/>
      <c r="N202" s="8" t="str">
        <f>IFERROR(__xludf.DUMMYFUNCTION("""COMPUTED_VALUE"""),"")</f>
        <v/>
      </c>
      <c r="O202" s="8" t="str">
        <f>IFERROR(__xludf.DUMMYFUNCTION("""COMPUTED_VALUE"""),"")</f>
        <v/>
      </c>
      <c r="P202" s="8"/>
      <c r="Q202" s="8"/>
    </row>
    <row r="203">
      <c r="A203" s="8"/>
      <c r="B203" s="25"/>
      <c r="C203" s="385" t="s">
        <v>1426</v>
      </c>
      <c r="D203" s="385" t="s">
        <v>1781</v>
      </c>
      <c r="E203" s="8"/>
      <c r="F203" s="7">
        <v>202.0</v>
      </c>
      <c r="G203" s="389">
        <f>G186+7+(14*11)</f>
        <v>46403</v>
      </c>
      <c r="H203" s="8" t="b">
        <v>0</v>
      </c>
      <c r="I203" s="388" t="str">
        <f>IFERROR(__xludf.DUMMYFUNCTION("""COMPUTED_VALUE"""),"")</f>
        <v/>
      </c>
      <c r="J203" s="7"/>
      <c r="K203" s="8"/>
      <c r="L203" s="8"/>
      <c r="M203" s="8"/>
      <c r="N203" s="8" t="str">
        <f>IFERROR(__xludf.DUMMYFUNCTION("""COMPUTED_VALUE"""),"")</f>
        <v/>
      </c>
      <c r="O203" s="8" t="str">
        <f>IFERROR(__xludf.DUMMYFUNCTION("""COMPUTED_VALUE"""),"")</f>
        <v/>
      </c>
      <c r="P203" s="8"/>
      <c r="Q203" s="8"/>
    </row>
    <row r="204">
      <c r="A204" s="8"/>
      <c r="B204" s="25"/>
      <c r="C204" s="385" t="s">
        <v>1426</v>
      </c>
      <c r="D204" s="385" t="s">
        <v>1781</v>
      </c>
      <c r="E204" s="8"/>
      <c r="F204" s="7">
        <v>203.0</v>
      </c>
      <c r="G204" s="389">
        <f>G186+7+(14*11)</f>
        <v>46403</v>
      </c>
      <c r="H204" s="8" t="b">
        <v>0</v>
      </c>
      <c r="I204" s="388" t="str">
        <f>IFERROR(__xludf.DUMMYFUNCTION("""COMPUTED_VALUE"""),"")</f>
        <v/>
      </c>
      <c r="J204" s="7"/>
      <c r="K204" s="8"/>
      <c r="L204" s="8"/>
      <c r="M204" s="8"/>
      <c r="N204" s="8" t="str">
        <f>IFERROR(__xludf.DUMMYFUNCTION("""COMPUTED_VALUE"""),"")</f>
        <v/>
      </c>
      <c r="O204" s="8" t="str">
        <f>IFERROR(__xludf.DUMMYFUNCTION("""COMPUTED_VALUE"""),"")</f>
        <v/>
      </c>
      <c r="P204" s="8"/>
      <c r="Q204" s="8"/>
    </row>
    <row r="205">
      <c r="A205" s="8"/>
      <c r="B205" s="25"/>
      <c r="C205" s="385" t="s">
        <v>1426</v>
      </c>
      <c r="D205" s="385" t="s">
        <v>1768</v>
      </c>
      <c r="E205" s="8"/>
      <c r="F205" s="7">
        <v>204.0</v>
      </c>
      <c r="G205" s="389">
        <f>G186+7+(14*12)</f>
        <v>46417</v>
      </c>
      <c r="H205" s="8" t="b">
        <v>0</v>
      </c>
      <c r="I205" s="388" t="str">
        <f>IFERROR(__xludf.DUMMYFUNCTION("""COMPUTED_VALUE"""),"")</f>
        <v/>
      </c>
      <c r="J205" s="7"/>
      <c r="K205" s="8"/>
      <c r="L205" s="8"/>
      <c r="M205" s="8"/>
      <c r="N205" s="8" t="str">
        <f>IFERROR(__xludf.DUMMYFUNCTION("""COMPUTED_VALUE"""),"")</f>
        <v/>
      </c>
      <c r="O205" s="8" t="str">
        <f>IFERROR(__xludf.DUMMYFUNCTION("""COMPUTED_VALUE"""),"")</f>
        <v/>
      </c>
      <c r="P205" s="8"/>
      <c r="Q205" s="8"/>
    </row>
    <row r="206">
      <c r="A206" s="8"/>
      <c r="B206" s="25"/>
      <c r="C206" s="385" t="s">
        <v>1426</v>
      </c>
      <c r="D206" s="385" t="s">
        <v>1768</v>
      </c>
      <c r="E206" s="8"/>
      <c r="F206" s="7">
        <v>205.0</v>
      </c>
      <c r="G206" s="389">
        <f>G186+7+(14*12)</f>
        <v>46417</v>
      </c>
      <c r="H206" s="8" t="b">
        <v>0</v>
      </c>
      <c r="I206" s="388" t="str">
        <f>IFERROR(__xludf.DUMMYFUNCTION("""COMPUTED_VALUE"""),"")</f>
        <v/>
      </c>
      <c r="J206" s="7"/>
      <c r="K206" s="8"/>
      <c r="L206" s="8"/>
      <c r="M206" s="8"/>
      <c r="N206" s="8" t="str">
        <f>IFERROR(__xludf.DUMMYFUNCTION("""COMPUTED_VALUE"""),"")</f>
        <v/>
      </c>
      <c r="O206" s="8" t="str">
        <f>IFERROR(__xludf.DUMMYFUNCTION("""COMPUTED_VALUE"""),"")</f>
        <v/>
      </c>
      <c r="P206" s="8"/>
      <c r="Q206" s="8"/>
    </row>
    <row r="207">
      <c r="A207" s="8"/>
      <c r="B207" s="25"/>
      <c r="C207" s="385" t="s">
        <v>1426</v>
      </c>
      <c r="D207" s="385" t="s">
        <v>1783</v>
      </c>
      <c r="E207" s="8"/>
      <c r="F207" s="7">
        <v>206.0</v>
      </c>
      <c r="G207" s="389">
        <f>G186+7+(14*13)</f>
        <v>46431</v>
      </c>
      <c r="H207" s="8" t="b">
        <v>0</v>
      </c>
      <c r="I207" s="388" t="str">
        <f>IFERROR(__xludf.DUMMYFUNCTION("""COMPUTED_VALUE"""),"")</f>
        <v/>
      </c>
      <c r="J207" s="7"/>
      <c r="K207" s="8"/>
      <c r="L207" s="8"/>
      <c r="M207" s="8"/>
      <c r="N207" s="8" t="str">
        <f>IFERROR(__xludf.DUMMYFUNCTION("""COMPUTED_VALUE"""),"")</f>
        <v/>
      </c>
      <c r="O207" s="8" t="str">
        <f>IFERROR(__xludf.DUMMYFUNCTION("""COMPUTED_VALUE"""),"")</f>
        <v/>
      </c>
      <c r="P207" s="8"/>
      <c r="Q207" s="8"/>
    </row>
    <row r="208">
      <c r="A208" s="8"/>
      <c r="B208" s="25"/>
      <c r="C208" s="385" t="s">
        <v>1426</v>
      </c>
      <c r="D208" s="385" t="s">
        <v>1784</v>
      </c>
      <c r="E208" s="8"/>
      <c r="F208" s="7">
        <v>207.0</v>
      </c>
      <c r="G208" s="389">
        <f>G186+7+(14*13)</f>
        <v>46431</v>
      </c>
      <c r="H208" s="8" t="b">
        <v>0</v>
      </c>
      <c r="I208" s="388" t="str">
        <f>IFERROR(__xludf.DUMMYFUNCTION("""COMPUTED_VALUE"""),"")</f>
        <v/>
      </c>
      <c r="J208" s="7"/>
      <c r="K208" s="8"/>
      <c r="L208" s="8"/>
      <c r="M208" s="8"/>
      <c r="N208" s="8" t="str">
        <f>IFERROR(__xludf.DUMMYFUNCTION("""COMPUTED_VALUE"""),"")</f>
        <v/>
      </c>
      <c r="O208" s="8" t="str">
        <f>IFERROR(__xludf.DUMMYFUNCTION("""COMPUTED_VALUE"""),"")</f>
        <v/>
      </c>
      <c r="P208" s="8"/>
      <c r="Q208" s="8"/>
    </row>
    <row r="209">
      <c r="A209" s="8"/>
      <c r="B209" s="25" t="s">
        <v>161</v>
      </c>
      <c r="C209" s="385" t="s">
        <v>1426</v>
      </c>
      <c r="D209" s="385" t="s">
        <v>1768</v>
      </c>
      <c r="E209" s="8"/>
      <c r="F209" s="7">
        <v>208.0</v>
      </c>
      <c r="G209" s="389">
        <f>G186+7+(14*14)</f>
        <v>46445</v>
      </c>
      <c r="H209" s="8" t="b">
        <v>0</v>
      </c>
      <c r="I209" s="388" t="str">
        <f>IFERROR(__xludf.DUMMYFUNCTION("""COMPUTED_VALUE"""),"")</f>
        <v/>
      </c>
      <c r="J209" s="7"/>
      <c r="K209" s="8"/>
      <c r="L209" s="8"/>
      <c r="M209" s="8"/>
      <c r="N209" s="8" t="str">
        <f>IFERROR(__xludf.DUMMYFUNCTION("""COMPUTED_VALUE"""),"")</f>
        <v/>
      </c>
      <c r="O209" s="8" t="str">
        <f>IFERROR(__xludf.DUMMYFUNCTION("""COMPUTED_VALUE"""),"")</f>
        <v/>
      </c>
      <c r="P209" s="8"/>
      <c r="Q209" s="8"/>
    </row>
    <row r="210">
      <c r="A210" s="7" t="s">
        <v>1785</v>
      </c>
      <c r="B210" s="25" t="s">
        <v>156</v>
      </c>
      <c r="C210" s="385" t="s">
        <v>1426</v>
      </c>
      <c r="D210" s="385" t="s">
        <v>1768</v>
      </c>
      <c r="E210" s="387" t="s">
        <v>1490</v>
      </c>
      <c r="F210" s="7">
        <v>209.0</v>
      </c>
      <c r="G210" s="389">
        <f>G186+7+(14*15)</f>
        <v>46459</v>
      </c>
      <c r="H210" s="8" t="b">
        <v>0</v>
      </c>
      <c r="I210" s="388" t="str">
        <f>IFERROR(__xludf.DUMMYFUNCTION("""COMPUTED_VALUE"""),"")</f>
        <v/>
      </c>
      <c r="J210" s="7"/>
      <c r="K210" s="8"/>
      <c r="L210" s="8"/>
      <c r="M210" s="8"/>
      <c r="N210" s="8" t="str">
        <f>IFERROR(__xludf.DUMMYFUNCTION("""COMPUTED_VALUE"""),"ØØØ Season 8 [The Death Row Prisoner - Effloresced E.G.O::Guillotine] Meursault")</f>
        <v>ØØØ Season 8 [The Death Row Prisoner - Effloresced E.G.O::Guillotine] Meursault</v>
      </c>
      <c r="O210" s="8" t="str">
        <f>IFERROR(__xludf.DUMMYFUNCTION("""COMPUTED_VALUE"""),"")</f>
        <v/>
      </c>
      <c r="P210" s="8"/>
      <c r="Q210" s="8"/>
    </row>
    <row r="211">
      <c r="A211" s="8"/>
      <c r="B211" s="25"/>
      <c r="C211" s="385" t="s">
        <v>1426</v>
      </c>
      <c r="D211" s="385" t="s">
        <v>1786</v>
      </c>
      <c r="E211" s="8"/>
      <c r="F211" s="7">
        <v>210.0</v>
      </c>
      <c r="G211" s="389">
        <f>G186+7+(14*16)</f>
        <v>46473</v>
      </c>
      <c r="H211" s="8" t="b">
        <v>0</v>
      </c>
      <c r="I211" s="388" t="str">
        <f>IFERROR(__xludf.DUMMYFUNCTION("""COMPUTED_VALUE"""),"")</f>
        <v/>
      </c>
      <c r="J211" s="7"/>
      <c r="K211" s="8"/>
      <c r="L211" s="8"/>
      <c r="M211" s="8"/>
      <c r="N211" s="8" t="str">
        <f>IFERROR(__xludf.DUMMYFUNCTION("""COMPUTED_VALUE"""),"")</f>
        <v/>
      </c>
      <c r="O211" s="8" t="str">
        <f>IFERROR(__xludf.DUMMYFUNCTION("""COMPUTED_VALUE"""),"")</f>
        <v/>
      </c>
      <c r="P211" s="8"/>
      <c r="Q211" s="8"/>
    </row>
    <row r="212">
      <c r="A212" s="8"/>
      <c r="B212" s="25"/>
      <c r="C212" s="385" t="s">
        <v>1426</v>
      </c>
      <c r="D212" s="385" t="s">
        <v>1786</v>
      </c>
      <c r="E212" s="8"/>
      <c r="F212" s="7">
        <v>211.0</v>
      </c>
      <c r="G212" s="389">
        <f>G186+7+(14*16)</f>
        <v>46473</v>
      </c>
      <c r="H212" s="8" t="b">
        <v>0</v>
      </c>
      <c r="I212" s="388" t="str">
        <f>IFERROR(__xludf.DUMMYFUNCTION("""COMPUTED_VALUE"""),"")</f>
        <v/>
      </c>
      <c r="J212" s="7"/>
      <c r="K212" s="8"/>
      <c r="L212" s="8"/>
      <c r="M212" s="8"/>
      <c r="N212" s="8" t="str">
        <f>IFERROR(__xludf.DUMMYFUNCTION("""COMPUTED_VALUE"""),"")</f>
        <v/>
      </c>
      <c r="O212" s="8" t="str">
        <f>IFERROR(__xludf.DUMMYFUNCTION("""COMPUTED_VALUE"""),"")</f>
        <v/>
      </c>
      <c r="P212" s="8"/>
      <c r="Q212" s="8"/>
    </row>
    <row r="213">
      <c r="A213" s="8"/>
      <c r="B213" s="25"/>
      <c r="C213" s="385" t="s">
        <v>1426</v>
      </c>
      <c r="D213" s="385" t="s">
        <v>771</v>
      </c>
      <c r="E213" s="8"/>
      <c r="F213" s="7">
        <v>212.0</v>
      </c>
      <c r="G213" s="389">
        <f>G186+7+(14*17)</f>
        <v>46487</v>
      </c>
      <c r="H213" s="8" t="b">
        <v>0</v>
      </c>
      <c r="I213" s="388" t="str">
        <f>IFERROR(__xludf.DUMMYFUNCTION("""COMPUTED_VALUE"""),"")</f>
        <v/>
      </c>
      <c r="J213" s="7"/>
      <c r="K213" s="8"/>
      <c r="L213" s="8"/>
      <c r="M213" s="8"/>
      <c r="N213" s="8" t="str">
        <f>IFERROR(__xludf.DUMMYFUNCTION("""COMPUTED_VALUE"""),"")</f>
        <v/>
      </c>
      <c r="O213" s="8" t="str">
        <f>IFERROR(__xludf.DUMMYFUNCTION("""COMPUTED_VALUE"""),"")</f>
        <v/>
      </c>
      <c r="P213" s="8"/>
      <c r="Q213" s="8"/>
    </row>
    <row r="214">
      <c r="A214" s="8"/>
      <c r="B214" s="25"/>
      <c r="C214" s="385" t="s">
        <v>1426</v>
      </c>
      <c r="D214" s="385" t="s">
        <v>1787</v>
      </c>
      <c r="E214" s="8"/>
      <c r="F214" s="7">
        <v>213.0</v>
      </c>
      <c r="G214" s="389">
        <f>DATE(2027, 4, 24)</f>
        <v>46501</v>
      </c>
      <c r="H214" s="8" t="b">
        <v>0</v>
      </c>
      <c r="I214" s="388" t="str">
        <f>IFERROR(__xludf.DUMMYFUNCTION("""COMPUTED_VALUE"""),"")</f>
        <v/>
      </c>
      <c r="J214" s="7"/>
      <c r="K214" s="8"/>
      <c r="L214" s="8"/>
      <c r="M214" s="8"/>
      <c r="N214" s="8" t="str">
        <f>IFERROR(__xludf.DUMMYFUNCTION("""COMPUTED_VALUE"""),"")</f>
        <v/>
      </c>
      <c r="O214" s="8" t="str">
        <f>IFERROR(__xludf.DUMMYFUNCTION("""COMPUTED_VALUE"""),"")</f>
        <v/>
      </c>
      <c r="P214" s="8"/>
      <c r="Q214" s="8"/>
    </row>
    <row r="215">
      <c r="A215" s="8"/>
      <c r="B215" s="25"/>
      <c r="C215" s="385" t="s">
        <v>1426</v>
      </c>
      <c r="D215" s="385" t="s">
        <v>1787</v>
      </c>
      <c r="E215" s="8"/>
      <c r="F215" s="7">
        <v>214.0</v>
      </c>
      <c r="G215" s="389">
        <f>G214</f>
        <v>46501</v>
      </c>
      <c r="H215" s="8" t="b">
        <v>0</v>
      </c>
      <c r="I215" s="388" t="str">
        <f>IFERROR(__xludf.DUMMYFUNCTION("""COMPUTED_VALUE"""),"")</f>
        <v/>
      </c>
      <c r="J215" s="7"/>
      <c r="K215" s="8"/>
      <c r="L215" s="8"/>
      <c r="M215" s="8"/>
      <c r="N215" s="8" t="str">
        <f>IFERROR(__xludf.DUMMYFUNCTION("""COMPUTED_VALUE"""),"")</f>
        <v/>
      </c>
      <c r="O215" s="8" t="str">
        <f>IFERROR(__xludf.DUMMYFUNCTION("""COMPUTED_VALUE"""),"")</f>
        <v/>
      </c>
      <c r="P215" s="8"/>
      <c r="Q215" s="8"/>
    </row>
    <row r="216">
      <c r="A216" s="8"/>
      <c r="B216" s="25"/>
      <c r="C216" s="385" t="s">
        <v>1426</v>
      </c>
      <c r="D216" s="385" t="s">
        <v>1787</v>
      </c>
      <c r="E216" s="8"/>
      <c r="F216" s="7">
        <v>215.0</v>
      </c>
      <c r="G216" s="389">
        <f>G214+7</f>
        <v>46508</v>
      </c>
      <c r="H216" s="8" t="b">
        <v>0</v>
      </c>
      <c r="I216" s="388" t="str">
        <f>IFERROR(__xludf.DUMMYFUNCTION("""COMPUTED_VALUE"""),"")</f>
        <v/>
      </c>
      <c r="J216" s="7"/>
      <c r="K216" s="8"/>
      <c r="L216" s="8"/>
      <c r="M216" s="8"/>
      <c r="N216" s="8" t="str">
        <f>IFERROR(__xludf.DUMMYFUNCTION("""COMPUTED_VALUE"""),"")</f>
        <v/>
      </c>
      <c r="O216" s="8" t="str">
        <f>IFERROR(__xludf.DUMMYFUNCTION("""COMPUTED_VALUE"""),"")</f>
        <v/>
      </c>
      <c r="P216" s="8"/>
      <c r="Q216" s="8"/>
    </row>
    <row r="217">
      <c r="A217" s="8"/>
      <c r="B217" s="25"/>
      <c r="C217" s="385" t="s">
        <v>1426</v>
      </c>
      <c r="D217" s="385" t="s">
        <v>1787</v>
      </c>
      <c r="E217" s="8"/>
      <c r="F217" s="7">
        <v>216.0</v>
      </c>
      <c r="G217" s="389">
        <f>G214+7+(14*1)</f>
        <v>46522</v>
      </c>
      <c r="H217" s="8" t="b">
        <v>0</v>
      </c>
      <c r="I217" s="388" t="str">
        <f>IFERROR(__xludf.DUMMYFUNCTION("""COMPUTED_VALUE"""),"")</f>
        <v/>
      </c>
      <c r="J217" s="7"/>
      <c r="K217" s="8"/>
      <c r="L217" s="8"/>
      <c r="M217" s="8"/>
      <c r="N217" s="8" t="str">
        <f>IFERROR(__xludf.DUMMYFUNCTION("""COMPUTED_VALUE"""),"")</f>
        <v/>
      </c>
      <c r="O217" s="8" t="str">
        <f>IFERROR(__xludf.DUMMYFUNCTION("""COMPUTED_VALUE"""),"")</f>
        <v/>
      </c>
      <c r="P217" s="8"/>
      <c r="Q217" s="8"/>
    </row>
    <row r="218">
      <c r="A218" s="8"/>
      <c r="B218" s="25"/>
      <c r="C218" s="385" t="s">
        <v>1426</v>
      </c>
      <c r="D218" s="385" t="s">
        <v>1787</v>
      </c>
      <c r="E218" s="8"/>
      <c r="F218" s="7">
        <v>217.0</v>
      </c>
      <c r="G218" s="389">
        <f>G214+7+(14*2)</f>
        <v>46536</v>
      </c>
      <c r="H218" s="8" t="b">
        <v>0</v>
      </c>
      <c r="I218" s="388" t="str">
        <f>IFERROR(__xludf.DUMMYFUNCTION("""COMPUTED_VALUE"""),"")</f>
        <v/>
      </c>
      <c r="J218" s="7"/>
      <c r="K218" s="8"/>
      <c r="L218" s="8"/>
      <c r="M218" s="8"/>
      <c r="N218" s="8" t="str">
        <f>IFERROR(__xludf.DUMMYFUNCTION("""COMPUTED_VALUE"""),"")</f>
        <v/>
      </c>
      <c r="O218" s="8" t="str">
        <f>IFERROR(__xludf.DUMMYFUNCTION("""COMPUTED_VALUE"""),"")</f>
        <v/>
      </c>
      <c r="P218" s="8"/>
      <c r="Q218" s="8"/>
    </row>
    <row r="219">
      <c r="A219" s="8"/>
      <c r="B219" s="25"/>
      <c r="C219" s="385" t="s">
        <v>1426</v>
      </c>
      <c r="D219" s="385" t="s">
        <v>1787</v>
      </c>
      <c r="E219" s="8"/>
      <c r="F219" s="7">
        <v>218.0</v>
      </c>
      <c r="G219" s="389">
        <f>G214+7+(14*2)</f>
        <v>46536</v>
      </c>
      <c r="H219" s="8" t="b">
        <v>0</v>
      </c>
      <c r="I219" s="388" t="str">
        <f>IFERROR(__xludf.DUMMYFUNCTION("""COMPUTED_VALUE"""),"")</f>
        <v/>
      </c>
      <c r="J219" s="7"/>
      <c r="K219" s="8"/>
      <c r="L219" s="8"/>
      <c r="M219" s="8"/>
      <c r="N219" s="8" t="str">
        <f>IFERROR(__xludf.DUMMYFUNCTION("""COMPUTED_VALUE"""),"")</f>
        <v/>
      </c>
      <c r="O219" s="8" t="str">
        <f>IFERROR(__xludf.DUMMYFUNCTION("""COMPUTED_VALUE"""),"")</f>
        <v/>
      </c>
      <c r="P219" s="8"/>
      <c r="Q219" s="8"/>
    </row>
    <row r="220">
      <c r="A220" s="8"/>
      <c r="B220" s="25"/>
      <c r="C220" s="385" t="s">
        <v>1426</v>
      </c>
      <c r="D220" s="385" t="s">
        <v>1787</v>
      </c>
      <c r="E220" s="8"/>
      <c r="F220" s="7">
        <v>219.0</v>
      </c>
      <c r="G220" s="389">
        <f>G214+7+(14*3)</f>
        <v>46550</v>
      </c>
      <c r="H220" s="8" t="b">
        <v>0</v>
      </c>
      <c r="I220" s="388" t="str">
        <f>IFERROR(__xludf.DUMMYFUNCTION("""COMPUTED_VALUE"""),"")</f>
        <v/>
      </c>
      <c r="J220" s="7"/>
      <c r="K220" s="8"/>
      <c r="L220" s="8"/>
      <c r="M220" s="8"/>
      <c r="N220" s="8" t="str">
        <f>IFERROR(__xludf.DUMMYFUNCTION("""COMPUTED_VALUE"""),"")</f>
        <v/>
      </c>
      <c r="O220" s="8" t="str">
        <f>IFERROR(__xludf.DUMMYFUNCTION("""COMPUTED_VALUE"""),"")</f>
        <v/>
      </c>
      <c r="P220" s="8"/>
      <c r="Q220" s="8"/>
    </row>
    <row r="221">
      <c r="A221" s="8"/>
      <c r="B221" s="25"/>
      <c r="C221" s="385" t="s">
        <v>1426</v>
      </c>
      <c r="D221" s="385" t="s">
        <v>1788</v>
      </c>
      <c r="E221" s="8"/>
      <c r="F221" s="7">
        <v>220.0</v>
      </c>
      <c r="G221" s="389">
        <f>G214+7+(14*4)</f>
        <v>46564</v>
      </c>
      <c r="H221" s="8" t="b">
        <v>0</v>
      </c>
      <c r="I221" s="388" t="str">
        <f>IFERROR(__xludf.DUMMYFUNCTION("""COMPUTED_VALUE"""),"")</f>
        <v/>
      </c>
      <c r="J221" s="7"/>
      <c r="K221" s="8"/>
      <c r="L221" s="8"/>
      <c r="M221" s="8"/>
      <c r="N221" s="8" t="str">
        <f>IFERROR(__xludf.DUMMYFUNCTION("""COMPUTED_VALUE"""),"")</f>
        <v/>
      </c>
      <c r="O221" s="8" t="str">
        <f>IFERROR(__xludf.DUMMYFUNCTION("""COMPUTED_VALUE"""),"")</f>
        <v/>
      </c>
      <c r="P221" s="8"/>
      <c r="Q221" s="8"/>
    </row>
    <row r="222">
      <c r="A222" s="8"/>
      <c r="B222" s="25"/>
      <c r="C222" s="385" t="s">
        <v>1426</v>
      </c>
      <c r="D222" s="385" t="s">
        <v>1788</v>
      </c>
      <c r="E222" s="8"/>
      <c r="F222" s="7">
        <v>221.0</v>
      </c>
      <c r="G222" s="389">
        <f>G214+7+(14*4)</f>
        <v>46564</v>
      </c>
      <c r="H222" s="8" t="b">
        <v>0</v>
      </c>
      <c r="I222" s="388" t="str">
        <f>IFERROR(__xludf.DUMMYFUNCTION("""COMPUTED_VALUE"""),"")</f>
        <v/>
      </c>
      <c r="J222" s="7"/>
      <c r="K222" s="8"/>
      <c r="L222" s="8"/>
      <c r="M222" s="8"/>
      <c r="N222" s="8" t="str">
        <f>IFERROR(__xludf.DUMMYFUNCTION("""COMPUTED_VALUE"""),"")</f>
        <v/>
      </c>
      <c r="O222" s="8" t="str">
        <f>IFERROR(__xludf.DUMMYFUNCTION("""COMPUTED_VALUE"""),"")</f>
        <v/>
      </c>
      <c r="P222" s="8"/>
      <c r="Q222" s="8"/>
    </row>
    <row r="223">
      <c r="A223" s="7" t="s">
        <v>1789</v>
      </c>
      <c r="B223" s="25" t="s">
        <v>162</v>
      </c>
      <c r="C223" s="385" t="s">
        <v>1426</v>
      </c>
      <c r="D223" s="385" t="s">
        <v>1790</v>
      </c>
      <c r="E223" s="387" t="s">
        <v>1741</v>
      </c>
      <c r="F223" s="7">
        <v>222.0</v>
      </c>
      <c r="G223" s="389">
        <f>G214+7+(14*5)</f>
        <v>46578</v>
      </c>
      <c r="H223" s="8" t="b">
        <v>0</v>
      </c>
      <c r="I223" s="388" t="str">
        <f>IFERROR(__xludf.DUMMYFUNCTION("""COMPUTED_VALUE"""),"")</f>
        <v/>
      </c>
      <c r="J223" s="7"/>
      <c r="K223" s="8"/>
      <c r="L223" s="8"/>
      <c r="M223" s="8"/>
      <c r="N223" s="8" t="str">
        <f>IFERROR(__xludf.DUMMYFUNCTION("""COMPUTED_VALUE"""),"")</f>
        <v/>
      </c>
      <c r="O223" s="8" t="str">
        <f>IFERROR(__xludf.DUMMYFUNCTION("""COMPUTED_VALUE"""),"ØØØ Season 9 Bokgak [The Ring Fauvist Maestro] Gregor")</f>
        <v>ØØØ Season 9 Bokgak [The Ring Fauvist Maestro] Gregor</v>
      </c>
      <c r="P223" s="8"/>
      <c r="Q223" s="8"/>
    </row>
    <row r="224">
      <c r="A224" s="8"/>
      <c r="B224" s="25"/>
      <c r="C224" s="385" t="s">
        <v>1426</v>
      </c>
      <c r="D224" s="385" t="s">
        <v>1787</v>
      </c>
      <c r="E224" s="8"/>
      <c r="F224" s="7">
        <v>223.0</v>
      </c>
      <c r="G224" s="389">
        <f>G214+7+(14*6)</f>
        <v>46592</v>
      </c>
      <c r="H224" s="8" t="b">
        <v>0</v>
      </c>
      <c r="I224" s="388" t="str">
        <f>IFERROR(__xludf.DUMMYFUNCTION("""COMPUTED_VALUE"""),"")</f>
        <v/>
      </c>
      <c r="J224" s="7"/>
      <c r="K224" s="8"/>
      <c r="L224" s="8"/>
      <c r="M224" s="8"/>
      <c r="N224" s="8" t="str">
        <f>IFERROR(__xludf.DUMMYFUNCTION("""COMPUTED_VALUE"""),"")</f>
        <v/>
      </c>
      <c r="O224" s="8" t="str">
        <f>IFERROR(__xludf.DUMMYFUNCTION("""COMPUTED_VALUE"""),"")</f>
        <v/>
      </c>
      <c r="P224" s="8"/>
      <c r="Q224" s="8"/>
    </row>
    <row r="225">
      <c r="A225" s="8"/>
      <c r="B225" s="25"/>
      <c r="C225" s="385" t="s">
        <v>1426</v>
      </c>
      <c r="D225" s="385" t="s">
        <v>1787</v>
      </c>
      <c r="E225" s="8"/>
      <c r="F225" s="7">
        <v>224.0</v>
      </c>
      <c r="G225" s="389">
        <f>G214+7+(14*6)</f>
        <v>46592</v>
      </c>
      <c r="H225" s="8" t="b">
        <v>0</v>
      </c>
      <c r="I225" s="388" t="str">
        <f>IFERROR(__xludf.DUMMYFUNCTION("""COMPUTED_VALUE"""),"")</f>
        <v/>
      </c>
      <c r="J225" s="7"/>
      <c r="K225" s="8"/>
      <c r="L225" s="8"/>
      <c r="M225" s="8"/>
      <c r="N225" s="8" t="str">
        <f>IFERROR(__xludf.DUMMYFUNCTION("""COMPUTED_VALUE"""),"")</f>
        <v/>
      </c>
      <c r="O225" s="8" t="str">
        <f>IFERROR(__xludf.DUMMYFUNCTION("""COMPUTED_VALUE"""),"")</f>
        <v/>
      </c>
      <c r="P225" s="8"/>
      <c r="Q225" s="8"/>
    </row>
    <row r="226">
      <c r="A226" s="8"/>
      <c r="B226" s="25"/>
      <c r="C226" s="385" t="s">
        <v>1426</v>
      </c>
      <c r="D226" s="385" t="s">
        <v>1791</v>
      </c>
      <c r="E226" s="8"/>
      <c r="F226" s="7">
        <v>225.0</v>
      </c>
      <c r="G226" s="389">
        <f>G214+7+(14*7)</f>
        <v>46606</v>
      </c>
      <c r="H226" s="8" t="b">
        <v>0</v>
      </c>
      <c r="I226" s="388" t="str">
        <f>IFERROR(__xludf.DUMMYFUNCTION("""COMPUTED_VALUE"""),"")</f>
        <v/>
      </c>
      <c r="J226" s="7"/>
      <c r="K226" s="8"/>
      <c r="L226" s="8"/>
      <c r="M226" s="8"/>
      <c r="N226" s="8" t="str">
        <f>IFERROR(__xludf.DUMMYFUNCTION("""COMPUTED_VALUE"""),"")</f>
        <v/>
      </c>
      <c r="O226" s="8" t="str">
        <f>IFERROR(__xludf.DUMMYFUNCTION("""COMPUTED_VALUE"""),"")</f>
        <v/>
      </c>
      <c r="P226" s="8"/>
      <c r="Q226" s="8"/>
    </row>
    <row r="227">
      <c r="A227" s="8"/>
      <c r="B227" s="25"/>
      <c r="C227" s="385" t="s">
        <v>1426</v>
      </c>
      <c r="D227" s="385" t="s">
        <v>1792</v>
      </c>
      <c r="E227" s="8"/>
      <c r="F227" s="7">
        <v>226.0</v>
      </c>
      <c r="G227" s="389">
        <f>G214+7+(14*7)</f>
        <v>46606</v>
      </c>
      <c r="H227" s="8" t="b">
        <v>0</v>
      </c>
      <c r="I227" s="388" t="str">
        <f>IFERROR(__xludf.DUMMYFUNCTION("""COMPUTED_VALUE"""),"")</f>
        <v/>
      </c>
      <c r="J227" s="7"/>
      <c r="K227" s="8"/>
      <c r="L227" s="8"/>
      <c r="M227" s="8"/>
      <c r="N227" s="8" t="str">
        <f>IFERROR(__xludf.DUMMYFUNCTION("""COMPUTED_VALUE"""),"")</f>
        <v/>
      </c>
      <c r="O227" s="8" t="str">
        <f>IFERROR(__xludf.DUMMYFUNCTION("""COMPUTED_VALUE"""),"")</f>
        <v/>
      </c>
      <c r="P227" s="8"/>
      <c r="Q227" s="8"/>
    </row>
    <row r="228">
      <c r="A228" s="8"/>
      <c r="B228" s="25"/>
      <c r="C228" s="385" t="s">
        <v>1426</v>
      </c>
      <c r="D228" s="385" t="s">
        <v>1787</v>
      </c>
      <c r="E228" s="8"/>
      <c r="F228" s="7">
        <v>227.0</v>
      </c>
      <c r="G228" s="389">
        <f>G214+7+(14*8)</f>
        <v>46620</v>
      </c>
      <c r="H228" s="8" t="b">
        <v>0</v>
      </c>
      <c r="I228" s="388" t="str">
        <f>IFERROR(__xludf.DUMMYFUNCTION("""COMPUTED_VALUE"""),"")</f>
        <v/>
      </c>
      <c r="J228" s="7"/>
      <c r="K228" s="8"/>
      <c r="L228" s="8"/>
      <c r="M228" s="8"/>
      <c r="N228" s="8" t="str">
        <f>IFERROR(__xludf.DUMMYFUNCTION("""COMPUTED_VALUE"""),"")</f>
        <v/>
      </c>
      <c r="O228" s="8" t="str">
        <f>IFERROR(__xludf.DUMMYFUNCTION("""COMPUTED_VALUE"""),"")</f>
        <v/>
      </c>
      <c r="P228" s="8"/>
      <c r="Q228" s="8"/>
    </row>
    <row r="229">
      <c r="A229" s="8"/>
      <c r="B229" s="25"/>
      <c r="C229" s="385" t="s">
        <v>1426</v>
      </c>
      <c r="D229" s="385" t="s">
        <v>771</v>
      </c>
      <c r="E229" s="8"/>
      <c r="F229" s="7">
        <v>228.0</v>
      </c>
      <c r="G229" s="389">
        <f>G214+7+(14*9)</f>
        <v>46634</v>
      </c>
      <c r="H229" s="8" t="b">
        <v>0</v>
      </c>
      <c r="I229" s="388" t="str">
        <f>IFERROR(__xludf.DUMMYFUNCTION("""COMPUTED_VALUE"""),"")</f>
        <v/>
      </c>
      <c r="J229" s="7"/>
      <c r="K229" s="8"/>
      <c r="L229" s="8"/>
      <c r="M229" s="8"/>
      <c r="N229" s="8" t="str">
        <f>IFERROR(__xludf.DUMMYFUNCTION("""COMPUTED_VALUE"""),"")</f>
        <v/>
      </c>
      <c r="O229" s="8" t="str">
        <f>IFERROR(__xludf.DUMMYFUNCTION("""COMPUTED_VALUE"""),"")</f>
        <v/>
      </c>
      <c r="P229" s="8"/>
      <c r="Q229" s="8"/>
    </row>
    <row r="230">
      <c r="A230" s="8"/>
      <c r="B230" s="25"/>
      <c r="C230" s="385" t="s">
        <v>1426</v>
      </c>
      <c r="D230" s="385" t="s">
        <v>1790</v>
      </c>
      <c r="E230" s="387" t="s">
        <v>1782</v>
      </c>
      <c r="F230" s="7">
        <v>229.0</v>
      </c>
      <c r="G230" s="389">
        <f>G214+7+(14*10)</f>
        <v>46648</v>
      </c>
      <c r="H230" s="8" t="b">
        <v>0</v>
      </c>
      <c r="I230" s="388" t="str">
        <f>IFERROR(__xludf.DUMMYFUNCTION("""COMPUTED_VALUE"""),"")</f>
        <v/>
      </c>
      <c r="J230" s="7"/>
      <c r="K230" s="8"/>
      <c r="L230" s="8"/>
      <c r="M230" s="8"/>
      <c r="N230" s="8" t="str">
        <f>IFERROR(__xludf.DUMMYFUNCTION("""COMPUTED_VALUE"""),"")</f>
        <v/>
      </c>
      <c r="O230" s="8" t="str">
        <f>IFERROR(__xludf.DUMMYFUNCTION("""COMPUTED_VALUE"""),"")</f>
        <v/>
      </c>
      <c r="P230" s="8"/>
      <c r="Q230" s="8"/>
    </row>
    <row r="231">
      <c r="A231" s="8"/>
      <c r="B231" s="25"/>
      <c r="C231" s="385" t="s">
        <v>1426</v>
      </c>
      <c r="D231" s="385" t="s">
        <v>1790</v>
      </c>
      <c r="E231" s="8"/>
      <c r="F231" s="7">
        <v>230.0</v>
      </c>
      <c r="G231" s="389">
        <f>G214+7+(14*10)</f>
        <v>46648</v>
      </c>
      <c r="H231" s="8" t="b">
        <v>0</v>
      </c>
      <c r="I231" s="388" t="str">
        <f>IFERROR(__xludf.DUMMYFUNCTION("""COMPUTED_VALUE"""),"")</f>
        <v/>
      </c>
      <c r="J231" s="7"/>
      <c r="K231" s="8"/>
      <c r="L231" s="8"/>
      <c r="M231" s="8"/>
      <c r="N231" s="8" t="str">
        <f>IFERROR(__xludf.DUMMYFUNCTION("""COMPUTED_VALUE"""),"")</f>
        <v/>
      </c>
      <c r="O231" s="8" t="str">
        <f>IFERROR(__xludf.DUMMYFUNCTION("""COMPUTED_VALUE"""),"")</f>
        <v/>
      </c>
      <c r="P231" s="8"/>
      <c r="Q231" s="8"/>
    </row>
    <row r="232">
      <c r="A232" s="8"/>
      <c r="B232" s="25" t="s">
        <v>153</v>
      </c>
      <c r="C232" s="385" t="s">
        <v>1426</v>
      </c>
      <c r="D232" s="385" t="s">
        <v>1787</v>
      </c>
      <c r="E232" s="8"/>
      <c r="F232" s="7">
        <v>231.0</v>
      </c>
      <c r="G232" s="389">
        <f>G214+7+(14*11)</f>
        <v>46662</v>
      </c>
      <c r="H232" s="8" t="b">
        <v>0</v>
      </c>
      <c r="I232" s="388" t="str">
        <f>IFERROR(__xludf.DUMMYFUNCTION("""COMPUTED_VALUE"""),"")</f>
        <v/>
      </c>
      <c r="J232" s="7"/>
      <c r="K232" s="8"/>
      <c r="L232" s="8"/>
      <c r="M232" s="8"/>
      <c r="N232" s="8" t="str">
        <f>IFERROR(__xludf.DUMMYFUNCTION("""COMPUTED_VALUE"""),"")</f>
        <v/>
      </c>
      <c r="O232" s="8" t="str">
        <f>IFERROR(__xludf.DUMMYFUNCTION("""COMPUTED_VALUE"""),"")</f>
        <v/>
      </c>
      <c r="P232" s="8"/>
      <c r="Q232" s="8"/>
    </row>
    <row r="233">
      <c r="A233" s="7" t="s">
        <v>1793</v>
      </c>
      <c r="B233" s="25" t="s">
        <v>161</v>
      </c>
      <c r="C233" s="385" t="s">
        <v>1426</v>
      </c>
      <c r="D233" s="385" t="s">
        <v>1787</v>
      </c>
      <c r="E233" s="387" t="s">
        <v>1578</v>
      </c>
      <c r="F233" s="7">
        <v>232.0</v>
      </c>
      <c r="G233" s="389">
        <f>G214+7+(14*11)</f>
        <v>46662</v>
      </c>
      <c r="H233" s="8" t="b">
        <v>0</v>
      </c>
      <c r="I233" s="388" t="str">
        <f>IFERROR(__xludf.DUMMYFUNCTION("""COMPUTED_VALUE"""),"")</f>
        <v/>
      </c>
      <c r="J233" s="7"/>
      <c r="K233" s="8"/>
      <c r="L233" s="8"/>
      <c r="M233" s="8"/>
      <c r="N233" s="8" t="str">
        <f>IFERROR(__xludf.DUMMYFUNCTION("""COMPUTED_VALUE"""),"ØØØ Season 9 [The Index Weaver - Effloresced E.G.O::Caduceus] Outis")</f>
        <v>ØØØ Season 9 [The Index Weaver - Effloresced E.G.O::Caduceus] Outis</v>
      </c>
      <c r="O233" s="8" t="str">
        <f>IFERROR(__xludf.DUMMYFUNCTION("""COMPUTED_VALUE"""),"")</f>
        <v/>
      </c>
      <c r="P233" s="8"/>
      <c r="Q233" s="8"/>
    </row>
    <row r="234">
      <c r="A234" s="8"/>
      <c r="B234" s="25"/>
      <c r="C234" s="385" t="s">
        <v>1426</v>
      </c>
      <c r="D234" s="385" t="s">
        <v>1792</v>
      </c>
      <c r="E234" s="8"/>
      <c r="F234" s="7">
        <v>233.0</v>
      </c>
      <c r="G234" s="389">
        <f>G214+7+(14*12)</f>
        <v>46676</v>
      </c>
      <c r="H234" s="8" t="b">
        <v>0</v>
      </c>
      <c r="I234" s="388" t="str">
        <f>IFERROR(__xludf.DUMMYFUNCTION("""COMPUTED_VALUE"""),"")</f>
        <v/>
      </c>
      <c r="J234" s="7"/>
      <c r="K234" s="8"/>
      <c r="L234" s="8"/>
      <c r="M234" s="8"/>
      <c r="N234" s="8" t="str">
        <f>IFERROR(__xludf.DUMMYFUNCTION("""COMPUTED_VALUE"""),"")</f>
        <v/>
      </c>
      <c r="O234" s="8" t="str">
        <f>IFERROR(__xludf.DUMMYFUNCTION("""COMPUTED_VALUE"""),"")</f>
        <v/>
      </c>
      <c r="P234" s="8"/>
      <c r="Q234" s="8"/>
    </row>
    <row r="235">
      <c r="A235" s="8"/>
      <c r="B235" s="25"/>
      <c r="C235" s="385" t="s">
        <v>1426</v>
      </c>
      <c r="D235" s="385" t="s">
        <v>1791</v>
      </c>
      <c r="E235" s="8"/>
      <c r="F235" s="7">
        <v>234.0</v>
      </c>
      <c r="G235" s="389">
        <f>G214+7+(14*12)</f>
        <v>46676</v>
      </c>
      <c r="H235" s="8" t="b">
        <v>0</v>
      </c>
      <c r="I235" s="388" t="str">
        <f>IFERROR(__xludf.DUMMYFUNCTION("""COMPUTED_VALUE"""),"")</f>
        <v/>
      </c>
      <c r="J235" s="7"/>
      <c r="K235" s="8"/>
      <c r="L235" s="8"/>
      <c r="M235" s="8"/>
      <c r="N235" s="8" t="str">
        <f>IFERROR(__xludf.DUMMYFUNCTION("""COMPUTED_VALUE"""),"")</f>
        <v/>
      </c>
      <c r="O235" s="8" t="str">
        <f>IFERROR(__xludf.DUMMYFUNCTION("""COMPUTED_VALUE"""),"")</f>
        <v/>
      </c>
      <c r="P235" s="8"/>
      <c r="Q235" s="8"/>
    </row>
    <row r="236">
      <c r="A236" s="8"/>
      <c r="B236" s="25"/>
      <c r="C236" s="385" t="s">
        <v>1426</v>
      </c>
      <c r="D236" s="385" t="s">
        <v>1787</v>
      </c>
      <c r="E236" s="8"/>
      <c r="F236" s="7">
        <v>235.0</v>
      </c>
      <c r="G236" s="389">
        <f>G214+7+(14*13)</f>
        <v>46690</v>
      </c>
      <c r="H236" s="8" t="b">
        <v>0</v>
      </c>
      <c r="I236" s="388" t="str">
        <f>IFERROR(__xludf.DUMMYFUNCTION("""COMPUTED_VALUE"""),"")</f>
        <v/>
      </c>
      <c r="J236" s="7"/>
      <c r="K236" s="8"/>
      <c r="L236" s="8"/>
      <c r="M236" s="8"/>
      <c r="N236" s="8" t="str">
        <f>IFERROR(__xludf.DUMMYFUNCTION("""COMPUTED_VALUE"""),"")</f>
        <v/>
      </c>
      <c r="O236" s="8" t="str">
        <f>IFERROR(__xludf.DUMMYFUNCTION("""COMPUTED_VALUE"""),"")</f>
        <v/>
      </c>
      <c r="P236" s="8"/>
      <c r="Q236" s="8"/>
    </row>
    <row r="237">
      <c r="A237" s="8"/>
      <c r="B237" s="25"/>
      <c r="C237" s="385" t="s">
        <v>1426</v>
      </c>
      <c r="D237" s="385" t="s">
        <v>1787</v>
      </c>
      <c r="E237" s="8"/>
      <c r="F237" s="7">
        <v>236.0</v>
      </c>
      <c r="G237" s="389">
        <f>G214+7+(14*14)</f>
        <v>46704</v>
      </c>
      <c r="H237" s="8" t="b">
        <v>0</v>
      </c>
      <c r="I237" s="388" t="str">
        <f>IFERROR(__xludf.DUMMYFUNCTION("""COMPUTED_VALUE"""),"")</f>
        <v/>
      </c>
      <c r="J237" s="7"/>
      <c r="K237" s="8"/>
      <c r="L237" s="8"/>
      <c r="M237" s="8"/>
      <c r="N237" s="8" t="str">
        <f>IFERROR(__xludf.DUMMYFUNCTION("""COMPUTED_VALUE"""),"")</f>
        <v/>
      </c>
      <c r="O237" s="8" t="str">
        <f>IFERROR(__xludf.DUMMYFUNCTION("""COMPUTED_VALUE"""),"")</f>
        <v/>
      </c>
      <c r="P237" s="8"/>
      <c r="Q237" s="8"/>
    </row>
    <row r="238">
      <c r="A238" s="8"/>
      <c r="B238" s="25"/>
      <c r="C238" s="385" t="s">
        <v>1426</v>
      </c>
      <c r="D238" s="385" t="s">
        <v>1794</v>
      </c>
      <c r="E238" s="8"/>
      <c r="F238" s="7">
        <v>237.0</v>
      </c>
      <c r="G238" s="389">
        <f>G214+7+(14*15)</f>
        <v>46718</v>
      </c>
      <c r="H238" s="8" t="b">
        <v>0</v>
      </c>
      <c r="I238" s="388" t="str">
        <f>IFERROR(__xludf.DUMMYFUNCTION("""COMPUTED_VALUE"""),"")</f>
        <v/>
      </c>
      <c r="J238" s="7"/>
      <c r="K238" s="8"/>
      <c r="L238" s="8"/>
      <c r="M238" s="8"/>
      <c r="N238" s="8" t="str">
        <f>IFERROR(__xludf.DUMMYFUNCTION("""COMPUTED_VALUE"""),"")</f>
        <v/>
      </c>
      <c r="O238" s="8" t="str">
        <f>IFERROR(__xludf.DUMMYFUNCTION("""COMPUTED_VALUE"""),"")</f>
        <v/>
      </c>
      <c r="P238" s="8"/>
      <c r="Q238" s="8"/>
    </row>
    <row r="239">
      <c r="A239" s="8"/>
      <c r="B239" s="25"/>
      <c r="C239" s="385" t="s">
        <v>1426</v>
      </c>
      <c r="D239" s="385" t="s">
        <v>1794</v>
      </c>
      <c r="E239" s="8"/>
      <c r="F239" s="7">
        <v>238.0</v>
      </c>
      <c r="G239" s="389">
        <f>G214+7+(14*15)</f>
        <v>46718</v>
      </c>
      <c r="H239" s="8" t="b">
        <v>0</v>
      </c>
      <c r="I239" s="388" t="str">
        <f>IFERROR(__xludf.DUMMYFUNCTION("""COMPUTED_VALUE"""),"")</f>
        <v/>
      </c>
      <c r="J239" s="7"/>
      <c r="K239" s="8"/>
      <c r="L239" s="8"/>
      <c r="M239" s="8"/>
      <c r="N239" s="8" t="str">
        <f>IFERROR(__xludf.DUMMYFUNCTION("""COMPUTED_VALUE"""),"")</f>
        <v/>
      </c>
      <c r="O239" s="8" t="str">
        <f>IFERROR(__xludf.DUMMYFUNCTION("""COMPUTED_VALUE"""),"")</f>
        <v/>
      </c>
      <c r="P239" s="8"/>
      <c r="Q239" s="8"/>
    </row>
    <row r="240">
      <c r="A240" s="8"/>
      <c r="B240" s="25"/>
      <c r="C240" s="385" t="s">
        <v>1426</v>
      </c>
      <c r="D240" s="385" t="s">
        <v>771</v>
      </c>
      <c r="E240" s="8"/>
      <c r="F240" s="7">
        <v>239.0</v>
      </c>
      <c r="G240" s="389">
        <f>G214+7+(14*16)</f>
        <v>46732</v>
      </c>
      <c r="H240" s="8" t="b">
        <v>0</v>
      </c>
      <c r="I240" s="388" t="str">
        <f>IFERROR(__xludf.DUMMYFUNCTION("""COMPUTED_VALUE"""),"")</f>
        <v/>
      </c>
      <c r="J240" s="7"/>
      <c r="K240" s="8"/>
      <c r="L240" s="8"/>
      <c r="M240" s="8"/>
      <c r="N240" s="8" t="str">
        <f>IFERROR(__xludf.DUMMYFUNCTION("""COMPUTED_VALUE"""),"")</f>
        <v/>
      </c>
      <c r="O240" s="8" t="str">
        <f>IFERROR(__xludf.DUMMYFUNCTION("""COMPUTED_VALUE"""),"")</f>
        <v/>
      </c>
      <c r="P240" s="8"/>
      <c r="Q240" s="8"/>
    </row>
    <row r="241">
      <c r="A241" s="8"/>
      <c r="B241" s="25"/>
      <c r="C241" s="385" t="s">
        <v>1426</v>
      </c>
      <c r="D241" s="385" t="s">
        <v>1795</v>
      </c>
      <c r="E241" s="8"/>
      <c r="F241" s="7">
        <v>240.0</v>
      </c>
      <c r="G241" s="389">
        <f>DATE(2027, 12, 25)</f>
        <v>46746</v>
      </c>
      <c r="H241" s="8" t="b">
        <v>0</v>
      </c>
      <c r="I241" s="388" t="str">
        <f>IFERROR(__xludf.DUMMYFUNCTION("""COMPUTED_VALUE"""),"")</f>
        <v/>
      </c>
      <c r="J241" s="7"/>
      <c r="K241" s="8"/>
      <c r="L241" s="8"/>
      <c r="M241" s="8"/>
      <c r="N241" s="8" t="str">
        <f>IFERROR(__xludf.DUMMYFUNCTION("""COMPUTED_VALUE"""),"")</f>
        <v/>
      </c>
      <c r="O241" s="8" t="str">
        <f>IFERROR(__xludf.DUMMYFUNCTION("""COMPUTED_VALUE"""),"")</f>
        <v/>
      </c>
      <c r="P241" s="8"/>
      <c r="Q241" s="8"/>
    </row>
    <row r="242">
      <c r="A242" s="8"/>
      <c r="B242" s="25"/>
      <c r="C242" s="385" t="s">
        <v>1426</v>
      </c>
      <c r="D242" s="385" t="s">
        <v>1795</v>
      </c>
      <c r="E242" s="8"/>
      <c r="F242" s="7">
        <v>241.0</v>
      </c>
      <c r="G242" s="389">
        <f>G241</f>
        <v>46746</v>
      </c>
      <c r="H242" s="8" t="b">
        <v>0</v>
      </c>
      <c r="I242" s="388" t="str">
        <f>IFERROR(__xludf.DUMMYFUNCTION("""COMPUTED_VALUE"""),"")</f>
        <v/>
      </c>
      <c r="J242" s="7"/>
      <c r="K242" s="8"/>
      <c r="L242" s="8"/>
      <c r="M242" s="8"/>
      <c r="N242" s="8" t="str">
        <f>IFERROR(__xludf.DUMMYFUNCTION("""COMPUTED_VALUE"""),"")</f>
        <v/>
      </c>
      <c r="O242" s="8" t="str">
        <f>IFERROR(__xludf.DUMMYFUNCTION("""COMPUTED_VALUE"""),"")</f>
        <v/>
      </c>
      <c r="P242" s="8"/>
      <c r="Q242" s="8"/>
    </row>
    <row r="243">
      <c r="A243" s="8"/>
      <c r="B243" s="25"/>
      <c r="C243" s="385" t="s">
        <v>1426</v>
      </c>
      <c r="D243" s="385" t="s">
        <v>1795</v>
      </c>
      <c r="E243" s="8"/>
      <c r="F243" s="7">
        <v>242.0</v>
      </c>
      <c r="G243" s="389">
        <f>G241+7</f>
        <v>46753</v>
      </c>
      <c r="H243" s="8" t="b">
        <v>0</v>
      </c>
      <c r="I243" s="388" t="str">
        <f>IFERROR(__xludf.DUMMYFUNCTION("""COMPUTED_VALUE"""),"")</f>
        <v/>
      </c>
      <c r="J243" s="7"/>
      <c r="K243" s="8"/>
      <c r="L243" s="8"/>
      <c r="M243" s="8"/>
      <c r="N243" s="8" t="str">
        <f>IFERROR(__xludf.DUMMYFUNCTION("""COMPUTED_VALUE"""),"")</f>
        <v/>
      </c>
      <c r="O243" s="8" t="str">
        <f>IFERROR(__xludf.DUMMYFUNCTION("""COMPUTED_VALUE"""),"")</f>
        <v/>
      </c>
      <c r="P243" s="8"/>
      <c r="Q243" s="8"/>
    </row>
    <row r="244">
      <c r="A244" s="8"/>
      <c r="B244" s="25"/>
      <c r="C244" s="385" t="s">
        <v>1426</v>
      </c>
      <c r="D244" s="385" t="s">
        <v>1795</v>
      </c>
      <c r="E244" s="8"/>
      <c r="F244" s="7">
        <v>243.0</v>
      </c>
      <c r="G244" s="389">
        <f>G241+7+(14*1)</f>
        <v>46767</v>
      </c>
      <c r="H244" s="8" t="b">
        <v>0</v>
      </c>
      <c r="I244" s="388" t="str">
        <f>IFERROR(__xludf.DUMMYFUNCTION("""COMPUTED_VALUE"""),"")</f>
        <v/>
      </c>
      <c r="J244" s="7"/>
      <c r="K244" s="8"/>
      <c r="L244" s="8"/>
      <c r="M244" s="8"/>
      <c r="N244" s="8" t="str">
        <f>IFERROR(__xludf.DUMMYFUNCTION("""COMPUTED_VALUE"""),"")</f>
        <v/>
      </c>
      <c r="O244" s="8" t="str">
        <f>IFERROR(__xludf.DUMMYFUNCTION("""COMPUTED_VALUE"""),"")</f>
        <v/>
      </c>
      <c r="P244" s="8"/>
      <c r="Q244" s="8"/>
    </row>
    <row r="245">
      <c r="A245" s="8"/>
      <c r="B245" s="25"/>
      <c r="C245" s="385" t="s">
        <v>1426</v>
      </c>
      <c r="D245" s="385" t="s">
        <v>1795</v>
      </c>
      <c r="E245" s="8"/>
      <c r="F245" s="7">
        <v>244.0</v>
      </c>
      <c r="G245" s="389">
        <f>G241+7+(14*2)</f>
        <v>46781</v>
      </c>
      <c r="H245" s="8" t="b">
        <v>0</v>
      </c>
      <c r="I245" s="388" t="str">
        <f>IFERROR(__xludf.DUMMYFUNCTION("""COMPUTED_VALUE"""),"")</f>
        <v/>
      </c>
      <c r="J245" s="7"/>
      <c r="K245" s="8"/>
      <c r="L245" s="8"/>
      <c r="M245" s="8"/>
      <c r="N245" s="8" t="str">
        <f>IFERROR(__xludf.DUMMYFUNCTION("""COMPUTED_VALUE"""),"")</f>
        <v/>
      </c>
      <c r="O245" s="8" t="str">
        <f>IFERROR(__xludf.DUMMYFUNCTION("""COMPUTED_VALUE"""),"")</f>
        <v/>
      </c>
      <c r="P245" s="8"/>
      <c r="Q245" s="8"/>
    </row>
    <row r="246">
      <c r="A246" s="8"/>
      <c r="B246" s="25"/>
      <c r="C246" s="385" t="s">
        <v>1426</v>
      </c>
      <c r="D246" s="385" t="s">
        <v>1795</v>
      </c>
      <c r="E246" s="8"/>
      <c r="F246" s="7">
        <v>245.0</v>
      </c>
      <c r="G246" s="389">
        <f>G241+7+(14*2)</f>
        <v>46781</v>
      </c>
      <c r="H246" s="8" t="b">
        <v>0</v>
      </c>
      <c r="I246" s="388" t="str">
        <f>IFERROR(__xludf.DUMMYFUNCTION("""COMPUTED_VALUE"""),"")</f>
        <v/>
      </c>
      <c r="J246" s="7"/>
      <c r="K246" s="8"/>
      <c r="L246" s="8"/>
      <c r="M246" s="8"/>
      <c r="N246" s="8" t="str">
        <f>IFERROR(__xludf.DUMMYFUNCTION("""COMPUTED_VALUE"""),"")</f>
        <v/>
      </c>
      <c r="O246" s="8" t="str">
        <f>IFERROR(__xludf.DUMMYFUNCTION("""COMPUTED_VALUE"""),"")</f>
        <v/>
      </c>
      <c r="P246" s="8"/>
      <c r="Q246" s="8"/>
    </row>
    <row r="247">
      <c r="A247" s="8"/>
      <c r="B247" s="25"/>
      <c r="C247" s="385" t="s">
        <v>1426</v>
      </c>
      <c r="D247" s="385" t="s">
        <v>1795</v>
      </c>
      <c r="E247" s="8"/>
      <c r="F247" s="7">
        <v>246.0</v>
      </c>
      <c r="G247" s="389">
        <f>G241+7+(14*3)</f>
        <v>46795</v>
      </c>
      <c r="H247" s="8" t="b">
        <v>0</v>
      </c>
      <c r="I247" s="388" t="str">
        <f>IFERROR(__xludf.DUMMYFUNCTION("""COMPUTED_VALUE"""),"")</f>
        <v/>
      </c>
      <c r="J247" s="7"/>
      <c r="K247" s="8"/>
      <c r="L247" s="8"/>
      <c r="M247" s="8"/>
      <c r="N247" s="8" t="str">
        <f>IFERROR(__xludf.DUMMYFUNCTION("""COMPUTED_VALUE"""),"")</f>
        <v/>
      </c>
      <c r="O247" s="8" t="str">
        <f>IFERROR(__xludf.DUMMYFUNCTION("""COMPUTED_VALUE"""),"")</f>
        <v/>
      </c>
      <c r="P247" s="8"/>
      <c r="Q247" s="8"/>
    </row>
    <row r="248">
      <c r="A248" s="8"/>
      <c r="B248" s="25"/>
      <c r="C248" s="385" t="s">
        <v>1426</v>
      </c>
      <c r="D248" s="385" t="s">
        <v>1796</v>
      </c>
      <c r="E248" s="8"/>
      <c r="F248" s="7">
        <v>247.0</v>
      </c>
      <c r="G248" s="389">
        <f>G241+7+(14*4)</f>
        <v>46809</v>
      </c>
      <c r="H248" s="8" t="b">
        <v>0</v>
      </c>
      <c r="I248" s="388" t="str">
        <f>IFERROR(__xludf.DUMMYFUNCTION("""COMPUTED_VALUE"""),"")</f>
        <v/>
      </c>
      <c r="J248" s="7"/>
      <c r="K248" s="8"/>
      <c r="L248" s="8"/>
      <c r="M248" s="8"/>
      <c r="N248" s="8" t="str">
        <f>IFERROR(__xludf.DUMMYFUNCTION("""COMPUTED_VALUE"""),"")</f>
        <v/>
      </c>
      <c r="O248" s="8" t="str">
        <f>IFERROR(__xludf.DUMMYFUNCTION("""COMPUTED_VALUE"""),"")</f>
        <v/>
      </c>
      <c r="P248" s="8"/>
      <c r="Q248" s="8"/>
    </row>
    <row r="249">
      <c r="A249" s="8"/>
      <c r="B249" s="25"/>
      <c r="C249" s="385" t="s">
        <v>1426</v>
      </c>
      <c r="D249" s="385" t="s">
        <v>1796</v>
      </c>
      <c r="E249" s="8"/>
      <c r="F249" s="7">
        <v>248.0</v>
      </c>
      <c r="G249" s="389">
        <f>G241+7+(14*4)</f>
        <v>46809</v>
      </c>
      <c r="H249" s="8" t="b">
        <v>0</v>
      </c>
      <c r="I249" s="388" t="str">
        <f>IFERROR(__xludf.DUMMYFUNCTION("""COMPUTED_VALUE"""),"")</f>
        <v/>
      </c>
      <c r="J249" s="7"/>
      <c r="K249" s="8"/>
      <c r="L249" s="8"/>
      <c r="M249" s="8"/>
      <c r="N249" s="8" t="str">
        <f>IFERROR(__xludf.DUMMYFUNCTION("""COMPUTED_VALUE"""),"")</f>
        <v/>
      </c>
      <c r="O249" s="8" t="str">
        <f>IFERROR(__xludf.DUMMYFUNCTION("""COMPUTED_VALUE"""),"")</f>
        <v/>
      </c>
      <c r="P249" s="8"/>
      <c r="Q249" s="8"/>
    </row>
    <row r="250">
      <c r="A250" s="8"/>
      <c r="B250" s="25"/>
      <c r="C250" s="385" t="s">
        <v>1426</v>
      </c>
      <c r="D250" s="385" t="s">
        <v>1797</v>
      </c>
      <c r="E250" s="8"/>
      <c r="F250" s="7">
        <v>249.0</v>
      </c>
      <c r="G250" s="389">
        <f>G241+7+(14*5)</f>
        <v>46823</v>
      </c>
      <c r="H250" s="8" t="b">
        <v>0</v>
      </c>
      <c r="I250" s="388" t="str">
        <f>IFERROR(__xludf.DUMMYFUNCTION("""COMPUTED_VALUE"""),"")</f>
        <v/>
      </c>
      <c r="J250" s="7"/>
      <c r="K250" s="8"/>
      <c r="L250" s="8"/>
      <c r="M250" s="8"/>
      <c r="N250" s="8" t="str">
        <f>IFERROR(__xludf.DUMMYFUNCTION("""COMPUTED_VALUE"""),"")</f>
        <v/>
      </c>
      <c r="O250" s="8" t="str">
        <f>IFERROR(__xludf.DUMMYFUNCTION("""COMPUTED_VALUE"""),"")</f>
        <v/>
      </c>
      <c r="P250" s="8"/>
      <c r="Q250" s="8"/>
    </row>
    <row r="251">
      <c r="A251" s="8"/>
      <c r="B251" s="25"/>
      <c r="C251" s="385" t="s">
        <v>1426</v>
      </c>
      <c r="D251" s="385" t="s">
        <v>1795</v>
      </c>
      <c r="E251" s="8"/>
      <c r="F251" s="7">
        <v>250.0</v>
      </c>
      <c r="G251" s="389">
        <f>G241+7+(14*6)</f>
        <v>46837</v>
      </c>
      <c r="H251" s="8" t="b">
        <v>0</v>
      </c>
      <c r="I251" s="388" t="str">
        <f>IFERROR(__xludf.DUMMYFUNCTION("""COMPUTED_VALUE"""),"")</f>
        <v/>
      </c>
      <c r="J251" s="7"/>
      <c r="K251" s="8"/>
      <c r="L251" s="8"/>
      <c r="M251" s="8"/>
      <c r="N251" s="8" t="str">
        <f>IFERROR(__xludf.DUMMYFUNCTION("""COMPUTED_VALUE"""),"")</f>
        <v/>
      </c>
      <c r="O251" s="8" t="str">
        <f>IFERROR(__xludf.DUMMYFUNCTION("""COMPUTED_VALUE"""),"")</f>
        <v/>
      </c>
      <c r="P251" s="8"/>
      <c r="Q251" s="8"/>
    </row>
    <row r="252">
      <c r="A252" s="8"/>
      <c r="B252" s="25"/>
      <c r="C252" s="385" t="s">
        <v>1426</v>
      </c>
      <c r="D252" s="385" t="s">
        <v>1795</v>
      </c>
      <c r="E252" s="8"/>
      <c r="F252" s="7">
        <v>251.0</v>
      </c>
      <c r="G252" s="389">
        <f>G241+7+(14*6)</f>
        <v>46837</v>
      </c>
      <c r="H252" s="8" t="b">
        <v>0</v>
      </c>
      <c r="I252" s="388" t="str">
        <f>IFERROR(__xludf.DUMMYFUNCTION("""COMPUTED_VALUE"""),"")</f>
        <v/>
      </c>
      <c r="J252" s="7"/>
      <c r="K252" s="8"/>
      <c r="L252" s="8"/>
      <c r="M252" s="8"/>
      <c r="N252" s="8" t="str">
        <f>IFERROR(__xludf.DUMMYFUNCTION("""COMPUTED_VALUE"""),"")</f>
        <v/>
      </c>
      <c r="O252" s="8" t="str">
        <f>IFERROR(__xludf.DUMMYFUNCTION("""COMPUTED_VALUE"""),"")</f>
        <v/>
      </c>
      <c r="P252" s="8"/>
      <c r="Q252" s="8"/>
    </row>
    <row r="253">
      <c r="A253" s="8"/>
      <c r="B253" s="25"/>
      <c r="C253" s="385" t="s">
        <v>1426</v>
      </c>
      <c r="D253" s="385" t="s">
        <v>1798</v>
      </c>
      <c r="E253" s="387"/>
      <c r="F253" s="7">
        <v>252.0</v>
      </c>
      <c r="G253" s="389">
        <f>G241+7+(14*7)</f>
        <v>46851</v>
      </c>
      <c r="H253" s="8" t="b">
        <v>0</v>
      </c>
      <c r="I253" s="388" t="str">
        <f>IFERROR(__xludf.DUMMYFUNCTION("""COMPUTED_VALUE"""),"")</f>
        <v/>
      </c>
      <c r="J253" s="7"/>
      <c r="K253" s="8"/>
      <c r="L253" s="8"/>
      <c r="M253" s="8"/>
      <c r="N253" s="8" t="str">
        <f>IFERROR(__xludf.DUMMYFUNCTION("""COMPUTED_VALUE"""),"")</f>
        <v/>
      </c>
      <c r="O253" s="8" t="str">
        <f>IFERROR(__xludf.DUMMYFUNCTION("""COMPUTED_VALUE"""),"")</f>
        <v/>
      </c>
      <c r="P253" s="8"/>
      <c r="Q253" s="8"/>
    </row>
    <row r="254">
      <c r="A254" s="8"/>
      <c r="B254" s="25"/>
      <c r="C254" s="385" t="s">
        <v>1426</v>
      </c>
      <c r="D254" s="385" t="s">
        <v>1799</v>
      </c>
      <c r="E254" s="8"/>
      <c r="F254" s="7">
        <v>253.0</v>
      </c>
      <c r="G254" s="389">
        <f>G241+7+(14*7)</f>
        <v>46851</v>
      </c>
      <c r="H254" s="8" t="b">
        <v>0</v>
      </c>
      <c r="I254" s="388" t="str">
        <f>IFERROR(__xludf.DUMMYFUNCTION("""COMPUTED_VALUE"""),"")</f>
        <v/>
      </c>
      <c r="J254" s="7"/>
      <c r="K254" s="8"/>
      <c r="L254" s="8"/>
      <c r="M254" s="8"/>
      <c r="N254" s="8" t="str">
        <f>IFERROR(__xludf.DUMMYFUNCTION("""COMPUTED_VALUE"""),"")</f>
        <v/>
      </c>
      <c r="O254" s="8" t="str">
        <f>IFERROR(__xludf.DUMMYFUNCTION("""COMPUTED_VALUE"""),"")</f>
        <v/>
      </c>
      <c r="P254" s="8"/>
      <c r="Q254" s="8"/>
    </row>
    <row r="255">
      <c r="A255" s="8"/>
      <c r="B255" s="25"/>
      <c r="C255" s="385" t="s">
        <v>1426</v>
      </c>
      <c r="D255" s="385" t="s">
        <v>1795</v>
      </c>
      <c r="E255" s="8"/>
      <c r="F255" s="7">
        <v>254.0</v>
      </c>
      <c r="G255" s="389">
        <f>G241+7+(14*8)</f>
        <v>46865</v>
      </c>
      <c r="H255" s="8" t="b">
        <v>0</v>
      </c>
      <c r="I255" s="388" t="str">
        <f>IFERROR(__xludf.DUMMYFUNCTION("""COMPUTED_VALUE"""),"")</f>
        <v/>
      </c>
      <c r="J255" s="7"/>
      <c r="K255" s="8"/>
      <c r="L255" s="8"/>
      <c r="M255" s="8"/>
      <c r="N255" s="8" t="str">
        <f>IFERROR(__xludf.DUMMYFUNCTION("""COMPUTED_VALUE"""),"")</f>
        <v/>
      </c>
      <c r="O255" s="8" t="str">
        <f>IFERROR(__xludf.DUMMYFUNCTION("""COMPUTED_VALUE"""),"")</f>
        <v/>
      </c>
      <c r="P255" s="8"/>
      <c r="Q255" s="8"/>
    </row>
    <row r="256">
      <c r="A256" s="8"/>
      <c r="B256" s="25"/>
      <c r="C256" s="385" t="s">
        <v>1426</v>
      </c>
      <c r="D256" s="385" t="s">
        <v>771</v>
      </c>
      <c r="E256" s="8"/>
      <c r="F256" s="7">
        <v>255.0</v>
      </c>
      <c r="G256" s="389">
        <f>G241+7+(14*9)</f>
        <v>46879</v>
      </c>
      <c r="H256" s="8" t="b">
        <v>0</v>
      </c>
      <c r="I256" s="388" t="str">
        <f>IFERROR(__xludf.DUMMYFUNCTION("""COMPUTED_VALUE"""),"")</f>
        <v/>
      </c>
      <c r="J256" s="7"/>
      <c r="K256" s="8"/>
      <c r="L256" s="8"/>
      <c r="M256" s="8"/>
      <c r="N256" s="8" t="str">
        <f>IFERROR(__xludf.DUMMYFUNCTION("""COMPUTED_VALUE"""),"")</f>
        <v/>
      </c>
      <c r="O256" s="8" t="str">
        <f>IFERROR(__xludf.DUMMYFUNCTION("""COMPUTED_VALUE"""),"")</f>
        <v/>
      </c>
      <c r="P256" s="8"/>
      <c r="Q256" s="8"/>
    </row>
    <row r="257">
      <c r="A257" s="8"/>
      <c r="B257" s="25"/>
      <c r="C257" s="385" t="s">
        <v>1426</v>
      </c>
      <c r="D257" s="385" t="s">
        <v>1797</v>
      </c>
      <c r="E257" s="8"/>
      <c r="F257" s="7">
        <v>256.0</v>
      </c>
      <c r="G257" s="389">
        <f>G241+7+(14*10)</f>
        <v>46893</v>
      </c>
      <c r="H257" s="8" t="b">
        <v>0</v>
      </c>
      <c r="I257" s="388" t="str">
        <f>IFERROR(__xludf.DUMMYFUNCTION("""COMPUTED_VALUE"""),"")</f>
        <v/>
      </c>
      <c r="J257" s="7"/>
      <c r="K257" s="8"/>
      <c r="L257" s="8"/>
      <c r="M257" s="8"/>
      <c r="N257" s="8" t="str">
        <f>IFERROR(__xludf.DUMMYFUNCTION("""COMPUTED_VALUE"""),"")</f>
        <v/>
      </c>
      <c r="O257" s="8" t="str">
        <f>IFERROR(__xludf.DUMMYFUNCTION("""COMPUTED_VALUE"""),"")</f>
        <v/>
      </c>
      <c r="P257" s="8"/>
      <c r="Q257" s="8"/>
    </row>
    <row r="258">
      <c r="A258" s="8"/>
      <c r="B258" s="25"/>
      <c r="C258" s="385" t="s">
        <v>1426</v>
      </c>
      <c r="D258" s="385" t="s">
        <v>1797</v>
      </c>
      <c r="E258" s="8"/>
      <c r="F258" s="7">
        <v>257.0</v>
      </c>
      <c r="G258" s="389">
        <f>G241+7+(14*10)</f>
        <v>46893</v>
      </c>
      <c r="H258" s="8" t="b">
        <v>0</v>
      </c>
      <c r="I258" s="388" t="str">
        <f>IFERROR(__xludf.DUMMYFUNCTION("""COMPUTED_VALUE"""),"")</f>
        <v/>
      </c>
      <c r="J258" s="7"/>
      <c r="K258" s="8"/>
      <c r="L258" s="8"/>
      <c r="M258" s="8"/>
      <c r="N258" s="8" t="str">
        <f>IFERROR(__xludf.DUMMYFUNCTION("""COMPUTED_VALUE"""),"")</f>
        <v/>
      </c>
      <c r="O258" s="8" t="str">
        <f>IFERROR(__xludf.DUMMYFUNCTION("""COMPUTED_VALUE"""),"")</f>
        <v/>
      </c>
      <c r="P258" s="8"/>
      <c r="Q258" s="8"/>
    </row>
    <row r="259">
      <c r="A259" s="8"/>
      <c r="B259" s="25"/>
      <c r="C259" s="385" t="s">
        <v>1426</v>
      </c>
      <c r="D259" s="385" t="s">
        <v>1795</v>
      </c>
      <c r="E259" s="8"/>
      <c r="F259" s="7">
        <v>258.0</v>
      </c>
      <c r="G259" s="389">
        <f>G241+7+(14*11)</f>
        <v>46907</v>
      </c>
      <c r="H259" s="8" t="b">
        <v>0</v>
      </c>
      <c r="I259" s="388" t="str">
        <f>IFERROR(__xludf.DUMMYFUNCTION("""COMPUTED_VALUE"""),"")</f>
        <v/>
      </c>
      <c r="J259" s="7"/>
      <c r="K259" s="8"/>
      <c r="L259" s="8"/>
      <c r="M259" s="8"/>
      <c r="N259" s="8" t="str">
        <f>IFERROR(__xludf.DUMMYFUNCTION("""COMPUTED_VALUE"""),"")</f>
        <v/>
      </c>
      <c r="O259" s="8" t="str">
        <f>IFERROR(__xludf.DUMMYFUNCTION("""COMPUTED_VALUE"""),"")</f>
        <v/>
      </c>
      <c r="P259" s="8"/>
      <c r="Q259" s="8"/>
    </row>
    <row r="260">
      <c r="A260" s="8"/>
      <c r="B260" s="25"/>
      <c r="C260" s="385" t="s">
        <v>1426</v>
      </c>
      <c r="D260" s="385" t="s">
        <v>1795</v>
      </c>
      <c r="E260" s="8"/>
      <c r="F260" s="7">
        <v>259.0</v>
      </c>
      <c r="G260" s="389">
        <f>G241+7+(14*11)</f>
        <v>46907</v>
      </c>
      <c r="H260" s="8" t="b">
        <v>0</v>
      </c>
      <c r="I260" s="388" t="str">
        <f>IFERROR(__xludf.DUMMYFUNCTION("""COMPUTED_VALUE"""),"")</f>
        <v/>
      </c>
      <c r="J260" s="7"/>
      <c r="K260" s="8"/>
      <c r="L260" s="8"/>
      <c r="M260" s="8"/>
      <c r="N260" s="8" t="str">
        <f>IFERROR(__xludf.DUMMYFUNCTION("""COMPUTED_VALUE"""),"")</f>
        <v/>
      </c>
      <c r="O260" s="8" t="str">
        <f>IFERROR(__xludf.DUMMYFUNCTION("""COMPUTED_VALUE"""),"")</f>
        <v/>
      </c>
      <c r="P260" s="8"/>
      <c r="Q260" s="8"/>
    </row>
    <row r="261">
      <c r="A261" s="8"/>
      <c r="B261" s="25"/>
      <c r="C261" s="385" t="s">
        <v>1426</v>
      </c>
      <c r="D261" s="385" t="s">
        <v>1799</v>
      </c>
      <c r="E261" s="8"/>
      <c r="F261" s="7">
        <v>260.0</v>
      </c>
      <c r="G261" s="389">
        <f>G241+7+(14*12)</f>
        <v>46921</v>
      </c>
      <c r="H261" s="8" t="b">
        <v>0</v>
      </c>
      <c r="I261" s="388" t="str">
        <f>IFERROR(__xludf.DUMMYFUNCTION("""COMPUTED_VALUE"""),"")</f>
        <v/>
      </c>
      <c r="J261" s="7"/>
      <c r="K261" s="8"/>
      <c r="L261" s="8"/>
      <c r="M261" s="8"/>
      <c r="N261" s="8" t="str">
        <f>IFERROR(__xludf.DUMMYFUNCTION("""COMPUTED_VALUE"""),"")</f>
        <v/>
      </c>
      <c r="O261" s="8" t="str">
        <f>IFERROR(__xludf.DUMMYFUNCTION("""COMPUTED_VALUE"""),"")</f>
        <v/>
      </c>
      <c r="P261" s="8"/>
      <c r="Q261" s="8"/>
    </row>
    <row r="262">
      <c r="A262" s="8"/>
      <c r="B262" s="25"/>
      <c r="C262" s="385" t="s">
        <v>1426</v>
      </c>
      <c r="D262" s="385" t="s">
        <v>1798</v>
      </c>
      <c r="E262" s="8"/>
      <c r="F262" s="7">
        <v>261.0</v>
      </c>
      <c r="G262" s="389">
        <f>G241+7+(14*12)</f>
        <v>46921</v>
      </c>
      <c r="H262" s="8" t="b">
        <v>0</v>
      </c>
      <c r="I262" s="388" t="str">
        <f>IFERROR(__xludf.DUMMYFUNCTION("""COMPUTED_VALUE"""),"")</f>
        <v/>
      </c>
      <c r="J262" s="7"/>
      <c r="K262" s="8"/>
      <c r="L262" s="8"/>
      <c r="M262" s="8"/>
      <c r="N262" s="8" t="str">
        <f>IFERROR(__xludf.DUMMYFUNCTION("""COMPUTED_VALUE"""),"")</f>
        <v/>
      </c>
      <c r="O262" s="8" t="str">
        <f>IFERROR(__xludf.DUMMYFUNCTION("""COMPUTED_VALUE"""),"")</f>
        <v/>
      </c>
      <c r="P262" s="8"/>
      <c r="Q262" s="8"/>
    </row>
    <row r="263">
      <c r="A263" s="8"/>
      <c r="B263" s="25"/>
      <c r="C263" s="385" t="s">
        <v>1426</v>
      </c>
      <c r="D263" s="385" t="s">
        <v>1795</v>
      </c>
      <c r="E263" s="8"/>
      <c r="F263" s="7">
        <v>262.0</v>
      </c>
      <c r="G263" s="389">
        <f>G241+7+(14*13)</f>
        <v>46935</v>
      </c>
      <c r="H263" s="8" t="b">
        <v>0</v>
      </c>
      <c r="I263" s="388" t="str">
        <f>IFERROR(__xludf.DUMMYFUNCTION("""COMPUTED_VALUE"""),"")</f>
        <v/>
      </c>
      <c r="J263" s="7"/>
      <c r="K263" s="8"/>
      <c r="L263" s="8"/>
      <c r="M263" s="8"/>
      <c r="N263" s="8" t="str">
        <f>IFERROR(__xludf.DUMMYFUNCTION("""COMPUTED_VALUE"""),"")</f>
        <v/>
      </c>
      <c r="O263" s="8" t="str">
        <f>IFERROR(__xludf.DUMMYFUNCTION("""COMPUTED_VALUE"""),"")</f>
        <v/>
      </c>
      <c r="P263" s="8"/>
      <c r="Q263" s="8"/>
    </row>
    <row r="264">
      <c r="A264" s="8"/>
      <c r="B264" s="25"/>
      <c r="C264" s="385" t="s">
        <v>1426</v>
      </c>
      <c r="D264" s="385" t="s">
        <v>1795</v>
      </c>
      <c r="E264" s="8"/>
      <c r="F264" s="7">
        <v>263.0</v>
      </c>
      <c r="G264" s="389">
        <f>G241+7+(14*14)</f>
        <v>46949</v>
      </c>
      <c r="H264" s="8" t="b">
        <v>0</v>
      </c>
      <c r="I264" s="388" t="str">
        <f>IFERROR(__xludf.DUMMYFUNCTION("""COMPUTED_VALUE"""),"")</f>
        <v/>
      </c>
      <c r="J264" s="7"/>
      <c r="K264" s="8"/>
      <c r="L264" s="8"/>
      <c r="M264" s="8"/>
      <c r="N264" s="8" t="str">
        <f>IFERROR(__xludf.DUMMYFUNCTION("""COMPUTED_VALUE"""),"")</f>
        <v/>
      </c>
      <c r="O264" s="8" t="str">
        <f>IFERROR(__xludf.DUMMYFUNCTION("""COMPUTED_VALUE"""),"")</f>
        <v/>
      </c>
      <c r="P264" s="8"/>
      <c r="Q264" s="8"/>
    </row>
    <row r="265">
      <c r="A265" s="8"/>
      <c r="B265" s="25"/>
      <c r="C265" s="385" t="s">
        <v>1426</v>
      </c>
      <c r="D265" s="385" t="s">
        <v>1800</v>
      </c>
      <c r="E265" s="8"/>
      <c r="F265" s="7">
        <v>264.0</v>
      </c>
      <c r="G265" s="389">
        <f>G241+7+(14*15)</f>
        <v>46963</v>
      </c>
      <c r="H265" s="8" t="b">
        <v>0</v>
      </c>
      <c r="I265" s="388" t="str">
        <f>IFERROR(__xludf.DUMMYFUNCTION("""COMPUTED_VALUE"""),"")</f>
        <v/>
      </c>
      <c r="J265" s="7"/>
      <c r="K265" s="8"/>
      <c r="L265" s="8"/>
      <c r="M265" s="8"/>
      <c r="N265" s="8" t="str">
        <f>IFERROR(__xludf.DUMMYFUNCTION("""COMPUTED_VALUE"""),"")</f>
        <v/>
      </c>
      <c r="O265" s="8" t="str">
        <f>IFERROR(__xludf.DUMMYFUNCTION("""COMPUTED_VALUE"""),"")</f>
        <v/>
      </c>
      <c r="P265" s="8"/>
      <c r="Q265" s="8"/>
    </row>
    <row r="266">
      <c r="A266" s="8"/>
      <c r="B266" s="25"/>
      <c r="C266" s="385" t="s">
        <v>1426</v>
      </c>
      <c r="D266" s="385" t="s">
        <v>1800</v>
      </c>
      <c r="E266" s="8"/>
      <c r="F266" s="7">
        <v>265.0</v>
      </c>
      <c r="G266" s="389">
        <f>G241+7+(14*15)</f>
        <v>46963</v>
      </c>
      <c r="H266" s="8" t="b">
        <v>0</v>
      </c>
      <c r="I266" s="388" t="str">
        <f>IFERROR(__xludf.DUMMYFUNCTION("""COMPUTED_VALUE"""),"")</f>
        <v/>
      </c>
      <c r="J266" s="7"/>
      <c r="K266" s="8"/>
      <c r="L266" s="8"/>
      <c r="M266" s="8"/>
      <c r="N266" s="8" t="str">
        <f>IFERROR(__xludf.DUMMYFUNCTION("""COMPUTED_VALUE"""),"")</f>
        <v/>
      </c>
      <c r="O266" s="8" t="str">
        <f>IFERROR(__xludf.DUMMYFUNCTION("""COMPUTED_VALUE"""),"")</f>
        <v/>
      </c>
      <c r="P266" s="8"/>
      <c r="Q266" s="8"/>
    </row>
    <row r="267">
      <c r="A267" s="8"/>
      <c r="B267" s="25"/>
      <c r="C267" s="385" t="s">
        <v>1426</v>
      </c>
      <c r="D267" s="385" t="s">
        <v>771</v>
      </c>
      <c r="E267" s="8"/>
      <c r="F267" s="7">
        <v>266.0</v>
      </c>
      <c r="G267" s="389">
        <f>G241+7+(14*16)</f>
        <v>46977</v>
      </c>
      <c r="H267" s="8" t="b">
        <v>0</v>
      </c>
      <c r="I267" s="388" t="str">
        <f>IFERROR(__xludf.DUMMYFUNCTION("""COMPUTED_VALUE"""),"")</f>
        <v/>
      </c>
      <c r="J267" s="7"/>
      <c r="K267" s="8"/>
      <c r="L267" s="8"/>
      <c r="M267" s="8"/>
      <c r="N267" s="8" t="str">
        <f>IFERROR(__xludf.DUMMYFUNCTION("""COMPUTED_VALUE"""),"")</f>
        <v/>
      </c>
      <c r="O267" s="8" t="str">
        <f>IFERROR(__xludf.DUMMYFUNCTION("""COMPUTED_VALUE"""),"")</f>
        <v/>
      </c>
      <c r="P267" s="8"/>
      <c r="Q267" s="8"/>
    </row>
    <row r="268">
      <c r="A268" s="7"/>
      <c r="B268" s="25"/>
      <c r="C268" s="385" t="s">
        <v>1426</v>
      </c>
      <c r="D268" s="385"/>
      <c r="E268" s="387"/>
      <c r="H268" s="8" t="b">
        <v>0</v>
      </c>
      <c r="I268" s="388" t="str">
        <f>IFERROR(__xludf.DUMMYFUNCTION("""COMPUTED_VALUE"""),"")</f>
        <v/>
      </c>
      <c r="J268" s="7"/>
      <c r="K268" s="8"/>
      <c r="L268" s="7"/>
      <c r="M268" s="8"/>
      <c r="N268" s="8" t="str">
        <f>IFERROR(__xludf.DUMMYFUNCTION("""COMPUTED_VALUE"""),"")</f>
        <v/>
      </c>
      <c r="O268" s="8" t="str">
        <f>IFERROR(__xludf.DUMMYFUNCTION("""COMPUTED_VALUE"""),"")</f>
        <v/>
      </c>
      <c r="P268" s="8"/>
      <c r="Q268" s="8"/>
    </row>
    <row r="269">
      <c r="A269" s="8"/>
      <c r="B269" s="25"/>
      <c r="C269" s="385" t="s">
        <v>1426</v>
      </c>
      <c r="D269" s="385"/>
      <c r="E269" s="8"/>
      <c r="H269" s="8" t="b">
        <v>0</v>
      </c>
      <c r="I269" s="388" t="str">
        <f>IFERROR(__xludf.DUMMYFUNCTION("""COMPUTED_VALUE"""),"")</f>
        <v/>
      </c>
      <c r="J269" s="7"/>
      <c r="K269" s="8"/>
      <c r="L269" s="8"/>
      <c r="M269" s="8"/>
      <c r="N269" s="8" t="str">
        <f>IFERROR(__xludf.DUMMYFUNCTION("""COMPUTED_VALUE"""),"")</f>
        <v/>
      </c>
      <c r="O269" s="8" t="str">
        <f>IFERROR(__xludf.DUMMYFUNCTION("""COMPUTED_VALUE"""),"")</f>
        <v/>
      </c>
      <c r="P269" s="8"/>
      <c r="Q269" s="8"/>
    </row>
    <row r="270">
      <c r="A270" s="8"/>
      <c r="B270" s="25"/>
      <c r="C270" s="385" t="s">
        <v>1426</v>
      </c>
      <c r="D270" s="392"/>
      <c r="E270" s="8"/>
      <c r="F270" s="7"/>
      <c r="G270" s="389"/>
      <c r="H270" s="8" t="b">
        <v>0</v>
      </c>
      <c r="I270" s="388" t="str">
        <f>IFERROR(__xludf.DUMMYFUNCTION("""COMPUTED_VALUE"""),"")</f>
        <v/>
      </c>
      <c r="J270" s="7"/>
      <c r="K270" s="8"/>
      <c r="L270" s="8"/>
      <c r="M270" s="8"/>
      <c r="N270" s="8" t="str">
        <f>IFERROR(__xludf.DUMMYFUNCTION("""COMPUTED_VALUE"""),"")</f>
        <v/>
      </c>
      <c r="O270" s="8" t="str">
        <f>IFERROR(__xludf.DUMMYFUNCTION("""COMPUTED_VALUE"""),"")</f>
        <v/>
      </c>
      <c r="P270" s="8"/>
      <c r="Q270" s="8"/>
    </row>
    <row r="271">
      <c r="A271" s="8"/>
      <c r="B271" s="25"/>
      <c r="C271" s="385" t="s">
        <v>1426</v>
      </c>
      <c r="D271" s="392"/>
      <c r="E271" s="8"/>
      <c r="F271" s="8"/>
      <c r="G271" s="389"/>
      <c r="H271" s="8" t="b">
        <v>0</v>
      </c>
      <c r="I271" s="388" t="str">
        <f>IFERROR(__xludf.DUMMYFUNCTION("""COMPUTED_VALUE"""),"")</f>
        <v/>
      </c>
      <c r="J271" s="7"/>
      <c r="K271" s="8"/>
      <c r="L271" s="8"/>
      <c r="M271" s="8"/>
      <c r="N271" s="8" t="str">
        <f>IFERROR(__xludf.DUMMYFUNCTION("""COMPUTED_VALUE"""),"")</f>
        <v/>
      </c>
      <c r="O271" s="8" t="str">
        <f>IFERROR(__xludf.DUMMYFUNCTION("""COMPUTED_VALUE"""),"")</f>
        <v/>
      </c>
      <c r="P271" s="8"/>
      <c r="Q271" s="8"/>
    </row>
    <row r="272">
      <c r="A272" s="8"/>
      <c r="B272" s="25"/>
      <c r="C272" s="385" t="s">
        <v>1426</v>
      </c>
      <c r="D272" s="392"/>
      <c r="E272" s="8"/>
      <c r="F272" s="8"/>
      <c r="G272" s="389"/>
      <c r="H272" s="8" t="b">
        <v>0</v>
      </c>
      <c r="I272" s="388" t="str">
        <f>IFERROR(__xludf.DUMMYFUNCTION("""COMPUTED_VALUE"""),"")</f>
        <v/>
      </c>
      <c r="J272" s="7"/>
      <c r="K272" s="8"/>
      <c r="L272" s="8"/>
      <c r="M272" s="8"/>
      <c r="N272" s="8" t="str">
        <f>IFERROR(__xludf.DUMMYFUNCTION("""COMPUTED_VALUE"""),"")</f>
        <v/>
      </c>
      <c r="O272" s="8" t="str">
        <f>IFERROR(__xludf.DUMMYFUNCTION("""COMPUTED_VALUE"""),"")</f>
        <v/>
      </c>
      <c r="P272" s="8"/>
      <c r="Q272" s="8"/>
    </row>
    <row r="273">
      <c r="A273" s="8"/>
      <c r="B273" s="25"/>
      <c r="C273" s="385" t="s">
        <v>1426</v>
      </c>
      <c r="D273" s="392"/>
      <c r="E273" s="8"/>
      <c r="F273" s="8"/>
      <c r="G273" s="389"/>
      <c r="H273" s="8" t="b">
        <v>0</v>
      </c>
      <c r="I273" s="388" t="str">
        <f>IFERROR(__xludf.DUMMYFUNCTION("""COMPUTED_VALUE"""),"")</f>
        <v/>
      </c>
      <c r="J273" s="7"/>
      <c r="K273" s="8"/>
      <c r="L273" s="8"/>
      <c r="M273" s="8"/>
      <c r="N273" s="8" t="str">
        <f>IFERROR(__xludf.DUMMYFUNCTION("""COMPUTED_VALUE"""),"")</f>
        <v/>
      </c>
      <c r="O273" s="8" t="str">
        <f>IFERROR(__xludf.DUMMYFUNCTION("""COMPUTED_VALUE"""),"")</f>
        <v/>
      </c>
      <c r="P273" s="8"/>
      <c r="Q273" s="8"/>
    </row>
    <row r="274">
      <c r="A274" s="8"/>
      <c r="B274" s="25"/>
      <c r="C274" s="385" t="s">
        <v>1426</v>
      </c>
      <c r="D274" s="392"/>
      <c r="E274" s="8"/>
      <c r="F274" s="8"/>
      <c r="G274" s="389"/>
      <c r="H274" s="8" t="b">
        <v>0</v>
      </c>
      <c r="I274" s="388" t="str">
        <f>IFERROR(__xludf.DUMMYFUNCTION("""COMPUTED_VALUE"""),"")</f>
        <v/>
      </c>
      <c r="J274" s="7"/>
      <c r="K274" s="8"/>
      <c r="L274" s="8"/>
      <c r="M274" s="8"/>
      <c r="N274" s="8" t="str">
        <f>IFERROR(__xludf.DUMMYFUNCTION("""COMPUTED_VALUE"""),"")</f>
        <v/>
      </c>
      <c r="O274" s="8" t="str">
        <f>IFERROR(__xludf.DUMMYFUNCTION("""COMPUTED_VALUE"""),"")</f>
        <v/>
      </c>
      <c r="P274" s="8"/>
      <c r="Q274" s="8"/>
    </row>
    <row r="275">
      <c r="A275" s="8"/>
      <c r="B275" s="25"/>
      <c r="C275" s="385" t="s">
        <v>1426</v>
      </c>
      <c r="D275" s="392"/>
      <c r="E275" s="8"/>
      <c r="F275" s="8"/>
      <c r="G275" s="389"/>
      <c r="H275" s="8" t="b">
        <v>0</v>
      </c>
      <c r="I275" s="388" t="str">
        <f>IFERROR(__xludf.DUMMYFUNCTION("""COMPUTED_VALUE"""),"")</f>
        <v/>
      </c>
      <c r="J275" s="7"/>
      <c r="K275" s="8"/>
      <c r="L275" s="8"/>
      <c r="M275" s="8"/>
      <c r="N275" s="8" t="str">
        <f>IFERROR(__xludf.DUMMYFUNCTION("""COMPUTED_VALUE"""),"")</f>
        <v/>
      </c>
      <c r="O275" s="8" t="str">
        <f>IFERROR(__xludf.DUMMYFUNCTION("""COMPUTED_VALUE"""),"")</f>
        <v/>
      </c>
      <c r="P275" s="8"/>
      <c r="Q275" s="8"/>
    </row>
    <row r="276">
      <c r="A276" s="8"/>
      <c r="B276" s="25"/>
      <c r="C276" s="385" t="s">
        <v>1426</v>
      </c>
      <c r="D276" s="392"/>
      <c r="E276" s="8"/>
      <c r="F276" s="8"/>
      <c r="G276" s="389"/>
      <c r="H276" s="8" t="b">
        <v>0</v>
      </c>
      <c r="I276" s="388" t="str">
        <f>IFERROR(__xludf.DUMMYFUNCTION("""COMPUTED_VALUE"""),"")</f>
        <v/>
      </c>
      <c r="J276" s="7"/>
      <c r="K276" s="8"/>
      <c r="L276" s="8"/>
      <c r="M276" s="8"/>
      <c r="N276" s="8" t="str">
        <f>IFERROR(__xludf.DUMMYFUNCTION("""COMPUTED_VALUE"""),"")</f>
        <v/>
      </c>
      <c r="O276" s="8" t="str">
        <f>IFERROR(__xludf.DUMMYFUNCTION("""COMPUTED_VALUE"""),"")</f>
        <v/>
      </c>
      <c r="P276" s="8"/>
      <c r="Q276" s="8"/>
    </row>
    <row r="277">
      <c r="A277" s="8"/>
      <c r="B277" s="25"/>
      <c r="C277" s="385" t="s">
        <v>1426</v>
      </c>
      <c r="D277" s="392"/>
      <c r="E277" s="8"/>
      <c r="F277" s="8"/>
      <c r="G277" s="389"/>
      <c r="H277" s="8" t="b">
        <v>0</v>
      </c>
      <c r="I277" s="388" t="str">
        <f>IFERROR(__xludf.DUMMYFUNCTION("""COMPUTED_VALUE"""),"")</f>
        <v/>
      </c>
      <c r="J277" s="7"/>
      <c r="K277" s="8"/>
      <c r="L277" s="8"/>
      <c r="M277" s="8"/>
      <c r="N277" s="8" t="str">
        <f>IFERROR(__xludf.DUMMYFUNCTION("""COMPUTED_VALUE"""),"")</f>
        <v/>
      </c>
      <c r="O277" s="8" t="str">
        <f>IFERROR(__xludf.DUMMYFUNCTION("""COMPUTED_VALUE"""),"")</f>
        <v/>
      </c>
      <c r="P277" s="8"/>
      <c r="Q277" s="8"/>
    </row>
    <row r="278">
      <c r="A278" s="8"/>
      <c r="B278" s="25"/>
      <c r="C278" s="385" t="s">
        <v>1426</v>
      </c>
      <c r="D278" s="392"/>
      <c r="E278" s="8"/>
      <c r="F278" s="8"/>
      <c r="G278" s="389"/>
      <c r="H278" s="8" t="b">
        <v>0</v>
      </c>
      <c r="I278" s="388" t="str">
        <f>IFERROR(__xludf.DUMMYFUNCTION("""COMPUTED_VALUE"""),"")</f>
        <v/>
      </c>
      <c r="J278" s="7"/>
      <c r="K278" s="8"/>
      <c r="L278" s="8"/>
      <c r="M278" s="8"/>
      <c r="N278" s="8" t="str">
        <f>IFERROR(__xludf.DUMMYFUNCTION("""COMPUTED_VALUE"""),"")</f>
        <v/>
      </c>
      <c r="O278" s="8" t="str">
        <f>IFERROR(__xludf.DUMMYFUNCTION("""COMPUTED_VALUE"""),"")</f>
        <v/>
      </c>
      <c r="P278" s="8"/>
      <c r="Q278" s="8"/>
    </row>
    <row r="279">
      <c r="A279" s="8"/>
      <c r="B279" s="25"/>
      <c r="C279" s="385" t="s">
        <v>1426</v>
      </c>
      <c r="D279" s="392"/>
      <c r="E279" s="8"/>
      <c r="F279" s="8"/>
      <c r="G279" s="389"/>
      <c r="H279" s="8" t="b">
        <v>0</v>
      </c>
      <c r="I279" s="388" t="str">
        <f>IFERROR(__xludf.DUMMYFUNCTION("""COMPUTED_VALUE"""),"")</f>
        <v/>
      </c>
      <c r="J279" s="7"/>
      <c r="K279" s="8"/>
      <c r="L279" s="8"/>
      <c r="M279" s="8"/>
      <c r="N279" s="8" t="str">
        <f>IFERROR(__xludf.DUMMYFUNCTION("""COMPUTED_VALUE"""),"")</f>
        <v/>
      </c>
      <c r="O279" s="8" t="str">
        <f>IFERROR(__xludf.DUMMYFUNCTION("""COMPUTED_VALUE"""),"")</f>
        <v/>
      </c>
      <c r="P279" s="8"/>
      <c r="Q279" s="8"/>
    </row>
    <row r="280">
      <c r="A280" s="8"/>
      <c r="B280" s="25"/>
      <c r="C280" s="385" t="s">
        <v>1426</v>
      </c>
      <c r="D280" s="392"/>
      <c r="E280" s="8"/>
      <c r="F280" s="8"/>
      <c r="G280" s="389"/>
      <c r="H280" s="8" t="b">
        <v>0</v>
      </c>
      <c r="I280" s="388" t="str">
        <f>IFERROR(__xludf.DUMMYFUNCTION("""COMPUTED_VALUE"""),"")</f>
        <v/>
      </c>
      <c r="J280" s="7"/>
      <c r="K280" s="8"/>
      <c r="L280" s="8"/>
      <c r="M280" s="8"/>
      <c r="N280" s="8" t="str">
        <f>IFERROR(__xludf.DUMMYFUNCTION("""COMPUTED_VALUE"""),"")</f>
        <v/>
      </c>
      <c r="O280" s="8" t="str">
        <f>IFERROR(__xludf.DUMMYFUNCTION("""COMPUTED_VALUE"""),"")</f>
        <v/>
      </c>
      <c r="P280" s="8"/>
      <c r="Q280" s="8"/>
    </row>
    <row r="281">
      <c r="A281" s="8"/>
      <c r="B281" s="25"/>
      <c r="C281" s="385" t="s">
        <v>1426</v>
      </c>
      <c r="D281" s="392"/>
      <c r="E281" s="8"/>
      <c r="F281" s="8"/>
      <c r="G281" s="389"/>
      <c r="H281" s="8" t="b">
        <v>0</v>
      </c>
      <c r="I281" s="388" t="str">
        <f>IFERROR(__xludf.DUMMYFUNCTION("""COMPUTED_VALUE"""),"")</f>
        <v/>
      </c>
      <c r="J281" s="7"/>
      <c r="K281" s="8"/>
      <c r="L281" s="8"/>
      <c r="M281" s="8"/>
      <c r="N281" s="8" t="str">
        <f>IFERROR(__xludf.DUMMYFUNCTION("""COMPUTED_VALUE"""),"")</f>
        <v/>
      </c>
      <c r="O281" s="8" t="str">
        <f>IFERROR(__xludf.DUMMYFUNCTION("""COMPUTED_VALUE"""),"")</f>
        <v/>
      </c>
      <c r="P281" s="8"/>
      <c r="Q281" s="8"/>
    </row>
    <row r="282">
      <c r="A282" s="8"/>
      <c r="B282" s="25"/>
      <c r="C282" s="385" t="s">
        <v>1426</v>
      </c>
      <c r="D282" s="392"/>
      <c r="E282" s="8"/>
      <c r="F282" s="8"/>
      <c r="G282" s="389"/>
      <c r="H282" s="8" t="b">
        <v>0</v>
      </c>
      <c r="I282" s="388" t="str">
        <f>IFERROR(__xludf.DUMMYFUNCTION("""COMPUTED_VALUE"""),"")</f>
        <v/>
      </c>
      <c r="J282" s="7"/>
      <c r="K282" s="8"/>
      <c r="L282" s="8"/>
      <c r="M282" s="8"/>
      <c r="N282" s="8" t="str">
        <f>IFERROR(__xludf.DUMMYFUNCTION("""COMPUTED_VALUE"""),"")</f>
        <v/>
      </c>
      <c r="O282" s="8" t="str">
        <f>IFERROR(__xludf.DUMMYFUNCTION("""COMPUTED_VALUE"""),"")</f>
        <v/>
      </c>
      <c r="P282" s="8"/>
      <c r="Q282" s="8"/>
    </row>
    <row r="283">
      <c r="A283" s="8"/>
      <c r="B283" s="25"/>
      <c r="C283" s="385" t="s">
        <v>1426</v>
      </c>
      <c r="D283" s="392"/>
      <c r="E283" s="8"/>
      <c r="F283" s="8"/>
      <c r="G283" s="389"/>
      <c r="H283" s="8" t="b">
        <v>0</v>
      </c>
      <c r="I283" s="388" t="str">
        <f>IFERROR(__xludf.DUMMYFUNCTION("""COMPUTED_VALUE"""),"")</f>
        <v/>
      </c>
      <c r="J283" s="7"/>
      <c r="K283" s="8"/>
      <c r="L283" s="8"/>
      <c r="M283" s="8"/>
      <c r="N283" s="8" t="str">
        <f>IFERROR(__xludf.DUMMYFUNCTION("""COMPUTED_VALUE"""),"")</f>
        <v/>
      </c>
      <c r="O283" s="8" t="str">
        <f>IFERROR(__xludf.DUMMYFUNCTION("""COMPUTED_VALUE"""),"")</f>
        <v/>
      </c>
      <c r="P283" s="8"/>
      <c r="Q283" s="8"/>
    </row>
    <row r="284">
      <c r="A284" s="8"/>
      <c r="B284" s="25"/>
      <c r="C284" s="385" t="s">
        <v>1426</v>
      </c>
      <c r="D284" s="392"/>
      <c r="E284" s="8"/>
      <c r="F284" s="8"/>
      <c r="G284" s="389"/>
      <c r="H284" s="8" t="b">
        <v>0</v>
      </c>
      <c r="I284" s="388" t="str">
        <f>IFERROR(__xludf.DUMMYFUNCTION("""COMPUTED_VALUE"""),"")</f>
        <v/>
      </c>
      <c r="J284" s="7"/>
      <c r="K284" s="8"/>
      <c r="L284" s="8"/>
      <c r="M284" s="8"/>
      <c r="N284" s="8" t="str">
        <f>IFERROR(__xludf.DUMMYFUNCTION("""COMPUTED_VALUE"""),"")</f>
        <v/>
      </c>
      <c r="O284" s="8" t="str">
        <f>IFERROR(__xludf.DUMMYFUNCTION("""COMPUTED_VALUE"""),"")</f>
        <v/>
      </c>
      <c r="P284" s="8"/>
      <c r="Q284" s="8"/>
    </row>
    <row r="285">
      <c r="A285" s="8"/>
      <c r="B285" s="25"/>
      <c r="C285" s="385" t="s">
        <v>1426</v>
      </c>
      <c r="D285" s="392"/>
      <c r="E285" s="8"/>
      <c r="F285" s="8"/>
      <c r="G285" s="389"/>
      <c r="H285" s="8" t="b">
        <v>0</v>
      </c>
      <c r="I285" s="388" t="str">
        <f>IFERROR(__xludf.DUMMYFUNCTION("""COMPUTED_VALUE"""),"")</f>
        <v/>
      </c>
      <c r="J285" s="7"/>
      <c r="K285" s="8"/>
      <c r="L285" s="8"/>
      <c r="M285" s="8"/>
      <c r="N285" s="8" t="str">
        <f>IFERROR(__xludf.DUMMYFUNCTION("""COMPUTED_VALUE"""),"")</f>
        <v/>
      </c>
      <c r="O285" s="8" t="str">
        <f>IFERROR(__xludf.DUMMYFUNCTION("""COMPUTED_VALUE"""),"")</f>
        <v/>
      </c>
      <c r="P285" s="8"/>
      <c r="Q285" s="8"/>
    </row>
    <row r="286">
      <c r="A286" s="8"/>
      <c r="B286" s="25"/>
      <c r="C286" s="385" t="s">
        <v>1426</v>
      </c>
      <c r="D286" s="392"/>
      <c r="E286" s="8"/>
      <c r="F286" s="8"/>
      <c r="G286" s="389"/>
      <c r="H286" s="8" t="b">
        <v>0</v>
      </c>
      <c r="I286" s="388" t="str">
        <f>IFERROR(__xludf.DUMMYFUNCTION("""COMPUTED_VALUE"""),"")</f>
        <v/>
      </c>
      <c r="J286" s="7"/>
      <c r="K286" s="8"/>
      <c r="L286" s="8"/>
      <c r="M286" s="8"/>
      <c r="N286" s="8" t="str">
        <f>IFERROR(__xludf.DUMMYFUNCTION("""COMPUTED_VALUE"""),"")</f>
        <v/>
      </c>
      <c r="O286" s="8" t="str">
        <f>IFERROR(__xludf.DUMMYFUNCTION("""COMPUTED_VALUE"""),"")</f>
        <v/>
      </c>
      <c r="P286" s="8"/>
      <c r="Q286" s="8"/>
    </row>
    <row r="287">
      <c r="A287" s="8"/>
      <c r="B287" s="25"/>
      <c r="C287" s="385" t="s">
        <v>1426</v>
      </c>
      <c r="D287" s="392"/>
      <c r="E287" s="8"/>
      <c r="F287" s="8"/>
      <c r="G287" s="389"/>
      <c r="H287" s="8" t="b">
        <v>0</v>
      </c>
      <c r="I287" s="388" t="str">
        <f>IFERROR(__xludf.DUMMYFUNCTION("""COMPUTED_VALUE"""),"")</f>
        <v/>
      </c>
      <c r="J287" s="7"/>
      <c r="K287" s="8"/>
      <c r="L287" s="8"/>
      <c r="M287" s="8"/>
      <c r="N287" s="8" t="str">
        <f>IFERROR(__xludf.DUMMYFUNCTION("""COMPUTED_VALUE"""),"")</f>
        <v/>
      </c>
      <c r="O287" s="8" t="str">
        <f>IFERROR(__xludf.DUMMYFUNCTION("""COMPUTED_VALUE"""),"")</f>
        <v/>
      </c>
      <c r="P287" s="8"/>
      <c r="Q287" s="8"/>
    </row>
    <row r="288">
      <c r="A288" s="8"/>
      <c r="B288" s="25"/>
      <c r="C288" s="385" t="s">
        <v>1426</v>
      </c>
      <c r="D288" s="392"/>
      <c r="E288" s="8"/>
      <c r="F288" s="8"/>
      <c r="G288" s="389"/>
      <c r="H288" s="8" t="b">
        <v>0</v>
      </c>
      <c r="I288" s="388" t="str">
        <f>IFERROR(__xludf.DUMMYFUNCTION("""COMPUTED_VALUE"""),"")</f>
        <v/>
      </c>
      <c r="J288" s="7"/>
      <c r="K288" s="8"/>
      <c r="L288" s="8"/>
      <c r="M288" s="8"/>
      <c r="N288" s="8" t="str">
        <f>IFERROR(__xludf.DUMMYFUNCTION("""COMPUTED_VALUE"""),"")</f>
        <v/>
      </c>
      <c r="O288" s="8" t="str">
        <f>IFERROR(__xludf.DUMMYFUNCTION("""COMPUTED_VALUE"""),"")</f>
        <v/>
      </c>
      <c r="P288" s="8"/>
      <c r="Q288" s="8"/>
    </row>
    <row r="289">
      <c r="A289" s="8"/>
      <c r="B289" s="25"/>
      <c r="C289" s="385" t="s">
        <v>1426</v>
      </c>
      <c r="D289" s="392"/>
      <c r="E289" s="8"/>
      <c r="F289" s="8"/>
      <c r="G289" s="389"/>
      <c r="H289" s="8" t="b">
        <v>0</v>
      </c>
      <c r="I289" s="388" t="str">
        <f>IFERROR(__xludf.DUMMYFUNCTION("""COMPUTED_VALUE"""),"")</f>
        <v/>
      </c>
      <c r="J289" s="7"/>
      <c r="K289" s="8"/>
      <c r="L289" s="8"/>
      <c r="M289" s="8"/>
      <c r="N289" s="8" t="str">
        <f>IFERROR(__xludf.DUMMYFUNCTION("""COMPUTED_VALUE"""),"")</f>
        <v/>
      </c>
      <c r="O289" s="8" t="str">
        <f>IFERROR(__xludf.DUMMYFUNCTION("""COMPUTED_VALUE"""),"")</f>
        <v/>
      </c>
      <c r="P289" s="8"/>
      <c r="Q289" s="8"/>
    </row>
    <row r="290">
      <c r="A290" s="8"/>
      <c r="B290" s="25"/>
      <c r="C290" s="385" t="s">
        <v>1426</v>
      </c>
      <c r="D290" s="392"/>
      <c r="E290" s="8"/>
      <c r="F290" s="8"/>
      <c r="G290" s="389"/>
      <c r="H290" s="8" t="b">
        <v>0</v>
      </c>
      <c r="I290" s="388" t="str">
        <f>IFERROR(__xludf.DUMMYFUNCTION("""COMPUTED_VALUE"""),"")</f>
        <v/>
      </c>
      <c r="J290" s="7"/>
      <c r="K290" s="8"/>
      <c r="L290" s="8"/>
      <c r="M290" s="8"/>
      <c r="N290" s="8" t="str">
        <f>IFERROR(__xludf.DUMMYFUNCTION("""COMPUTED_VALUE"""),"")</f>
        <v/>
      </c>
      <c r="O290" s="8" t="str">
        <f>IFERROR(__xludf.DUMMYFUNCTION("""COMPUTED_VALUE"""),"")</f>
        <v/>
      </c>
      <c r="P290" s="8"/>
      <c r="Q290" s="8"/>
    </row>
    <row r="291">
      <c r="A291" s="8"/>
      <c r="B291" s="25"/>
      <c r="C291" s="385" t="s">
        <v>1426</v>
      </c>
      <c r="D291" s="392"/>
      <c r="E291" s="8"/>
      <c r="F291" s="8"/>
      <c r="G291" s="389"/>
      <c r="H291" s="8" t="b">
        <v>0</v>
      </c>
      <c r="I291" s="388" t="str">
        <f>IFERROR(__xludf.DUMMYFUNCTION("""COMPUTED_VALUE"""),"")</f>
        <v/>
      </c>
      <c r="J291" s="7"/>
      <c r="K291" s="8"/>
      <c r="L291" s="8"/>
      <c r="M291" s="8"/>
      <c r="N291" s="8" t="str">
        <f>IFERROR(__xludf.DUMMYFUNCTION("""COMPUTED_VALUE"""),"")</f>
        <v/>
      </c>
      <c r="O291" s="8" t="str">
        <f>IFERROR(__xludf.DUMMYFUNCTION("""COMPUTED_VALUE"""),"")</f>
        <v/>
      </c>
      <c r="P291" s="8"/>
      <c r="Q291" s="8"/>
    </row>
    <row r="292">
      <c r="A292" s="8"/>
      <c r="B292" s="25"/>
      <c r="C292" s="385" t="s">
        <v>1426</v>
      </c>
      <c r="D292" s="392"/>
      <c r="E292" s="8"/>
      <c r="F292" s="8"/>
      <c r="G292" s="389"/>
      <c r="H292" s="8" t="b">
        <v>0</v>
      </c>
      <c r="I292" s="388" t="str">
        <f>IFERROR(__xludf.DUMMYFUNCTION("""COMPUTED_VALUE"""),"")</f>
        <v/>
      </c>
      <c r="J292" s="7"/>
      <c r="K292" s="8"/>
      <c r="L292" s="8"/>
      <c r="M292" s="8"/>
      <c r="N292" s="8" t="str">
        <f>IFERROR(__xludf.DUMMYFUNCTION("""COMPUTED_VALUE"""),"")</f>
        <v/>
      </c>
      <c r="O292" s="8" t="str">
        <f>IFERROR(__xludf.DUMMYFUNCTION("""COMPUTED_VALUE"""),"")</f>
        <v/>
      </c>
      <c r="P292" s="8"/>
      <c r="Q292" s="8"/>
    </row>
    <row r="293">
      <c r="A293" s="8"/>
      <c r="B293" s="25"/>
      <c r="C293" s="385" t="s">
        <v>1426</v>
      </c>
      <c r="D293" s="392"/>
      <c r="E293" s="8"/>
      <c r="F293" s="8"/>
      <c r="G293" s="389"/>
      <c r="H293" s="8" t="b">
        <v>0</v>
      </c>
      <c r="I293" s="388" t="str">
        <f>IFERROR(__xludf.DUMMYFUNCTION("""COMPUTED_VALUE"""),"")</f>
        <v/>
      </c>
      <c r="J293" s="7"/>
      <c r="K293" s="8"/>
      <c r="L293" s="8"/>
      <c r="M293" s="8"/>
      <c r="N293" s="8" t="str">
        <f>IFERROR(__xludf.DUMMYFUNCTION("""COMPUTED_VALUE"""),"")</f>
        <v/>
      </c>
      <c r="O293" s="8" t="str">
        <f>IFERROR(__xludf.DUMMYFUNCTION("""COMPUTED_VALUE"""),"")</f>
        <v/>
      </c>
      <c r="P293" s="8"/>
      <c r="Q293" s="8"/>
    </row>
    <row r="294">
      <c r="A294" s="8"/>
      <c r="B294" s="25"/>
      <c r="C294" s="385" t="s">
        <v>1426</v>
      </c>
      <c r="D294" s="392"/>
      <c r="E294" s="8"/>
      <c r="F294" s="8"/>
      <c r="G294" s="389"/>
      <c r="H294" s="8" t="b">
        <v>0</v>
      </c>
      <c r="I294" s="388" t="str">
        <f>IFERROR(__xludf.DUMMYFUNCTION("""COMPUTED_VALUE"""),"")</f>
        <v/>
      </c>
      <c r="J294" s="7"/>
      <c r="K294" s="8"/>
      <c r="L294" s="8"/>
      <c r="M294" s="8"/>
      <c r="N294" s="8" t="str">
        <f>IFERROR(__xludf.DUMMYFUNCTION("""COMPUTED_VALUE"""),"")</f>
        <v/>
      </c>
      <c r="O294" s="8" t="str">
        <f>IFERROR(__xludf.DUMMYFUNCTION("""COMPUTED_VALUE"""),"")</f>
        <v/>
      </c>
      <c r="P294" s="8"/>
      <c r="Q294" s="8"/>
    </row>
    <row r="295">
      <c r="A295" s="8"/>
      <c r="B295" s="25"/>
      <c r="C295" s="385" t="s">
        <v>1426</v>
      </c>
      <c r="D295" s="392"/>
      <c r="E295" s="8"/>
      <c r="F295" s="8"/>
      <c r="G295" s="389"/>
      <c r="H295" s="8" t="b">
        <v>0</v>
      </c>
      <c r="I295" s="388" t="str">
        <f>IFERROR(__xludf.DUMMYFUNCTION("""COMPUTED_VALUE"""),"")</f>
        <v/>
      </c>
      <c r="J295" s="7"/>
      <c r="K295" s="8"/>
      <c r="L295" s="8"/>
      <c r="M295" s="8"/>
      <c r="N295" s="8" t="str">
        <f>IFERROR(__xludf.DUMMYFUNCTION("""COMPUTED_VALUE"""),"")</f>
        <v/>
      </c>
      <c r="O295" s="8" t="str">
        <f>IFERROR(__xludf.DUMMYFUNCTION("""COMPUTED_VALUE"""),"")</f>
        <v/>
      </c>
      <c r="P295" s="8"/>
      <c r="Q295" s="8"/>
    </row>
    <row r="296">
      <c r="A296" s="8"/>
      <c r="B296" s="25"/>
      <c r="C296" s="385" t="s">
        <v>1426</v>
      </c>
      <c r="D296" s="392"/>
      <c r="E296" s="8"/>
      <c r="F296" s="8"/>
      <c r="G296" s="389"/>
      <c r="H296" s="8" t="b">
        <v>0</v>
      </c>
      <c r="I296" s="388" t="str">
        <f>IFERROR(__xludf.DUMMYFUNCTION("""COMPUTED_VALUE"""),"")</f>
        <v/>
      </c>
      <c r="J296" s="7"/>
      <c r="K296" s="8"/>
      <c r="L296" s="8"/>
      <c r="M296" s="8"/>
      <c r="N296" s="8" t="str">
        <f>IFERROR(__xludf.DUMMYFUNCTION("""COMPUTED_VALUE"""),"")</f>
        <v/>
      </c>
      <c r="O296" s="8" t="str">
        <f>IFERROR(__xludf.DUMMYFUNCTION("""COMPUTED_VALUE"""),"")</f>
        <v/>
      </c>
      <c r="P296" s="8"/>
      <c r="Q296" s="8"/>
    </row>
    <row r="297">
      <c r="A297" s="8"/>
      <c r="B297" s="25"/>
      <c r="C297" s="385" t="s">
        <v>1426</v>
      </c>
      <c r="D297" s="392"/>
      <c r="E297" s="8"/>
      <c r="F297" s="8"/>
      <c r="G297" s="389"/>
      <c r="H297" s="8" t="b">
        <v>0</v>
      </c>
      <c r="I297" s="388" t="str">
        <f>IFERROR(__xludf.DUMMYFUNCTION("""COMPUTED_VALUE"""),"")</f>
        <v/>
      </c>
      <c r="J297" s="7"/>
      <c r="K297" s="8"/>
      <c r="L297" s="8"/>
      <c r="M297" s="8"/>
      <c r="N297" s="8" t="str">
        <f>IFERROR(__xludf.DUMMYFUNCTION("""COMPUTED_VALUE"""),"")</f>
        <v/>
      </c>
      <c r="O297" s="8" t="str">
        <f>IFERROR(__xludf.DUMMYFUNCTION("""COMPUTED_VALUE"""),"")</f>
        <v/>
      </c>
      <c r="P297" s="8"/>
      <c r="Q297" s="8"/>
    </row>
    <row r="298">
      <c r="A298" s="8"/>
      <c r="B298" s="25"/>
      <c r="C298" s="385" t="s">
        <v>1426</v>
      </c>
      <c r="D298" s="392"/>
      <c r="E298" s="8"/>
      <c r="F298" s="8"/>
      <c r="G298" s="389"/>
      <c r="H298" s="8" t="b">
        <v>0</v>
      </c>
      <c r="I298" s="388" t="str">
        <f>IFERROR(__xludf.DUMMYFUNCTION("""COMPUTED_VALUE"""),"")</f>
        <v/>
      </c>
      <c r="J298" s="7"/>
      <c r="K298" s="8"/>
      <c r="L298" s="8"/>
      <c r="M298" s="8"/>
      <c r="N298" s="8" t="str">
        <f>IFERROR(__xludf.DUMMYFUNCTION("""COMPUTED_VALUE"""),"")</f>
        <v/>
      </c>
      <c r="O298" s="8" t="str">
        <f>IFERROR(__xludf.DUMMYFUNCTION("""COMPUTED_VALUE"""),"")</f>
        <v/>
      </c>
      <c r="P298" s="8"/>
      <c r="Q298" s="8"/>
    </row>
    <row r="299">
      <c r="A299" s="8"/>
      <c r="B299" s="25"/>
      <c r="C299" s="385" t="s">
        <v>1426</v>
      </c>
      <c r="D299" s="392"/>
      <c r="E299" s="8"/>
      <c r="F299" s="8"/>
      <c r="G299" s="389"/>
      <c r="H299" s="8" t="b">
        <v>0</v>
      </c>
      <c r="I299" s="388" t="str">
        <f>IFERROR(__xludf.DUMMYFUNCTION("""COMPUTED_VALUE"""),"")</f>
        <v/>
      </c>
      <c r="J299" s="7"/>
      <c r="K299" s="8"/>
      <c r="L299" s="8"/>
      <c r="M299" s="8"/>
      <c r="N299" s="8" t="str">
        <f>IFERROR(__xludf.DUMMYFUNCTION("""COMPUTED_VALUE"""),"")</f>
        <v/>
      </c>
      <c r="O299" s="8" t="str">
        <f>IFERROR(__xludf.DUMMYFUNCTION("""COMPUTED_VALUE"""),"")</f>
        <v/>
      </c>
      <c r="P299" s="8"/>
      <c r="Q299" s="8"/>
    </row>
    <row r="300">
      <c r="A300" s="8"/>
      <c r="B300" s="25"/>
      <c r="C300" s="385" t="s">
        <v>1426</v>
      </c>
      <c r="D300" s="392"/>
      <c r="E300" s="8"/>
      <c r="F300" s="8"/>
      <c r="G300" s="389"/>
      <c r="H300" s="8" t="b">
        <v>0</v>
      </c>
      <c r="I300" s="388" t="str">
        <f>IFERROR(__xludf.DUMMYFUNCTION("""COMPUTED_VALUE"""),"")</f>
        <v/>
      </c>
      <c r="J300" s="7"/>
      <c r="K300" s="8"/>
      <c r="L300" s="8"/>
      <c r="M300" s="8"/>
      <c r="N300" s="8" t="str">
        <f>IFERROR(__xludf.DUMMYFUNCTION("""COMPUTED_VALUE"""),"")</f>
        <v/>
      </c>
      <c r="O300" s="8" t="str">
        <f>IFERROR(__xludf.DUMMYFUNCTION("""COMPUTED_VALUE"""),"")</f>
        <v/>
      </c>
      <c r="P300" s="8"/>
      <c r="Q300" s="8"/>
    </row>
    <row r="301">
      <c r="A301" s="8"/>
      <c r="B301" s="25"/>
      <c r="C301" s="385" t="s">
        <v>1426</v>
      </c>
      <c r="D301" s="392"/>
      <c r="E301" s="8"/>
      <c r="F301" s="8"/>
      <c r="G301" s="389"/>
      <c r="H301" s="8" t="b">
        <v>0</v>
      </c>
      <c r="I301" s="388" t="str">
        <f>IFERROR(__xludf.DUMMYFUNCTION("""COMPUTED_VALUE"""),"")</f>
        <v/>
      </c>
      <c r="J301" s="7"/>
      <c r="K301" s="8"/>
      <c r="L301" s="8"/>
      <c r="M301" s="8"/>
      <c r="N301" s="8" t="str">
        <f>IFERROR(__xludf.DUMMYFUNCTION("""COMPUTED_VALUE"""),"")</f>
        <v/>
      </c>
      <c r="O301" s="8" t="str">
        <f>IFERROR(__xludf.DUMMYFUNCTION("""COMPUTED_VALUE"""),"")</f>
        <v/>
      </c>
      <c r="P301" s="8"/>
      <c r="Q301" s="8"/>
    </row>
    <row r="302">
      <c r="A302" s="8"/>
      <c r="B302" s="25"/>
      <c r="C302" s="385" t="s">
        <v>1426</v>
      </c>
      <c r="D302" s="392"/>
      <c r="E302" s="8"/>
      <c r="F302" s="8"/>
      <c r="G302" s="389"/>
      <c r="H302" s="8" t="b">
        <v>0</v>
      </c>
      <c r="I302" s="388" t="str">
        <f>IFERROR(__xludf.DUMMYFUNCTION("""COMPUTED_VALUE"""),"")</f>
        <v/>
      </c>
      <c r="J302" s="7"/>
      <c r="K302" s="8"/>
      <c r="L302" s="8"/>
      <c r="M302" s="8"/>
      <c r="N302" s="8" t="str">
        <f>IFERROR(__xludf.DUMMYFUNCTION("""COMPUTED_VALUE"""),"")</f>
        <v/>
      </c>
      <c r="O302" s="8" t="str">
        <f>IFERROR(__xludf.DUMMYFUNCTION("""COMPUTED_VALUE"""),"")</f>
        <v/>
      </c>
      <c r="P302" s="8"/>
      <c r="Q302" s="8"/>
    </row>
    <row r="303">
      <c r="A303" s="8"/>
      <c r="B303" s="25"/>
      <c r="C303" s="385" t="s">
        <v>1426</v>
      </c>
      <c r="D303" s="392"/>
      <c r="E303" s="8"/>
      <c r="F303" s="8"/>
      <c r="G303" s="389"/>
      <c r="H303" s="8" t="b">
        <v>0</v>
      </c>
      <c r="I303" s="388" t="str">
        <f>IFERROR(__xludf.DUMMYFUNCTION("""COMPUTED_VALUE"""),"")</f>
        <v/>
      </c>
      <c r="J303" s="7"/>
      <c r="K303" s="8"/>
      <c r="L303" s="8"/>
      <c r="M303" s="8"/>
      <c r="N303" s="8" t="str">
        <f>IFERROR(__xludf.DUMMYFUNCTION("""COMPUTED_VALUE"""),"")</f>
        <v/>
      </c>
      <c r="O303" s="8" t="str">
        <f>IFERROR(__xludf.DUMMYFUNCTION("""COMPUTED_VALUE"""),"")</f>
        <v/>
      </c>
      <c r="P303" s="8"/>
      <c r="Q303" s="8"/>
    </row>
    <row r="304">
      <c r="A304" s="8"/>
      <c r="B304" s="25"/>
      <c r="C304" s="385" t="s">
        <v>1426</v>
      </c>
      <c r="D304" s="392"/>
      <c r="E304" s="8"/>
      <c r="F304" s="8"/>
      <c r="G304" s="389"/>
      <c r="H304" s="8" t="b">
        <v>0</v>
      </c>
      <c r="I304" s="388" t="str">
        <f>IFERROR(__xludf.DUMMYFUNCTION("""COMPUTED_VALUE"""),"")</f>
        <v/>
      </c>
      <c r="J304" s="7"/>
      <c r="K304" s="8"/>
      <c r="L304" s="8"/>
      <c r="M304" s="8"/>
      <c r="N304" s="8" t="str">
        <f>IFERROR(__xludf.DUMMYFUNCTION("""COMPUTED_VALUE"""),"")</f>
        <v/>
      </c>
      <c r="O304" s="8" t="str">
        <f>IFERROR(__xludf.DUMMYFUNCTION("""COMPUTED_VALUE"""),"")</f>
        <v/>
      </c>
      <c r="P304" s="8"/>
      <c r="Q304" s="8"/>
    </row>
    <row r="305">
      <c r="A305" s="8"/>
      <c r="B305" s="25"/>
      <c r="C305" s="385" t="s">
        <v>1426</v>
      </c>
      <c r="D305" s="392"/>
      <c r="E305" s="8"/>
      <c r="F305" s="8"/>
      <c r="G305" s="389"/>
      <c r="H305" s="8" t="b">
        <v>0</v>
      </c>
      <c r="I305" s="388" t="str">
        <f>IFERROR(__xludf.DUMMYFUNCTION("""COMPUTED_VALUE"""),"")</f>
        <v/>
      </c>
      <c r="J305" s="7"/>
      <c r="K305" s="8"/>
      <c r="L305" s="8"/>
      <c r="M305" s="8"/>
      <c r="N305" s="8" t="str">
        <f>IFERROR(__xludf.DUMMYFUNCTION("""COMPUTED_VALUE"""),"")</f>
        <v/>
      </c>
      <c r="O305" s="8" t="str">
        <f>IFERROR(__xludf.DUMMYFUNCTION("""COMPUTED_VALUE"""),"")</f>
        <v/>
      </c>
      <c r="P305" s="8"/>
      <c r="Q305" s="8"/>
    </row>
    <row r="306">
      <c r="A306" s="8"/>
      <c r="B306" s="25"/>
      <c r="C306" s="385" t="s">
        <v>1426</v>
      </c>
      <c r="D306" s="392"/>
      <c r="E306" s="8"/>
      <c r="F306" s="8"/>
      <c r="G306" s="389"/>
      <c r="H306" s="8" t="b">
        <v>0</v>
      </c>
      <c r="I306" s="388" t="str">
        <f>IFERROR(__xludf.DUMMYFUNCTION("""COMPUTED_VALUE"""),"")</f>
        <v/>
      </c>
      <c r="J306" s="7"/>
      <c r="K306" s="8"/>
      <c r="L306" s="8"/>
      <c r="M306" s="8"/>
      <c r="N306" s="8" t="str">
        <f>IFERROR(__xludf.DUMMYFUNCTION("""COMPUTED_VALUE"""),"")</f>
        <v/>
      </c>
      <c r="O306" s="8" t="str">
        <f>IFERROR(__xludf.DUMMYFUNCTION("""COMPUTED_VALUE"""),"")</f>
        <v/>
      </c>
      <c r="P306" s="8"/>
      <c r="Q306" s="8"/>
    </row>
    <row r="307">
      <c r="A307" s="8"/>
      <c r="B307" s="25"/>
      <c r="C307" s="385" t="s">
        <v>1426</v>
      </c>
      <c r="D307" s="392"/>
      <c r="E307" s="8"/>
      <c r="F307" s="8"/>
      <c r="G307" s="389"/>
      <c r="H307" s="8" t="b">
        <v>0</v>
      </c>
      <c r="I307" s="388" t="str">
        <f>IFERROR(__xludf.DUMMYFUNCTION("""COMPUTED_VALUE"""),"")</f>
        <v/>
      </c>
      <c r="J307" s="7"/>
      <c r="K307" s="8"/>
      <c r="L307" s="8"/>
      <c r="M307" s="8"/>
      <c r="N307" s="8" t="str">
        <f>IFERROR(__xludf.DUMMYFUNCTION("""COMPUTED_VALUE"""),"")</f>
        <v/>
      </c>
      <c r="O307" s="8" t="str">
        <f>IFERROR(__xludf.DUMMYFUNCTION("""COMPUTED_VALUE"""),"")</f>
        <v/>
      </c>
      <c r="P307" s="8"/>
      <c r="Q307" s="8"/>
    </row>
    <row r="308">
      <c r="A308" s="8"/>
      <c r="B308" s="25"/>
      <c r="C308" s="385" t="s">
        <v>1426</v>
      </c>
      <c r="D308" s="392"/>
      <c r="E308" s="8"/>
      <c r="F308" s="8"/>
      <c r="G308" s="389"/>
      <c r="H308" s="8" t="b">
        <v>0</v>
      </c>
      <c r="I308" s="388" t="str">
        <f>IFERROR(__xludf.DUMMYFUNCTION("""COMPUTED_VALUE"""),"")</f>
        <v/>
      </c>
      <c r="J308" s="7"/>
      <c r="K308" s="8"/>
      <c r="L308" s="8"/>
      <c r="M308" s="8"/>
      <c r="N308" s="8" t="str">
        <f>IFERROR(__xludf.DUMMYFUNCTION("""COMPUTED_VALUE"""),"")</f>
        <v/>
      </c>
      <c r="O308" s="8" t="str">
        <f>IFERROR(__xludf.DUMMYFUNCTION("""COMPUTED_VALUE"""),"")</f>
        <v/>
      </c>
      <c r="P308" s="8"/>
      <c r="Q308" s="8"/>
    </row>
    <row r="309">
      <c r="A309" s="8"/>
      <c r="B309" s="25"/>
      <c r="C309" s="385" t="s">
        <v>1426</v>
      </c>
      <c r="D309" s="392"/>
      <c r="E309" s="8"/>
      <c r="F309" s="8"/>
      <c r="G309" s="389"/>
      <c r="H309" s="8" t="b">
        <v>0</v>
      </c>
      <c r="I309" s="388" t="str">
        <f>IFERROR(__xludf.DUMMYFUNCTION("""COMPUTED_VALUE"""),"")</f>
        <v/>
      </c>
      <c r="J309" s="7"/>
      <c r="K309" s="8"/>
      <c r="L309" s="8"/>
      <c r="M309" s="8"/>
      <c r="N309" s="8" t="str">
        <f>IFERROR(__xludf.DUMMYFUNCTION("""COMPUTED_VALUE"""),"")</f>
        <v/>
      </c>
      <c r="O309" s="8" t="str">
        <f>IFERROR(__xludf.DUMMYFUNCTION("""COMPUTED_VALUE"""),"")</f>
        <v/>
      </c>
      <c r="P309" s="8"/>
      <c r="Q309" s="8"/>
    </row>
    <row r="310">
      <c r="A310" s="8"/>
      <c r="B310" s="25"/>
      <c r="C310" s="385" t="s">
        <v>1426</v>
      </c>
      <c r="D310" s="392"/>
      <c r="E310" s="8"/>
      <c r="F310" s="8"/>
      <c r="G310" s="389"/>
      <c r="H310" s="8" t="b">
        <v>0</v>
      </c>
      <c r="I310" s="388" t="str">
        <f>IFERROR(__xludf.DUMMYFUNCTION("""COMPUTED_VALUE"""),"")</f>
        <v/>
      </c>
      <c r="J310" s="7"/>
      <c r="K310" s="8"/>
      <c r="L310" s="8"/>
      <c r="M310" s="8"/>
      <c r="N310" s="8" t="str">
        <f>IFERROR(__xludf.DUMMYFUNCTION("""COMPUTED_VALUE"""),"")</f>
        <v/>
      </c>
      <c r="O310" s="8" t="str">
        <f>IFERROR(__xludf.DUMMYFUNCTION("""COMPUTED_VALUE"""),"")</f>
        <v/>
      </c>
      <c r="P310" s="8"/>
      <c r="Q310" s="8"/>
    </row>
    <row r="311">
      <c r="A311" s="8"/>
      <c r="B311" s="25"/>
      <c r="C311" s="385" t="s">
        <v>1426</v>
      </c>
      <c r="D311" s="392"/>
      <c r="E311" s="8"/>
      <c r="F311" s="8"/>
      <c r="G311" s="389"/>
      <c r="H311" s="8" t="b">
        <v>0</v>
      </c>
      <c r="I311" s="388" t="str">
        <f>IFERROR(__xludf.DUMMYFUNCTION("""COMPUTED_VALUE"""),"")</f>
        <v/>
      </c>
      <c r="J311" s="7"/>
      <c r="K311" s="8"/>
      <c r="L311" s="8"/>
      <c r="M311" s="8"/>
      <c r="N311" s="8" t="str">
        <f>IFERROR(__xludf.DUMMYFUNCTION("""COMPUTED_VALUE"""),"")</f>
        <v/>
      </c>
      <c r="O311" s="8" t="str">
        <f>IFERROR(__xludf.DUMMYFUNCTION("""COMPUTED_VALUE"""),"")</f>
        <v/>
      </c>
      <c r="P311" s="8"/>
      <c r="Q311" s="8"/>
    </row>
    <row r="312">
      <c r="A312" s="8"/>
      <c r="B312" s="25"/>
      <c r="C312" s="385" t="s">
        <v>1426</v>
      </c>
      <c r="D312" s="392"/>
      <c r="E312" s="8"/>
      <c r="F312" s="8"/>
      <c r="G312" s="389"/>
      <c r="H312" s="8" t="b">
        <v>0</v>
      </c>
      <c r="I312" s="388" t="str">
        <f>IFERROR(__xludf.DUMMYFUNCTION("""COMPUTED_VALUE"""),"")</f>
        <v/>
      </c>
      <c r="J312" s="7"/>
      <c r="K312" s="8"/>
      <c r="L312" s="8"/>
      <c r="M312" s="8"/>
      <c r="N312" s="8" t="str">
        <f>IFERROR(__xludf.DUMMYFUNCTION("""COMPUTED_VALUE"""),"")</f>
        <v/>
      </c>
      <c r="O312" s="8" t="str">
        <f>IFERROR(__xludf.DUMMYFUNCTION("""COMPUTED_VALUE"""),"")</f>
        <v/>
      </c>
      <c r="P312" s="8"/>
      <c r="Q312" s="8"/>
    </row>
    <row r="313">
      <c r="A313" s="8"/>
      <c r="B313" s="25"/>
      <c r="C313" s="385" t="s">
        <v>1426</v>
      </c>
      <c r="D313" s="392"/>
      <c r="E313" s="8"/>
      <c r="F313" s="8"/>
      <c r="G313" s="389"/>
      <c r="H313" s="8" t="b">
        <v>0</v>
      </c>
      <c r="I313" s="388" t="str">
        <f>IFERROR(__xludf.DUMMYFUNCTION("""COMPUTED_VALUE"""),"")</f>
        <v/>
      </c>
      <c r="J313" s="7"/>
      <c r="K313" s="8"/>
      <c r="L313" s="8"/>
      <c r="M313" s="8"/>
      <c r="N313" s="8" t="str">
        <f>IFERROR(__xludf.DUMMYFUNCTION("""COMPUTED_VALUE"""),"")</f>
        <v/>
      </c>
      <c r="O313" s="8" t="str">
        <f>IFERROR(__xludf.DUMMYFUNCTION("""COMPUTED_VALUE"""),"")</f>
        <v/>
      </c>
      <c r="P313" s="8"/>
      <c r="Q313" s="8"/>
    </row>
    <row r="314">
      <c r="A314" s="8"/>
      <c r="B314" s="25"/>
      <c r="C314" s="385" t="s">
        <v>1426</v>
      </c>
      <c r="D314" s="392"/>
      <c r="E314" s="8"/>
      <c r="F314" s="8"/>
      <c r="G314" s="389"/>
      <c r="H314" s="8" t="b">
        <v>0</v>
      </c>
      <c r="I314" s="388" t="str">
        <f>IFERROR(__xludf.DUMMYFUNCTION("""COMPUTED_VALUE"""),"")</f>
        <v/>
      </c>
      <c r="J314" s="7"/>
      <c r="K314" s="8"/>
      <c r="L314" s="8"/>
      <c r="M314" s="8"/>
      <c r="N314" s="8" t="str">
        <f>IFERROR(__xludf.DUMMYFUNCTION("""COMPUTED_VALUE"""),"")</f>
        <v/>
      </c>
      <c r="O314" s="8" t="str">
        <f>IFERROR(__xludf.DUMMYFUNCTION("""COMPUTED_VALUE"""),"")</f>
        <v/>
      </c>
      <c r="P314" s="8"/>
      <c r="Q314" s="8"/>
    </row>
    <row r="315">
      <c r="A315" s="8"/>
      <c r="B315" s="25"/>
      <c r="C315" s="385" t="s">
        <v>1426</v>
      </c>
      <c r="D315" s="392"/>
      <c r="E315" s="8"/>
      <c r="F315" s="8"/>
      <c r="G315" s="389"/>
      <c r="H315" s="8" t="b">
        <v>0</v>
      </c>
      <c r="I315" s="388" t="str">
        <f>IFERROR(__xludf.DUMMYFUNCTION("""COMPUTED_VALUE"""),"")</f>
        <v/>
      </c>
      <c r="J315" s="7"/>
      <c r="K315" s="8"/>
      <c r="L315" s="8"/>
      <c r="M315" s="8"/>
      <c r="N315" s="8" t="str">
        <f>IFERROR(__xludf.DUMMYFUNCTION("""COMPUTED_VALUE"""),"")</f>
        <v/>
      </c>
      <c r="O315" s="8" t="str">
        <f>IFERROR(__xludf.DUMMYFUNCTION("""COMPUTED_VALUE"""),"")</f>
        <v/>
      </c>
      <c r="P315" s="8"/>
      <c r="Q315" s="8"/>
    </row>
    <row r="316">
      <c r="A316" s="8"/>
      <c r="B316" s="25"/>
      <c r="C316" s="385" t="s">
        <v>1426</v>
      </c>
      <c r="D316" s="392"/>
      <c r="E316" s="8"/>
      <c r="F316" s="8"/>
      <c r="G316" s="389"/>
      <c r="H316" s="8" t="b">
        <v>0</v>
      </c>
      <c r="I316" s="388" t="str">
        <f>IFERROR(__xludf.DUMMYFUNCTION("""COMPUTED_VALUE"""),"")</f>
        <v/>
      </c>
      <c r="J316" s="7"/>
      <c r="K316" s="8"/>
      <c r="L316" s="8"/>
      <c r="M316" s="8"/>
      <c r="N316" s="8" t="str">
        <f>IFERROR(__xludf.DUMMYFUNCTION("""COMPUTED_VALUE"""),"")</f>
        <v/>
      </c>
      <c r="O316" s="8" t="str">
        <f>IFERROR(__xludf.DUMMYFUNCTION("""COMPUTED_VALUE"""),"")</f>
        <v/>
      </c>
      <c r="P316" s="8"/>
      <c r="Q316" s="8"/>
    </row>
    <row r="317">
      <c r="A317" s="8"/>
      <c r="B317" s="25"/>
      <c r="C317" s="385" t="s">
        <v>1426</v>
      </c>
      <c r="D317" s="392"/>
      <c r="E317" s="8"/>
      <c r="F317" s="8"/>
      <c r="G317" s="389"/>
      <c r="H317" s="8" t="b">
        <v>0</v>
      </c>
      <c r="I317" s="388" t="str">
        <f>IFERROR(__xludf.DUMMYFUNCTION("""COMPUTED_VALUE"""),"")</f>
        <v/>
      </c>
      <c r="J317" s="7"/>
      <c r="K317" s="8"/>
      <c r="L317" s="8"/>
      <c r="M317" s="8"/>
      <c r="N317" s="8" t="str">
        <f>IFERROR(__xludf.DUMMYFUNCTION("""COMPUTED_VALUE"""),"")</f>
        <v/>
      </c>
      <c r="O317" s="8" t="str">
        <f>IFERROR(__xludf.DUMMYFUNCTION("""COMPUTED_VALUE"""),"")</f>
        <v/>
      </c>
      <c r="P317" s="8"/>
      <c r="Q317" s="8"/>
    </row>
    <row r="318">
      <c r="A318" s="8"/>
      <c r="B318" s="25"/>
      <c r="C318" s="385" t="s">
        <v>1426</v>
      </c>
      <c r="D318" s="392"/>
      <c r="E318" s="8"/>
      <c r="F318" s="8"/>
      <c r="G318" s="389"/>
      <c r="H318" s="8" t="b">
        <v>0</v>
      </c>
      <c r="I318" s="388" t="str">
        <f>IFERROR(__xludf.DUMMYFUNCTION("""COMPUTED_VALUE"""),"")</f>
        <v/>
      </c>
      <c r="J318" s="7"/>
      <c r="K318" s="8"/>
      <c r="L318" s="8"/>
      <c r="M318" s="8"/>
      <c r="N318" s="8" t="str">
        <f>IFERROR(__xludf.DUMMYFUNCTION("""COMPUTED_VALUE"""),"")</f>
        <v/>
      </c>
      <c r="O318" s="8" t="str">
        <f>IFERROR(__xludf.DUMMYFUNCTION("""COMPUTED_VALUE"""),"")</f>
        <v/>
      </c>
      <c r="P318" s="8"/>
      <c r="Q318" s="8"/>
    </row>
    <row r="319">
      <c r="A319" s="8"/>
      <c r="B319" s="25"/>
      <c r="C319" s="385" t="s">
        <v>1426</v>
      </c>
      <c r="D319" s="392"/>
      <c r="E319" s="8"/>
      <c r="F319" s="8"/>
      <c r="G319" s="389"/>
      <c r="H319" s="8" t="b">
        <v>0</v>
      </c>
      <c r="I319" s="388" t="str">
        <f>IFERROR(__xludf.DUMMYFUNCTION("""COMPUTED_VALUE"""),"")</f>
        <v/>
      </c>
      <c r="J319" s="7"/>
      <c r="K319" s="8"/>
      <c r="L319" s="8"/>
      <c r="M319" s="8"/>
      <c r="N319" s="8" t="str">
        <f>IFERROR(__xludf.DUMMYFUNCTION("""COMPUTED_VALUE"""),"")</f>
        <v/>
      </c>
      <c r="O319" s="8" t="str">
        <f>IFERROR(__xludf.DUMMYFUNCTION("""COMPUTED_VALUE"""),"")</f>
        <v/>
      </c>
      <c r="P319" s="8"/>
      <c r="Q319" s="8"/>
    </row>
    <row r="320">
      <c r="A320" s="8"/>
      <c r="B320" s="25"/>
      <c r="C320" s="385" t="s">
        <v>1426</v>
      </c>
      <c r="D320" s="392"/>
      <c r="E320" s="8"/>
      <c r="F320" s="8"/>
      <c r="G320" s="389"/>
      <c r="H320" s="8" t="b">
        <v>0</v>
      </c>
      <c r="I320" s="388" t="str">
        <f>IFERROR(__xludf.DUMMYFUNCTION("""COMPUTED_VALUE"""),"")</f>
        <v/>
      </c>
      <c r="J320" s="7"/>
      <c r="K320" s="8"/>
      <c r="L320" s="8"/>
      <c r="M320" s="8"/>
      <c r="N320" s="8" t="str">
        <f>IFERROR(__xludf.DUMMYFUNCTION("""COMPUTED_VALUE"""),"")</f>
        <v/>
      </c>
      <c r="O320" s="8" t="str">
        <f>IFERROR(__xludf.DUMMYFUNCTION("""COMPUTED_VALUE"""),"")</f>
        <v/>
      </c>
      <c r="P320" s="8"/>
      <c r="Q320" s="8"/>
    </row>
    <row r="321">
      <c r="A321" s="8"/>
      <c r="B321" s="25"/>
      <c r="C321" s="385" t="s">
        <v>1426</v>
      </c>
      <c r="D321" s="392"/>
      <c r="E321" s="8"/>
      <c r="F321" s="8"/>
      <c r="G321" s="389"/>
      <c r="H321" s="8" t="b">
        <v>0</v>
      </c>
      <c r="I321" s="388" t="str">
        <f>IFERROR(__xludf.DUMMYFUNCTION("""COMPUTED_VALUE"""),"")</f>
        <v/>
      </c>
      <c r="J321" s="7"/>
      <c r="K321" s="8"/>
      <c r="L321" s="8"/>
      <c r="M321" s="8"/>
      <c r="N321" s="8" t="str">
        <f>IFERROR(__xludf.DUMMYFUNCTION("""COMPUTED_VALUE"""),"")</f>
        <v/>
      </c>
      <c r="O321" s="8" t="str">
        <f>IFERROR(__xludf.DUMMYFUNCTION("""COMPUTED_VALUE"""),"")</f>
        <v/>
      </c>
      <c r="P321" s="8"/>
      <c r="Q321" s="8"/>
    </row>
    <row r="322">
      <c r="A322" s="8"/>
      <c r="B322" s="25"/>
      <c r="C322" s="385" t="s">
        <v>1426</v>
      </c>
      <c r="D322" s="392"/>
      <c r="E322" s="8"/>
      <c r="F322" s="8"/>
      <c r="G322" s="389"/>
      <c r="H322" s="8" t="b">
        <v>0</v>
      </c>
      <c r="I322" s="388" t="str">
        <f>IFERROR(__xludf.DUMMYFUNCTION("""COMPUTED_VALUE"""),"")</f>
        <v/>
      </c>
      <c r="J322" s="7"/>
      <c r="K322" s="8"/>
      <c r="L322" s="8"/>
      <c r="M322" s="8"/>
      <c r="N322" s="8" t="str">
        <f>IFERROR(__xludf.DUMMYFUNCTION("""COMPUTED_VALUE"""),"")</f>
        <v/>
      </c>
      <c r="O322" s="8" t="str">
        <f>IFERROR(__xludf.DUMMYFUNCTION("""COMPUTED_VALUE"""),"")</f>
        <v/>
      </c>
      <c r="P322" s="8"/>
      <c r="Q322" s="8"/>
    </row>
    <row r="323">
      <c r="A323" s="8"/>
      <c r="B323" s="25"/>
      <c r="C323" s="385" t="s">
        <v>1426</v>
      </c>
      <c r="D323" s="392"/>
      <c r="E323" s="8"/>
      <c r="F323" s="8"/>
      <c r="G323" s="389"/>
      <c r="H323" s="8" t="b">
        <v>0</v>
      </c>
      <c r="I323" s="388" t="str">
        <f>IFERROR(__xludf.DUMMYFUNCTION("""COMPUTED_VALUE"""),"")</f>
        <v/>
      </c>
      <c r="J323" s="7"/>
      <c r="K323" s="8"/>
      <c r="L323" s="8"/>
      <c r="M323" s="8"/>
      <c r="N323" s="8" t="str">
        <f>IFERROR(__xludf.DUMMYFUNCTION("""COMPUTED_VALUE"""),"")</f>
        <v/>
      </c>
      <c r="O323" s="8" t="str">
        <f>IFERROR(__xludf.DUMMYFUNCTION("""COMPUTED_VALUE"""),"")</f>
        <v/>
      </c>
      <c r="P323" s="8"/>
      <c r="Q323" s="8"/>
    </row>
    <row r="324">
      <c r="A324" s="8"/>
      <c r="B324" s="25"/>
      <c r="C324" s="385" t="s">
        <v>1426</v>
      </c>
      <c r="D324" s="392"/>
      <c r="E324" s="8"/>
      <c r="F324" s="8"/>
      <c r="G324" s="389"/>
      <c r="H324" s="8" t="b">
        <v>0</v>
      </c>
      <c r="I324" s="388" t="str">
        <f>IFERROR(__xludf.DUMMYFUNCTION("""COMPUTED_VALUE"""),"")</f>
        <v/>
      </c>
      <c r="J324" s="7"/>
      <c r="K324" s="8"/>
      <c r="L324" s="8"/>
      <c r="M324" s="8"/>
      <c r="N324" s="8" t="str">
        <f>IFERROR(__xludf.DUMMYFUNCTION("""COMPUTED_VALUE"""),"")</f>
        <v/>
      </c>
      <c r="O324" s="8" t="str">
        <f>IFERROR(__xludf.DUMMYFUNCTION("""COMPUTED_VALUE"""),"")</f>
        <v/>
      </c>
      <c r="P324" s="8"/>
      <c r="Q324" s="8"/>
    </row>
    <row r="325">
      <c r="A325" s="8"/>
      <c r="B325" s="25"/>
      <c r="C325" s="385" t="s">
        <v>1426</v>
      </c>
      <c r="D325" s="392"/>
      <c r="E325" s="8"/>
      <c r="F325" s="8"/>
      <c r="G325" s="389"/>
      <c r="H325" s="8" t="b">
        <v>0</v>
      </c>
      <c r="I325" s="388" t="str">
        <f>IFERROR(__xludf.DUMMYFUNCTION("""COMPUTED_VALUE"""),"")</f>
        <v/>
      </c>
      <c r="J325" s="7"/>
      <c r="K325" s="8"/>
      <c r="L325" s="8"/>
      <c r="M325" s="8"/>
      <c r="N325" s="8" t="str">
        <f>IFERROR(__xludf.DUMMYFUNCTION("""COMPUTED_VALUE"""),"")</f>
        <v/>
      </c>
      <c r="O325" s="8" t="str">
        <f>IFERROR(__xludf.DUMMYFUNCTION("""COMPUTED_VALUE"""),"")</f>
        <v/>
      </c>
      <c r="P325" s="8"/>
      <c r="Q325" s="8"/>
    </row>
    <row r="326">
      <c r="A326" s="8"/>
      <c r="B326" s="25"/>
      <c r="C326" s="385" t="s">
        <v>1426</v>
      </c>
      <c r="D326" s="392"/>
      <c r="E326" s="8"/>
      <c r="F326" s="8"/>
      <c r="G326" s="389"/>
      <c r="H326" s="8" t="b">
        <v>0</v>
      </c>
      <c r="I326" s="388" t="str">
        <f>IFERROR(__xludf.DUMMYFUNCTION("""COMPUTED_VALUE"""),"")</f>
        <v/>
      </c>
      <c r="J326" s="7"/>
      <c r="K326" s="8"/>
      <c r="L326" s="8"/>
      <c r="M326" s="8"/>
      <c r="N326" s="8" t="str">
        <f>IFERROR(__xludf.DUMMYFUNCTION("""COMPUTED_VALUE"""),"")</f>
        <v/>
      </c>
      <c r="O326" s="8" t="str">
        <f>IFERROR(__xludf.DUMMYFUNCTION("""COMPUTED_VALUE"""),"")</f>
        <v/>
      </c>
      <c r="P326" s="8"/>
      <c r="Q326" s="8"/>
    </row>
    <row r="327">
      <c r="A327" s="8"/>
      <c r="B327" s="25"/>
      <c r="C327" s="385" t="s">
        <v>1426</v>
      </c>
      <c r="D327" s="392"/>
      <c r="E327" s="8"/>
      <c r="F327" s="8"/>
      <c r="G327" s="389"/>
      <c r="H327" s="8" t="b">
        <v>0</v>
      </c>
      <c r="I327" s="388" t="str">
        <f>IFERROR(__xludf.DUMMYFUNCTION("""COMPUTED_VALUE"""),"")</f>
        <v/>
      </c>
      <c r="J327" s="7"/>
      <c r="K327" s="8"/>
      <c r="L327" s="8"/>
      <c r="M327" s="8"/>
      <c r="N327" s="8" t="str">
        <f>IFERROR(__xludf.DUMMYFUNCTION("""COMPUTED_VALUE"""),"")</f>
        <v/>
      </c>
      <c r="O327" s="8" t="str">
        <f>IFERROR(__xludf.DUMMYFUNCTION("""COMPUTED_VALUE"""),"")</f>
        <v/>
      </c>
      <c r="P327" s="8"/>
      <c r="Q327" s="8"/>
    </row>
    <row r="328">
      <c r="A328" s="8"/>
      <c r="B328" s="25"/>
      <c r="C328" s="385" t="s">
        <v>1426</v>
      </c>
      <c r="D328" s="392"/>
      <c r="E328" s="8"/>
      <c r="F328" s="8"/>
      <c r="G328" s="389"/>
      <c r="H328" s="8" t="b">
        <v>0</v>
      </c>
      <c r="I328" s="388" t="str">
        <f>IFERROR(__xludf.DUMMYFUNCTION("""COMPUTED_VALUE"""),"")</f>
        <v/>
      </c>
      <c r="J328" s="7"/>
      <c r="K328" s="8"/>
      <c r="L328" s="8"/>
      <c r="M328" s="8"/>
      <c r="N328" s="8" t="str">
        <f>IFERROR(__xludf.DUMMYFUNCTION("""COMPUTED_VALUE"""),"")</f>
        <v/>
      </c>
      <c r="O328" s="8" t="str">
        <f>IFERROR(__xludf.DUMMYFUNCTION("""COMPUTED_VALUE"""),"")</f>
        <v/>
      </c>
      <c r="P328" s="8"/>
      <c r="Q328" s="8"/>
    </row>
    <row r="329">
      <c r="A329" s="8"/>
      <c r="B329" s="25"/>
      <c r="C329" s="385" t="s">
        <v>1426</v>
      </c>
      <c r="D329" s="392"/>
      <c r="E329" s="8"/>
      <c r="F329" s="8"/>
      <c r="G329" s="389"/>
      <c r="H329" s="8" t="b">
        <v>0</v>
      </c>
      <c r="I329" s="388" t="str">
        <f>IFERROR(__xludf.DUMMYFUNCTION("""COMPUTED_VALUE"""),"")</f>
        <v/>
      </c>
      <c r="J329" s="7"/>
      <c r="K329" s="8"/>
      <c r="L329" s="8"/>
      <c r="M329" s="8"/>
      <c r="N329" s="8" t="str">
        <f>IFERROR(__xludf.DUMMYFUNCTION("""COMPUTED_VALUE"""),"")</f>
        <v/>
      </c>
      <c r="O329" s="8" t="str">
        <f>IFERROR(__xludf.DUMMYFUNCTION("""COMPUTED_VALUE"""),"")</f>
        <v/>
      </c>
      <c r="P329" s="8"/>
      <c r="Q329" s="8"/>
    </row>
    <row r="330">
      <c r="A330" s="8"/>
      <c r="B330" s="25"/>
      <c r="C330" s="385" t="s">
        <v>1426</v>
      </c>
      <c r="D330" s="392"/>
      <c r="E330" s="8"/>
      <c r="F330" s="8"/>
      <c r="G330" s="389"/>
      <c r="H330" s="8" t="b">
        <v>0</v>
      </c>
      <c r="I330" s="388" t="str">
        <f>IFERROR(__xludf.DUMMYFUNCTION("""COMPUTED_VALUE"""),"")</f>
        <v/>
      </c>
      <c r="J330" s="7"/>
      <c r="K330" s="8"/>
      <c r="L330" s="8"/>
      <c r="M330" s="8"/>
      <c r="N330" s="8" t="str">
        <f>IFERROR(__xludf.DUMMYFUNCTION("""COMPUTED_VALUE"""),"")</f>
        <v/>
      </c>
      <c r="O330" s="8" t="str">
        <f>IFERROR(__xludf.DUMMYFUNCTION("""COMPUTED_VALUE"""),"")</f>
        <v/>
      </c>
      <c r="P330" s="8"/>
      <c r="Q330" s="8"/>
    </row>
    <row r="331">
      <c r="A331" s="8"/>
      <c r="B331" s="25"/>
      <c r="C331" s="385" t="s">
        <v>1426</v>
      </c>
      <c r="D331" s="392"/>
      <c r="E331" s="8"/>
      <c r="F331" s="8"/>
      <c r="G331" s="389"/>
      <c r="H331" s="8" t="b">
        <v>0</v>
      </c>
      <c r="I331" s="388" t="str">
        <f>IFERROR(__xludf.DUMMYFUNCTION("""COMPUTED_VALUE"""),"")</f>
        <v/>
      </c>
      <c r="J331" s="7"/>
      <c r="K331" s="8"/>
      <c r="L331" s="8"/>
      <c r="M331" s="8"/>
      <c r="N331" s="8" t="str">
        <f>IFERROR(__xludf.DUMMYFUNCTION("""COMPUTED_VALUE"""),"")</f>
        <v/>
      </c>
      <c r="O331" s="8" t="str">
        <f>IFERROR(__xludf.DUMMYFUNCTION("""COMPUTED_VALUE"""),"")</f>
        <v/>
      </c>
      <c r="P331" s="8"/>
      <c r="Q331" s="8"/>
    </row>
    <row r="332">
      <c r="A332" s="8"/>
      <c r="B332" s="25"/>
      <c r="C332" s="385" t="s">
        <v>1426</v>
      </c>
      <c r="D332" s="392"/>
      <c r="E332" s="8"/>
      <c r="F332" s="8"/>
      <c r="G332" s="389"/>
      <c r="H332" s="8" t="b">
        <v>0</v>
      </c>
      <c r="I332" s="388" t="str">
        <f>IFERROR(__xludf.DUMMYFUNCTION("""COMPUTED_VALUE"""),"")</f>
        <v/>
      </c>
      <c r="J332" s="7"/>
      <c r="K332" s="8"/>
      <c r="L332" s="8"/>
      <c r="M332" s="8"/>
      <c r="N332" s="8" t="str">
        <f>IFERROR(__xludf.DUMMYFUNCTION("""COMPUTED_VALUE"""),"")</f>
        <v/>
      </c>
      <c r="O332" s="8" t="str">
        <f>IFERROR(__xludf.DUMMYFUNCTION("""COMPUTED_VALUE"""),"")</f>
        <v/>
      </c>
      <c r="P332" s="8"/>
      <c r="Q332" s="8"/>
    </row>
    <row r="333">
      <c r="A333" s="8"/>
      <c r="B333" s="25"/>
      <c r="C333" s="385" t="s">
        <v>1426</v>
      </c>
      <c r="D333" s="392"/>
      <c r="E333" s="8"/>
      <c r="F333" s="8"/>
      <c r="G333" s="389"/>
      <c r="H333" s="8" t="b">
        <v>0</v>
      </c>
      <c r="I333" s="388" t="str">
        <f>IFERROR(__xludf.DUMMYFUNCTION("""COMPUTED_VALUE"""),"")</f>
        <v/>
      </c>
      <c r="J333" s="7"/>
      <c r="K333" s="8"/>
      <c r="L333" s="8"/>
      <c r="M333" s="8"/>
      <c r="N333" s="8" t="str">
        <f>IFERROR(__xludf.DUMMYFUNCTION("""COMPUTED_VALUE"""),"")</f>
        <v/>
      </c>
      <c r="O333" s="8" t="str">
        <f>IFERROR(__xludf.DUMMYFUNCTION("""COMPUTED_VALUE"""),"")</f>
        <v/>
      </c>
      <c r="P333" s="8"/>
      <c r="Q333" s="8"/>
    </row>
    <row r="334">
      <c r="A334" s="8"/>
      <c r="B334" s="25"/>
      <c r="C334" s="385" t="s">
        <v>1426</v>
      </c>
      <c r="D334" s="392"/>
      <c r="E334" s="8"/>
      <c r="F334" s="8"/>
      <c r="G334" s="389"/>
      <c r="H334" s="8" t="b">
        <v>0</v>
      </c>
      <c r="I334" s="388" t="str">
        <f>IFERROR(__xludf.DUMMYFUNCTION("""COMPUTED_VALUE"""),"")</f>
        <v/>
      </c>
      <c r="J334" s="7"/>
      <c r="K334" s="8"/>
      <c r="L334" s="8"/>
      <c r="M334" s="8"/>
      <c r="N334" s="8" t="str">
        <f>IFERROR(__xludf.DUMMYFUNCTION("""COMPUTED_VALUE"""),"")</f>
        <v/>
      </c>
      <c r="O334" s="8" t="str">
        <f>IFERROR(__xludf.DUMMYFUNCTION("""COMPUTED_VALUE"""),"")</f>
        <v/>
      </c>
      <c r="P334" s="8"/>
      <c r="Q334" s="8"/>
    </row>
    <row r="335">
      <c r="A335" s="8"/>
      <c r="B335" s="25"/>
      <c r="C335" s="385" t="s">
        <v>1426</v>
      </c>
      <c r="D335" s="392"/>
      <c r="E335" s="8"/>
      <c r="F335" s="8"/>
      <c r="G335" s="389"/>
      <c r="H335" s="8" t="b">
        <v>0</v>
      </c>
      <c r="I335" s="388" t="str">
        <f>IFERROR(__xludf.DUMMYFUNCTION("""COMPUTED_VALUE"""),"")</f>
        <v/>
      </c>
      <c r="J335" s="7"/>
      <c r="K335" s="8"/>
      <c r="L335" s="8"/>
      <c r="M335" s="8"/>
      <c r="N335" s="8" t="str">
        <f>IFERROR(__xludf.DUMMYFUNCTION("""COMPUTED_VALUE"""),"")</f>
        <v/>
      </c>
      <c r="O335" s="8" t="str">
        <f>IFERROR(__xludf.DUMMYFUNCTION("""COMPUTED_VALUE"""),"")</f>
        <v/>
      </c>
      <c r="P335" s="8"/>
      <c r="Q335" s="8"/>
    </row>
    <row r="336">
      <c r="A336" s="8"/>
      <c r="B336" s="25"/>
      <c r="C336" s="385" t="s">
        <v>1426</v>
      </c>
      <c r="D336" s="392"/>
      <c r="E336" s="8"/>
      <c r="F336" s="8"/>
      <c r="G336" s="389"/>
      <c r="H336" s="8" t="b">
        <v>0</v>
      </c>
      <c r="I336" s="388" t="str">
        <f>IFERROR(__xludf.DUMMYFUNCTION("""COMPUTED_VALUE"""),"")</f>
        <v/>
      </c>
      <c r="J336" s="7"/>
      <c r="K336" s="8"/>
      <c r="L336" s="8"/>
      <c r="M336" s="8"/>
      <c r="N336" s="8" t="str">
        <f>IFERROR(__xludf.DUMMYFUNCTION("""COMPUTED_VALUE"""),"")</f>
        <v/>
      </c>
      <c r="O336" s="8" t="str">
        <f>IFERROR(__xludf.DUMMYFUNCTION("""COMPUTED_VALUE"""),"")</f>
        <v/>
      </c>
      <c r="P336" s="8"/>
      <c r="Q336" s="8"/>
    </row>
    <row r="337">
      <c r="A337" s="8"/>
      <c r="B337" s="25"/>
      <c r="C337" s="385" t="s">
        <v>1426</v>
      </c>
      <c r="D337" s="392"/>
      <c r="E337" s="8"/>
      <c r="F337" s="8"/>
      <c r="G337" s="389"/>
      <c r="H337" s="8" t="b">
        <v>0</v>
      </c>
      <c r="I337" s="388" t="str">
        <f>IFERROR(__xludf.DUMMYFUNCTION("""COMPUTED_VALUE"""),"")</f>
        <v/>
      </c>
      <c r="J337" s="7"/>
      <c r="K337" s="8"/>
      <c r="L337" s="8"/>
      <c r="M337" s="8"/>
      <c r="N337" s="8" t="str">
        <f>IFERROR(__xludf.DUMMYFUNCTION("""COMPUTED_VALUE"""),"")</f>
        <v/>
      </c>
      <c r="O337" s="8" t="str">
        <f>IFERROR(__xludf.DUMMYFUNCTION("""COMPUTED_VALUE"""),"")</f>
        <v/>
      </c>
      <c r="P337" s="8"/>
      <c r="Q337" s="8"/>
    </row>
    <row r="338">
      <c r="A338" s="8"/>
      <c r="B338" s="25"/>
      <c r="C338" s="385" t="s">
        <v>1426</v>
      </c>
      <c r="D338" s="392"/>
      <c r="E338" s="8"/>
      <c r="F338" s="8"/>
      <c r="G338" s="389"/>
      <c r="H338" s="8" t="b">
        <v>0</v>
      </c>
      <c r="I338" s="388" t="str">
        <f>IFERROR(__xludf.DUMMYFUNCTION("""COMPUTED_VALUE"""),"")</f>
        <v/>
      </c>
      <c r="J338" s="7"/>
      <c r="K338" s="8"/>
      <c r="L338" s="8"/>
      <c r="M338" s="8"/>
      <c r="N338" s="8" t="str">
        <f>IFERROR(__xludf.DUMMYFUNCTION("""COMPUTED_VALUE"""),"")</f>
        <v/>
      </c>
      <c r="O338" s="8" t="str">
        <f>IFERROR(__xludf.DUMMYFUNCTION("""COMPUTED_VALUE"""),"")</f>
        <v/>
      </c>
      <c r="P338" s="8"/>
      <c r="Q338" s="8"/>
    </row>
    <row r="339">
      <c r="A339" s="8"/>
      <c r="B339" s="25"/>
      <c r="C339" s="385" t="s">
        <v>1426</v>
      </c>
      <c r="D339" s="392"/>
      <c r="E339" s="8"/>
      <c r="F339" s="8"/>
      <c r="G339" s="389"/>
      <c r="H339" s="8" t="b">
        <v>0</v>
      </c>
      <c r="I339" s="388" t="str">
        <f>IFERROR(__xludf.DUMMYFUNCTION("""COMPUTED_VALUE"""),"")</f>
        <v/>
      </c>
      <c r="J339" s="7"/>
      <c r="K339" s="8"/>
      <c r="L339" s="8"/>
      <c r="M339" s="8"/>
      <c r="N339" s="8" t="str">
        <f>IFERROR(__xludf.DUMMYFUNCTION("""COMPUTED_VALUE"""),"")</f>
        <v/>
      </c>
      <c r="O339" s="8" t="str">
        <f>IFERROR(__xludf.DUMMYFUNCTION("""COMPUTED_VALUE"""),"")</f>
        <v/>
      </c>
      <c r="P339" s="8"/>
      <c r="Q339" s="8"/>
    </row>
    <row r="340">
      <c r="A340" s="8"/>
      <c r="B340" s="25"/>
      <c r="C340" s="385" t="s">
        <v>1426</v>
      </c>
      <c r="D340" s="392"/>
      <c r="E340" s="8"/>
      <c r="F340" s="8"/>
      <c r="G340" s="389"/>
      <c r="H340" s="8" t="b">
        <v>0</v>
      </c>
      <c r="I340" s="388" t="str">
        <f>IFERROR(__xludf.DUMMYFUNCTION("""COMPUTED_VALUE"""),"")</f>
        <v/>
      </c>
      <c r="J340" s="7"/>
      <c r="K340" s="8"/>
      <c r="L340" s="8"/>
      <c r="M340" s="8"/>
      <c r="N340" s="8" t="str">
        <f>IFERROR(__xludf.DUMMYFUNCTION("""COMPUTED_VALUE"""),"")</f>
        <v/>
      </c>
      <c r="O340" s="8" t="str">
        <f>IFERROR(__xludf.DUMMYFUNCTION("""COMPUTED_VALUE"""),"")</f>
        <v/>
      </c>
      <c r="P340" s="8"/>
      <c r="Q340" s="8"/>
    </row>
    <row r="341">
      <c r="A341" s="8"/>
      <c r="B341" s="25"/>
      <c r="C341" s="385" t="s">
        <v>1426</v>
      </c>
      <c r="D341" s="392"/>
      <c r="E341" s="8"/>
      <c r="F341" s="8"/>
      <c r="G341" s="389"/>
      <c r="H341" s="8" t="b">
        <v>0</v>
      </c>
      <c r="I341" s="388" t="str">
        <f>IFERROR(__xludf.DUMMYFUNCTION("""COMPUTED_VALUE"""),"")</f>
        <v/>
      </c>
      <c r="J341" s="7"/>
      <c r="K341" s="8"/>
      <c r="L341" s="8"/>
      <c r="M341" s="8"/>
      <c r="N341" s="8" t="str">
        <f>IFERROR(__xludf.DUMMYFUNCTION("""COMPUTED_VALUE"""),"")</f>
        <v/>
      </c>
      <c r="O341" s="8" t="str">
        <f>IFERROR(__xludf.DUMMYFUNCTION("""COMPUTED_VALUE"""),"")</f>
        <v/>
      </c>
      <c r="P341" s="8"/>
      <c r="Q341" s="8"/>
    </row>
    <row r="342">
      <c r="A342" s="8"/>
      <c r="B342" s="25"/>
      <c r="C342" s="385" t="s">
        <v>1426</v>
      </c>
      <c r="D342" s="392"/>
      <c r="E342" s="8"/>
      <c r="F342" s="8"/>
      <c r="G342" s="389"/>
      <c r="H342" s="8" t="b">
        <v>0</v>
      </c>
      <c r="I342" s="388" t="str">
        <f>IFERROR(__xludf.DUMMYFUNCTION("""COMPUTED_VALUE"""),"")</f>
        <v/>
      </c>
      <c r="J342" s="7"/>
      <c r="K342" s="8"/>
      <c r="L342" s="8"/>
      <c r="M342" s="8"/>
      <c r="N342" s="8" t="str">
        <f>IFERROR(__xludf.DUMMYFUNCTION("""COMPUTED_VALUE"""),"")</f>
        <v/>
      </c>
      <c r="O342" s="8" t="str">
        <f>IFERROR(__xludf.DUMMYFUNCTION("""COMPUTED_VALUE"""),"")</f>
        <v/>
      </c>
      <c r="P342" s="8"/>
      <c r="Q342" s="8"/>
    </row>
    <row r="343">
      <c r="A343" s="8"/>
      <c r="B343" s="25"/>
      <c r="C343" s="385" t="s">
        <v>1426</v>
      </c>
      <c r="D343" s="392"/>
      <c r="E343" s="8"/>
      <c r="F343" s="8"/>
      <c r="G343" s="389"/>
      <c r="H343" s="8" t="b">
        <v>0</v>
      </c>
      <c r="I343" s="388" t="str">
        <f>IFERROR(__xludf.DUMMYFUNCTION("""COMPUTED_VALUE"""),"")</f>
        <v/>
      </c>
      <c r="J343" s="7"/>
      <c r="K343" s="8"/>
      <c r="L343" s="8"/>
      <c r="M343" s="8"/>
      <c r="N343" s="8" t="str">
        <f>IFERROR(__xludf.DUMMYFUNCTION("""COMPUTED_VALUE"""),"")</f>
        <v/>
      </c>
      <c r="O343" s="8" t="str">
        <f>IFERROR(__xludf.DUMMYFUNCTION("""COMPUTED_VALUE"""),"")</f>
        <v/>
      </c>
      <c r="P343" s="8"/>
      <c r="Q343" s="8"/>
    </row>
    <row r="344">
      <c r="A344" s="8"/>
      <c r="B344" s="25"/>
      <c r="C344" s="385" t="s">
        <v>1426</v>
      </c>
      <c r="D344" s="392"/>
      <c r="E344" s="8"/>
      <c r="F344" s="8"/>
      <c r="G344" s="389"/>
      <c r="H344" s="8" t="b">
        <v>0</v>
      </c>
      <c r="I344" s="388" t="str">
        <f>IFERROR(__xludf.DUMMYFUNCTION("""COMPUTED_VALUE"""),"")</f>
        <v/>
      </c>
      <c r="J344" s="7"/>
      <c r="K344" s="8"/>
      <c r="L344" s="8"/>
      <c r="M344" s="8"/>
      <c r="N344" s="8" t="str">
        <f>IFERROR(__xludf.DUMMYFUNCTION("""COMPUTED_VALUE"""),"")</f>
        <v/>
      </c>
      <c r="O344" s="8" t="str">
        <f>IFERROR(__xludf.DUMMYFUNCTION("""COMPUTED_VALUE"""),"")</f>
        <v/>
      </c>
      <c r="P344" s="8"/>
      <c r="Q344" s="8"/>
    </row>
    <row r="345">
      <c r="A345" s="8"/>
      <c r="B345" s="25"/>
      <c r="C345" s="385" t="s">
        <v>1426</v>
      </c>
      <c r="D345" s="392"/>
      <c r="E345" s="8"/>
      <c r="F345" s="8"/>
      <c r="G345" s="389"/>
      <c r="H345" s="8" t="b">
        <v>0</v>
      </c>
      <c r="I345" s="388" t="str">
        <f>IFERROR(__xludf.DUMMYFUNCTION("""COMPUTED_VALUE"""),"")</f>
        <v/>
      </c>
      <c r="J345" s="7"/>
      <c r="K345" s="8"/>
      <c r="L345" s="8"/>
      <c r="M345" s="8"/>
      <c r="N345" s="8" t="str">
        <f>IFERROR(__xludf.DUMMYFUNCTION("""COMPUTED_VALUE"""),"")</f>
        <v/>
      </c>
      <c r="O345" s="8" t="str">
        <f>IFERROR(__xludf.DUMMYFUNCTION("""COMPUTED_VALUE"""),"")</f>
        <v/>
      </c>
      <c r="P345" s="8"/>
      <c r="Q345" s="8"/>
    </row>
    <row r="346">
      <c r="A346" s="8"/>
      <c r="B346" s="25"/>
      <c r="C346" s="385" t="s">
        <v>1426</v>
      </c>
      <c r="D346" s="392"/>
      <c r="E346" s="8"/>
      <c r="F346" s="8"/>
      <c r="G346" s="389"/>
      <c r="H346" s="8" t="b">
        <v>0</v>
      </c>
      <c r="I346" s="388" t="str">
        <f>IFERROR(__xludf.DUMMYFUNCTION("""COMPUTED_VALUE"""),"")</f>
        <v/>
      </c>
      <c r="J346" s="7"/>
      <c r="K346" s="8"/>
      <c r="L346" s="8"/>
      <c r="M346" s="8"/>
      <c r="N346" s="8" t="str">
        <f>IFERROR(__xludf.DUMMYFUNCTION("""COMPUTED_VALUE"""),"")</f>
        <v/>
      </c>
      <c r="O346" s="8" t="str">
        <f>IFERROR(__xludf.DUMMYFUNCTION("""COMPUTED_VALUE"""),"")</f>
        <v/>
      </c>
      <c r="P346" s="8"/>
      <c r="Q346" s="8"/>
    </row>
    <row r="347">
      <c r="A347" s="8"/>
      <c r="B347" s="25"/>
      <c r="C347" s="385" t="s">
        <v>1426</v>
      </c>
      <c r="D347" s="392"/>
      <c r="E347" s="8"/>
      <c r="F347" s="8"/>
      <c r="G347" s="389"/>
      <c r="H347" s="8" t="b">
        <v>0</v>
      </c>
      <c r="I347" s="388" t="str">
        <f>IFERROR(__xludf.DUMMYFUNCTION("""COMPUTED_VALUE"""),"")</f>
        <v/>
      </c>
      <c r="J347" s="7"/>
      <c r="K347" s="8"/>
      <c r="L347" s="8"/>
      <c r="M347" s="8"/>
      <c r="N347" s="8" t="str">
        <f>IFERROR(__xludf.DUMMYFUNCTION("""COMPUTED_VALUE"""),"")</f>
        <v/>
      </c>
      <c r="O347" s="8" t="str">
        <f>IFERROR(__xludf.DUMMYFUNCTION("""COMPUTED_VALUE"""),"")</f>
        <v/>
      </c>
      <c r="P347" s="8"/>
      <c r="Q347" s="8"/>
    </row>
    <row r="348">
      <c r="A348" s="8"/>
      <c r="B348" s="25"/>
      <c r="C348" s="385" t="s">
        <v>1426</v>
      </c>
      <c r="D348" s="392"/>
      <c r="E348" s="8"/>
      <c r="F348" s="8"/>
      <c r="G348" s="389"/>
      <c r="H348" s="8" t="b">
        <v>0</v>
      </c>
      <c r="I348" s="388" t="str">
        <f>IFERROR(__xludf.DUMMYFUNCTION("""COMPUTED_VALUE"""),"")</f>
        <v/>
      </c>
      <c r="J348" s="7"/>
      <c r="K348" s="8"/>
      <c r="L348" s="8"/>
      <c r="M348" s="8"/>
      <c r="N348" s="8" t="str">
        <f>IFERROR(__xludf.DUMMYFUNCTION("""COMPUTED_VALUE"""),"")</f>
        <v/>
      </c>
      <c r="O348" s="8" t="str">
        <f>IFERROR(__xludf.DUMMYFUNCTION("""COMPUTED_VALUE"""),"")</f>
        <v/>
      </c>
      <c r="P348" s="8"/>
      <c r="Q348" s="8"/>
    </row>
    <row r="349">
      <c r="A349" s="8"/>
      <c r="B349" s="25"/>
      <c r="C349" s="385" t="s">
        <v>1426</v>
      </c>
      <c r="D349" s="392"/>
      <c r="E349" s="8"/>
      <c r="F349" s="8"/>
      <c r="G349" s="389"/>
      <c r="H349" s="8" t="b">
        <v>0</v>
      </c>
      <c r="I349" s="388" t="str">
        <f>IFERROR(__xludf.DUMMYFUNCTION("""COMPUTED_VALUE"""),"")</f>
        <v/>
      </c>
      <c r="J349" s="7"/>
      <c r="K349" s="8"/>
      <c r="L349" s="8"/>
      <c r="M349" s="8"/>
      <c r="N349" s="8" t="str">
        <f>IFERROR(__xludf.DUMMYFUNCTION("""COMPUTED_VALUE"""),"")</f>
        <v/>
      </c>
      <c r="O349" s="8" t="str">
        <f>IFERROR(__xludf.DUMMYFUNCTION("""COMPUTED_VALUE"""),"")</f>
        <v/>
      </c>
      <c r="P349" s="8"/>
      <c r="Q349" s="8"/>
    </row>
    <row r="350">
      <c r="A350" s="8"/>
      <c r="B350" s="25"/>
      <c r="C350" s="385" t="s">
        <v>1426</v>
      </c>
      <c r="D350" s="392"/>
      <c r="E350" s="8"/>
      <c r="F350" s="8"/>
      <c r="G350" s="389"/>
      <c r="H350" s="8" t="b">
        <v>0</v>
      </c>
      <c r="I350" s="388" t="str">
        <f>IFERROR(__xludf.DUMMYFUNCTION("""COMPUTED_VALUE"""),"")</f>
        <v/>
      </c>
      <c r="J350" s="7"/>
      <c r="K350" s="8"/>
      <c r="L350" s="8"/>
      <c r="M350" s="8"/>
      <c r="N350" s="8" t="str">
        <f>IFERROR(__xludf.DUMMYFUNCTION("""COMPUTED_VALUE"""),"")</f>
        <v/>
      </c>
      <c r="O350" s="8" t="str">
        <f>IFERROR(__xludf.DUMMYFUNCTION("""COMPUTED_VALUE"""),"")</f>
        <v/>
      </c>
      <c r="P350" s="8"/>
      <c r="Q350" s="8"/>
    </row>
    <row r="351">
      <c r="A351" s="8"/>
      <c r="B351" s="25"/>
      <c r="C351" s="385" t="s">
        <v>1426</v>
      </c>
      <c r="D351" s="392"/>
      <c r="E351" s="8"/>
      <c r="F351" s="8"/>
      <c r="G351" s="389"/>
      <c r="H351" s="8" t="b">
        <v>0</v>
      </c>
      <c r="I351" s="388" t="str">
        <f>IFERROR(__xludf.DUMMYFUNCTION("""COMPUTED_VALUE"""),"")</f>
        <v/>
      </c>
      <c r="J351" s="7"/>
      <c r="K351" s="8"/>
      <c r="L351" s="8"/>
      <c r="M351" s="8"/>
      <c r="N351" s="8" t="str">
        <f>IFERROR(__xludf.DUMMYFUNCTION("""COMPUTED_VALUE"""),"")</f>
        <v/>
      </c>
      <c r="O351" s="8" t="str">
        <f>IFERROR(__xludf.DUMMYFUNCTION("""COMPUTED_VALUE"""),"")</f>
        <v/>
      </c>
      <c r="P351" s="8"/>
      <c r="Q351" s="8"/>
    </row>
    <row r="352">
      <c r="A352" s="8"/>
      <c r="B352" s="25"/>
      <c r="C352" s="385" t="s">
        <v>1426</v>
      </c>
      <c r="D352" s="392"/>
      <c r="E352" s="8"/>
      <c r="F352" s="8"/>
      <c r="G352" s="389"/>
      <c r="H352" s="8" t="b">
        <v>0</v>
      </c>
      <c r="I352" s="388" t="str">
        <f>IFERROR(__xludf.DUMMYFUNCTION("""COMPUTED_VALUE"""),"")</f>
        <v/>
      </c>
      <c r="J352" s="7"/>
      <c r="K352" s="8"/>
      <c r="L352" s="8"/>
      <c r="M352" s="8"/>
      <c r="N352" s="8" t="str">
        <f>IFERROR(__xludf.DUMMYFUNCTION("""COMPUTED_VALUE"""),"")</f>
        <v/>
      </c>
      <c r="O352" s="8" t="str">
        <f>IFERROR(__xludf.DUMMYFUNCTION("""COMPUTED_VALUE"""),"")</f>
        <v/>
      </c>
      <c r="P352" s="8"/>
      <c r="Q352" s="8"/>
    </row>
    <row r="353">
      <c r="A353" s="8"/>
      <c r="B353" s="25"/>
      <c r="C353" s="385" t="s">
        <v>1426</v>
      </c>
      <c r="D353" s="392"/>
      <c r="E353" s="8"/>
      <c r="F353" s="8"/>
      <c r="G353" s="389"/>
      <c r="H353" s="8" t="b">
        <v>0</v>
      </c>
      <c r="I353" s="388" t="str">
        <f>IFERROR(__xludf.DUMMYFUNCTION("""COMPUTED_VALUE"""),"")</f>
        <v/>
      </c>
      <c r="J353" s="7"/>
      <c r="K353" s="8"/>
      <c r="L353" s="8"/>
      <c r="M353" s="8"/>
      <c r="N353" s="8" t="str">
        <f>IFERROR(__xludf.DUMMYFUNCTION("""COMPUTED_VALUE"""),"")</f>
        <v/>
      </c>
      <c r="O353" s="8" t="str">
        <f>IFERROR(__xludf.DUMMYFUNCTION("""COMPUTED_VALUE"""),"")</f>
        <v/>
      </c>
      <c r="P353" s="8"/>
      <c r="Q353" s="8"/>
    </row>
    <row r="354">
      <c r="A354" s="8"/>
      <c r="B354" s="25"/>
      <c r="C354" s="385" t="s">
        <v>1426</v>
      </c>
      <c r="D354" s="392"/>
      <c r="E354" s="8"/>
      <c r="F354" s="8"/>
      <c r="G354" s="389"/>
      <c r="H354" s="8" t="b">
        <v>0</v>
      </c>
      <c r="I354" s="388" t="str">
        <f>IFERROR(__xludf.DUMMYFUNCTION("""COMPUTED_VALUE"""),"")</f>
        <v/>
      </c>
      <c r="J354" s="7"/>
      <c r="K354" s="8"/>
      <c r="L354" s="8"/>
      <c r="M354" s="8"/>
      <c r="N354" s="8" t="str">
        <f>IFERROR(__xludf.DUMMYFUNCTION("""COMPUTED_VALUE"""),"")</f>
        <v/>
      </c>
      <c r="O354" s="8" t="str">
        <f>IFERROR(__xludf.DUMMYFUNCTION("""COMPUTED_VALUE"""),"")</f>
        <v/>
      </c>
      <c r="P354" s="8"/>
      <c r="Q354" s="8"/>
    </row>
    <row r="355">
      <c r="A355" s="8"/>
      <c r="B355" s="25"/>
      <c r="C355" s="385" t="s">
        <v>1426</v>
      </c>
      <c r="D355" s="392"/>
      <c r="E355" s="8"/>
      <c r="F355" s="8"/>
      <c r="G355" s="389"/>
      <c r="H355" s="8" t="b">
        <v>0</v>
      </c>
      <c r="I355" s="388" t="str">
        <f>IFERROR(__xludf.DUMMYFUNCTION("""COMPUTED_VALUE"""),"")</f>
        <v/>
      </c>
      <c r="J355" s="7"/>
      <c r="K355" s="8"/>
      <c r="L355" s="8"/>
      <c r="M355" s="8"/>
      <c r="N355" s="8" t="str">
        <f>IFERROR(__xludf.DUMMYFUNCTION("""COMPUTED_VALUE"""),"")</f>
        <v/>
      </c>
      <c r="O355" s="8" t="str">
        <f>IFERROR(__xludf.DUMMYFUNCTION("""COMPUTED_VALUE"""),"")</f>
        <v/>
      </c>
      <c r="P355" s="8"/>
      <c r="Q355" s="8"/>
    </row>
    <row r="356">
      <c r="A356" s="8"/>
      <c r="B356" s="25"/>
      <c r="C356" s="385" t="s">
        <v>1426</v>
      </c>
      <c r="D356" s="392"/>
      <c r="E356" s="8"/>
      <c r="F356" s="8"/>
      <c r="G356" s="389"/>
      <c r="H356" s="8" t="b">
        <v>0</v>
      </c>
      <c r="I356" s="388" t="str">
        <f>IFERROR(__xludf.DUMMYFUNCTION("""COMPUTED_VALUE"""),"")</f>
        <v/>
      </c>
      <c r="J356" s="7"/>
      <c r="K356" s="8"/>
      <c r="L356" s="8"/>
      <c r="M356" s="8"/>
      <c r="N356" s="8" t="str">
        <f>IFERROR(__xludf.DUMMYFUNCTION("""COMPUTED_VALUE"""),"")</f>
        <v/>
      </c>
      <c r="O356" s="8" t="str">
        <f>IFERROR(__xludf.DUMMYFUNCTION("""COMPUTED_VALUE"""),"")</f>
        <v/>
      </c>
      <c r="P356" s="8"/>
      <c r="Q356" s="8"/>
    </row>
    <row r="357">
      <c r="A357" s="8"/>
      <c r="B357" s="25"/>
      <c r="C357" s="385" t="s">
        <v>1426</v>
      </c>
      <c r="D357" s="392"/>
      <c r="E357" s="8"/>
      <c r="F357" s="8"/>
      <c r="G357" s="389"/>
      <c r="H357" s="8" t="b">
        <v>0</v>
      </c>
      <c r="I357" s="388" t="str">
        <f>IFERROR(__xludf.DUMMYFUNCTION("""COMPUTED_VALUE"""),"")</f>
        <v/>
      </c>
      <c r="J357" s="7"/>
      <c r="K357" s="8"/>
      <c r="L357" s="8"/>
      <c r="M357" s="8"/>
      <c r="N357" s="8" t="str">
        <f>IFERROR(__xludf.DUMMYFUNCTION("""COMPUTED_VALUE"""),"")</f>
        <v/>
      </c>
      <c r="O357" s="8" t="str">
        <f>IFERROR(__xludf.DUMMYFUNCTION("""COMPUTED_VALUE"""),"")</f>
        <v/>
      </c>
      <c r="P357" s="8"/>
      <c r="Q357" s="8"/>
    </row>
    <row r="358">
      <c r="A358" s="8"/>
      <c r="B358" s="25"/>
      <c r="C358" s="385" t="s">
        <v>1426</v>
      </c>
      <c r="D358" s="392"/>
      <c r="E358" s="8"/>
      <c r="F358" s="8"/>
      <c r="G358" s="389"/>
      <c r="H358" s="8" t="b">
        <v>0</v>
      </c>
      <c r="I358" s="388" t="str">
        <f>IFERROR(__xludf.DUMMYFUNCTION("""COMPUTED_VALUE"""),"")</f>
        <v/>
      </c>
      <c r="J358" s="7"/>
      <c r="K358" s="8"/>
      <c r="L358" s="8"/>
      <c r="M358" s="8"/>
      <c r="N358" s="8" t="str">
        <f>IFERROR(__xludf.DUMMYFUNCTION("""COMPUTED_VALUE"""),"")</f>
        <v/>
      </c>
      <c r="O358" s="8" t="str">
        <f>IFERROR(__xludf.DUMMYFUNCTION("""COMPUTED_VALUE"""),"")</f>
        <v/>
      </c>
      <c r="P358" s="8"/>
      <c r="Q358" s="8"/>
    </row>
    <row r="359">
      <c r="A359" s="8"/>
      <c r="B359" s="25"/>
      <c r="C359" s="385" t="s">
        <v>1426</v>
      </c>
      <c r="D359" s="392"/>
      <c r="E359" s="8"/>
      <c r="F359" s="8"/>
      <c r="G359" s="389"/>
      <c r="H359" s="8" t="b">
        <v>0</v>
      </c>
      <c r="I359" s="388" t="str">
        <f>IFERROR(__xludf.DUMMYFUNCTION("""COMPUTED_VALUE"""),"")</f>
        <v/>
      </c>
      <c r="J359" s="7"/>
      <c r="K359" s="8"/>
      <c r="L359" s="8"/>
      <c r="M359" s="8"/>
      <c r="N359" s="8" t="str">
        <f>IFERROR(__xludf.DUMMYFUNCTION("""COMPUTED_VALUE"""),"")</f>
        <v/>
      </c>
      <c r="O359" s="8" t="str">
        <f>IFERROR(__xludf.DUMMYFUNCTION("""COMPUTED_VALUE"""),"")</f>
        <v/>
      </c>
      <c r="P359" s="8"/>
      <c r="Q359" s="8"/>
    </row>
    <row r="360">
      <c r="A360" s="8"/>
      <c r="B360" s="25"/>
      <c r="C360" s="385" t="s">
        <v>1426</v>
      </c>
      <c r="D360" s="392"/>
      <c r="E360" s="8"/>
      <c r="F360" s="8"/>
      <c r="G360" s="389"/>
      <c r="H360" s="8" t="b">
        <v>0</v>
      </c>
      <c r="I360" s="388" t="str">
        <f>IFERROR(__xludf.DUMMYFUNCTION("""COMPUTED_VALUE"""),"")</f>
        <v/>
      </c>
      <c r="J360" s="7"/>
      <c r="K360" s="8"/>
      <c r="L360" s="8"/>
      <c r="M360" s="8"/>
      <c r="N360" s="8" t="str">
        <f>IFERROR(__xludf.DUMMYFUNCTION("""COMPUTED_VALUE"""),"")</f>
        <v/>
      </c>
      <c r="O360" s="8" t="str">
        <f>IFERROR(__xludf.DUMMYFUNCTION("""COMPUTED_VALUE"""),"")</f>
        <v/>
      </c>
      <c r="P360" s="8"/>
      <c r="Q360" s="8"/>
    </row>
    <row r="361">
      <c r="A361" s="8"/>
      <c r="B361" s="25"/>
      <c r="C361" s="385" t="s">
        <v>1426</v>
      </c>
      <c r="D361" s="392"/>
      <c r="E361" s="8"/>
      <c r="F361" s="8"/>
      <c r="G361" s="389"/>
      <c r="H361" s="8" t="b">
        <v>0</v>
      </c>
      <c r="I361" s="388" t="str">
        <f>IFERROR(__xludf.DUMMYFUNCTION("""COMPUTED_VALUE"""),"")</f>
        <v/>
      </c>
      <c r="J361" s="7"/>
      <c r="K361" s="8"/>
      <c r="L361" s="8"/>
      <c r="M361" s="8"/>
      <c r="N361" s="8" t="str">
        <f>IFERROR(__xludf.DUMMYFUNCTION("""COMPUTED_VALUE"""),"")</f>
        <v/>
      </c>
      <c r="O361" s="8" t="str">
        <f>IFERROR(__xludf.DUMMYFUNCTION("""COMPUTED_VALUE"""),"")</f>
        <v/>
      </c>
      <c r="P361" s="8"/>
      <c r="Q361" s="8"/>
    </row>
    <row r="362">
      <c r="A362" s="8"/>
      <c r="B362" s="25"/>
      <c r="C362" s="385" t="s">
        <v>1426</v>
      </c>
      <c r="D362" s="392"/>
      <c r="E362" s="8"/>
      <c r="F362" s="8"/>
      <c r="G362" s="389"/>
      <c r="H362" s="8" t="b">
        <v>0</v>
      </c>
      <c r="I362" s="388" t="str">
        <f>IFERROR(__xludf.DUMMYFUNCTION("""COMPUTED_VALUE"""),"")</f>
        <v/>
      </c>
      <c r="J362" s="7"/>
      <c r="K362" s="8"/>
      <c r="L362" s="8"/>
      <c r="M362" s="8"/>
      <c r="N362" s="8" t="str">
        <f>IFERROR(__xludf.DUMMYFUNCTION("""COMPUTED_VALUE"""),"")</f>
        <v/>
      </c>
      <c r="O362" s="8" t="str">
        <f>IFERROR(__xludf.DUMMYFUNCTION("""COMPUTED_VALUE"""),"")</f>
        <v/>
      </c>
      <c r="P362" s="8"/>
      <c r="Q362" s="8"/>
    </row>
    <row r="363">
      <c r="A363" s="8"/>
      <c r="B363" s="25"/>
      <c r="C363" s="385" t="s">
        <v>1426</v>
      </c>
      <c r="D363" s="392"/>
      <c r="E363" s="8"/>
      <c r="F363" s="8"/>
      <c r="G363" s="389"/>
      <c r="H363" s="8" t="b">
        <v>0</v>
      </c>
      <c r="I363" s="388" t="str">
        <f>IFERROR(__xludf.DUMMYFUNCTION("""COMPUTED_VALUE"""),"")</f>
        <v/>
      </c>
      <c r="J363" s="7"/>
      <c r="K363" s="8"/>
      <c r="L363" s="8"/>
      <c r="M363" s="8"/>
      <c r="N363" s="8" t="str">
        <f>IFERROR(__xludf.DUMMYFUNCTION("""COMPUTED_VALUE"""),"")</f>
        <v/>
      </c>
      <c r="O363" s="8" t="str">
        <f>IFERROR(__xludf.DUMMYFUNCTION("""COMPUTED_VALUE"""),"")</f>
        <v/>
      </c>
      <c r="P363" s="8"/>
      <c r="Q363" s="8"/>
    </row>
    <row r="364">
      <c r="A364" s="8"/>
      <c r="B364" s="25"/>
      <c r="C364" s="385" t="s">
        <v>1426</v>
      </c>
      <c r="D364" s="392"/>
      <c r="E364" s="8"/>
      <c r="F364" s="8"/>
      <c r="G364" s="389"/>
      <c r="H364" s="8" t="b">
        <v>0</v>
      </c>
      <c r="I364" s="388" t="str">
        <f>IFERROR(__xludf.DUMMYFUNCTION("""COMPUTED_VALUE"""),"")</f>
        <v/>
      </c>
      <c r="J364" s="7"/>
      <c r="K364" s="8"/>
      <c r="L364" s="8"/>
      <c r="M364" s="8"/>
      <c r="N364" s="8" t="str">
        <f>IFERROR(__xludf.DUMMYFUNCTION("""COMPUTED_VALUE"""),"")</f>
        <v/>
      </c>
      <c r="O364" s="8" t="str">
        <f>IFERROR(__xludf.DUMMYFUNCTION("""COMPUTED_VALUE"""),"")</f>
        <v/>
      </c>
      <c r="P364" s="8"/>
      <c r="Q364" s="8"/>
    </row>
    <row r="365">
      <c r="A365" s="8"/>
      <c r="B365" s="25"/>
      <c r="C365" s="385" t="s">
        <v>1426</v>
      </c>
      <c r="D365" s="392"/>
      <c r="E365" s="8"/>
      <c r="F365" s="8"/>
      <c r="G365" s="389"/>
      <c r="H365" s="8" t="b">
        <v>0</v>
      </c>
      <c r="I365" s="388" t="str">
        <f>IFERROR(__xludf.DUMMYFUNCTION("""COMPUTED_VALUE"""),"")</f>
        <v/>
      </c>
      <c r="J365" s="7"/>
      <c r="K365" s="8"/>
      <c r="L365" s="8"/>
      <c r="M365" s="8"/>
      <c r="N365" s="8" t="str">
        <f>IFERROR(__xludf.DUMMYFUNCTION("""COMPUTED_VALUE"""),"")</f>
        <v/>
      </c>
      <c r="O365" s="8" t="str">
        <f>IFERROR(__xludf.DUMMYFUNCTION("""COMPUTED_VALUE"""),"")</f>
        <v/>
      </c>
      <c r="P365" s="8"/>
      <c r="Q365" s="8"/>
    </row>
    <row r="366">
      <c r="A366" s="8"/>
      <c r="B366" s="25"/>
      <c r="C366" s="385" t="s">
        <v>1426</v>
      </c>
      <c r="D366" s="392"/>
      <c r="E366" s="8"/>
      <c r="F366" s="8"/>
      <c r="G366" s="389"/>
      <c r="H366" s="8" t="b">
        <v>0</v>
      </c>
      <c r="I366" s="388" t="str">
        <f>IFERROR(__xludf.DUMMYFUNCTION("""COMPUTED_VALUE"""),"")</f>
        <v/>
      </c>
      <c r="J366" s="7"/>
      <c r="K366" s="8"/>
      <c r="L366" s="8"/>
      <c r="M366" s="8"/>
      <c r="N366" s="8" t="str">
        <f>IFERROR(__xludf.DUMMYFUNCTION("""COMPUTED_VALUE"""),"")</f>
        <v/>
      </c>
      <c r="O366" s="8" t="str">
        <f>IFERROR(__xludf.DUMMYFUNCTION("""COMPUTED_VALUE"""),"")</f>
        <v/>
      </c>
      <c r="P366" s="8"/>
      <c r="Q366" s="8"/>
    </row>
    <row r="367">
      <c r="A367" s="8"/>
      <c r="B367" s="25"/>
      <c r="C367" s="385" t="s">
        <v>1426</v>
      </c>
      <c r="D367" s="392"/>
      <c r="E367" s="8"/>
      <c r="F367" s="8"/>
      <c r="G367" s="389"/>
      <c r="H367" s="8" t="b">
        <v>0</v>
      </c>
      <c r="I367" s="388" t="str">
        <f>IFERROR(__xludf.DUMMYFUNCTION("""COMPUTED_VALUE"""),"")</f>
        <v/>
      </c>
      <c r="J367" s="7"/>
      <c r="K367" s="8"/>
      <c r="L367" s="8"/>
      <c r="M367" s="8"/>
      <c r="N367" s="8" t="str">
        <f>IFERROR(__xludf.DUMMYFUNCTION("""COMPUTED_VALUE"""),"")</f>
        <v/>
      </c>
      <c r="O367" s="8" t="str">
        <f>IFERROR(__xludf.DUMMYFUNCTION("""COMPUTED_VALUE"""),"")</f>
        <v/>
      </c>
      <c r="P367" s="8"/>
      <c r="Q367" s="8"/>
    </row>
    <row r="368">
      <c r="A368" s="8"/>
      <c r="B368" s="25"/>
      <c r="C368" s="385" t="s">
        <v>1426</v>
      </c>
      <c r="D368" s="392"/>
      <c r="E368" s="8"/>
      <c r="F368" s="8"/>
      <c r="G368" s="389"/>
      <c r="H368" s="8" t="b">
        <v>0</v>
      </c>
      <c r="I368" s="388" t="str">
        <f>IFERROR(__xludf.DUMMYFUNCTION("""COMPUTED_VALUE"""),"")</f>
        <v/>
      </c>
      <c r="J368" s="7"/>
      <c r="K368" s="8"/>
      <c r="L368" s="8"/>
      <c r="M368" s="8"/>
      <c r="N368" s="8" t="str">
        <f>IFERROR(__xludf.DUMMYFUNCTION("""COMPUTED_VALUE"""),"")</f>
        <v/>
      </c>
      <c r="O368" s="8" t="str">
        <f>IFERROR(__xludf.DUMMYFUNCTION("""COMPUTED_VALUE"""),"")</f>
        <v/>
      </c>
      <c r="P368" s="8"/>
      <c r="Q368" s="8"/>
    </row>
    <row r="369">
      <c r="A369" s="8"/>
      <c r="B369" s="25"/>
      <c r="C369" s="385" t="s">
        <v>1426</v>
      </c>
      <c r="D369" s="392"/>
      <c r="E369" s="8"/>
      <c r="F369" s="8"/>
      <c r="G369" s="389"/>
      <c r="H369" s="8" t="b">
        <v>0</v>
      </c>
      <c r="I369" s="388" t="str">
        <f>IFERROR(__xludf.DUMMYFUNCTION("""COMPUTED_VALUE"""),"")</f>
        <v/>
      </c>
      <c r="J369" s="7"/>
      <c r="K369" s="8"/>
      <c r="L369" s="8"/>
      <c r="M369" s="8"/>
      <c r="N369" s="8" t="str">
        <f>IFERROR(__xludf.DUMMYFUNCTION("""COMPUTED_VALUE"""),"")</f>
        <v/>
      </c>
      <c r="O369" s="8" t="str">
        <f>IFERROR(__xludf.DUMMYFUNCTION("""COMPUTED_VALUE"""),"")</f>
        <v/>
      </c>
      <c r="P369" s="8"/>
      <c r="Q369" s="8"/>
    </row>
    <row r="370">
      <c r="A370" s="8"/>
      <c r="B370" s="25"/>
      <c r="C370" s="385" t="s">
        <v>1426</v>
      </c>
      <c r="D370" s="392"/>
      <c r="E370" s="8"/>
      <c r="F370" s="8"/>
      <c r="G370" s="389"/>
      <c r="H370" s="8" t="b">
        <v>0</v>
      </c>
      <c r="I370" s="388" t="str">
        <f>IFERROR(__xludf.DUMMYFUNCTION("""COMPUTED_VALUE"""),"")</f>
        <v/>
      </c>
      <c r="J370" s="7"/>
      <c r="K370" s="8"/>
      <c r="L370" s="8"/>
      <c r="M370" s="8"/>
      <c r="N370" s="8" t="str">
        <f>IFERROR(__xludf.DUMMYFUNCTION("""COMPUTED_VALUE"""),"")</f>
        <v/>
      </c>
      <c r="O370" s="8" t="str">
        <f>IFERROR(__xludf.DUMMYFUNCTION("""COMPUTED_VALUE"""),"")</f>
        <v/>
      </c>
      <c r="P370" s="8"/>
      <c r="Q370" s="8"/>
    </row>
    <row r="371">
      <c r="A371" s="8"/>
      <c r="B371" s="25"/>
      <c r="C371" s="385" t="s">
        <v>1426</v>
      </c>
      <c r="D371" s="392"/>
      <c r="E371" s="8"/>
      <c r="F371" s="8"/>
      <c r="G371" s="389"/>
      <c r="H371" s="8" t="b">
        <v>0</v>
      </c>
      <c r="I371" s="388" t="str">
        <f>IFERROR(__xludf.DUMMYFUNCTION("""COMPUTED_VALUE"""),"")</f>
        <v/>
      </c>
      <c r="J371" s="7"/>
      <c r="K371" s="8"/>
      <c r="L371" s="8"/>
      <c r="M371" s="8"/>
      <c r="N371" s="8" t="str">
        <f>IFERROR(__xludf.DUMMYFUNCTION("""COMPUTED_VALUE"""),"")</f>
        <v/>
      </c>
      <c r="O371" s="8" t="str">
        <f>IFERROR(__xludf.DUMMYFUNCTION("""COMPUTED_VALUE"""),"")</f>
        <v/>
      </c>
      <c r="P371" s="8"/>
      <c r="Q371" s="8"/>
    </row>
    <row r="372">
      <c r="A372" s="8"/>
      <c r="B372" s="25"/>
      <c r="C372" s="385" t="s">
        <v>1426</v>
      </c>
      <c r="D372" s="392"/>
      <c r="E372" s="8"/>
      <c r="F372" s="8"/>
      <c r="G372" s="389"/>
      <c r="H372" s="8" t="b">
        <v>0</v>
      </c>
      <c r="I372" s="388" t="str">
        <f>IFERROR(__xludf.DUMMYFUNCTION("""COMPUTED_VALUE"""),"")</f>
        <v/>
      </c>
      <c r="J372" s="7"/>
      <c r="K372" s="8"/>
      <c r="L372" s="8"/>
      <c r="M372" s="8"/>
      <c r="N372" s="8" t="str">
        <f>IFERROR(__xludf.DUMMYFUNCTION("""COMPUTED_VALUE"""),"")</f>
        <v/>
      </c>
      <c r="O372" s="8" t="str">
        <f>IFERROR(__xludf.DUMMYFUNCTION("""COMPUTED_VALUE"""),"")</f>
        <v/>
      </c>
      <c r="P372" s="8"/>
      <c r="Q372" s="8"/>
    </row>
    <row r="373">
      <c r="A373" s="8"/>
      <c r="B373" s="25"/>
      <c r="C373" s="385" t="s">
        <v>1426</v>
      </c>
      <c r="D373" s="392"/>
      <c r="E373" s="8"/>
      <c r="F373" s="8"/>
      <c r="G373" s="389"/>
      <c r="H373" s="8" t="b">
        <v>0</v>
      </c>
      <c r="I373" s="388" t="str">
        <f>IFERROR(__xludf.DUMMYFUNCTION("""COMPUTED_VALUE"""),"")</f>
        <v/>
      </c>
      <c r="J373" s="7"/>
      <c r="K373" s="8"/>
      <c r="L373" s="8"/>
      <c r="M373" s="8"/>
      <c r="N373" s="8" t="str">
        <f>IFERROR(__xludf.DUMMYFUNCTION("""COMPUTED_VALUE"""),"")</f>
        <v/>
      </c>
      <c r="O373" s="8" t="str">
        <f>IFERROR(__xludf.DUMMYFUNCTION("""COMPUTED_VALUE"""),"")</f>
        <v/>
      </c>
      <c r="P373" s="8"/>
      <c r="Q373" s="8"/>
    </row>
    <row r="374">
      <c r="A374" s="8"/>
      <c r="B374" s="25"/>
      <c r="C374" s="385" t="s">
        <v>1426</v>
      </c>
      <c r="D374" s="392"/>
      <c r="E374" s="8"/>
      <c r="F374" s="8"/>
      <c r="G374" s="389"/>
      <c r="H374" s="8" t="b">
        <v>0</v>
      </c>
      <c r="I374" s="388" t="str">
        <f>IFERROR(__xludf.DUMMYFUNCTION("""COMPUTED_VALUE"""),"")</f>
        <v/>
      </c>
      <c r="J374" s="7"/>
      <c r="K374" s="8"/>
      <c r="L374" s="8"/>
      <c r="M374" s="8"/>
      <c r="N374" s="8" t="str">
        <f>IFERROR(__xludf.DUMMYFUNCTION("""COMPUTED_VALUE"""),"")</f>
        <v/>
      </c>
      <c r="O374" s="8" t="str">
        <f>IFERROR(__xludf.DUMMYFUNCTION("""COMPUTED_VALUE"""),"")</f>
        <v/>
      </c>
      <c r="P374" s="8"/>
      <c r="Q374" s="8"/>
    </row>
    <row r="375">
      <c r="A375" s="8"/>
      <c r="B375" s="25"/>
      <c r="C375" s="385" t="s">
        <v>1426</v>
      </c>
      <c r="D375" s="392"/>
      <c r="E375" s="8"/>
      <c r="F375" s="8"/>
      <c r="G375" s="389"/>
      <c r="H375" s="8" t="b">
        <v>0</v>
      </c>
      <c r="I375" s="388" t="str">
        <f>IFERROR(__xludf.DUMMYFUNCTION("""COMPUTED_VALUE"""),"")</f>
        <v/>
      </c>
      <c r="J375" s="7"/>
      <c r="K375" s="8"/>
      <c r="L375" s="8"/>
      <c r="M375" s="8"/>
      <c r="N375" s="8" t="str">
        <f>IFERROR(__xludf.DUMMYFUNCTION("""COMPUTED_VALUE"""),"")</f>
        <v/>
      </c>
      <c r="O375" s="8" t="str">
        <f>IFERROR(__xludf.DUMMYFUNCTION("""COMPUTED_VALUE"""),"")</f>
        <v/>
      </c>
      <c r="P375" s="8"/>
      <c r="Q375" s="8"/>
    </row>
    <row r="376">
      <c r="A376" s="8"/>
      <c r="B376" s="25"/>
      <c r="C376" s="385" t="s">
        <v>1426</v>
      </c>
      <c r="D376" s="392"/>
      <c r="E376" s="8"/>
      <c r="F376" s="8"/>
      <c r="G376" s="389"/>
      <c r="H376" s="8" t="b">
        <v>0</v>
      </c>
      <c r="I376" s="388" t="str">
        <f>IFERROR(__xludf.DUMMYFUNCTION("""COMPUTED_VALUE"""),"")</f>
        <v/>
      </c>
      <c r="J376" s="7"/>
      <c r="K376" s="8"/>
      <c r="L376" s="8"/>
      <c r="M376" s="8"/>
      <c r="N376" s="8" t="str">
        <f>IFERROR(__xludf.DUMMYFUNCTION("""COMPUTED_VALUE"""),"")</f>
        <v/>
      </c>
      <c r="O376" s="8" t="str">
        <f>IFERROR(__xludf.DUMMYFUNCTION("""COMPUTED_VALUE"""),"")</f>
        <v/>
      </c>
      <c r="P376" s="8"/>
      <c r="Q376" s="8"/>
    </row>
    <row r="377">
      <c r="A377" s="8"/>
      <c r="B377" s="25"/>
      <c r="C377" s="385" t="s">
        <v>1426</v>
      </c>
      <c r="D377" s="392"/>
      <c r="E377" s="8"/>
      <c r="F377" s="8"/>
      <c r="G377" s="389"/>
      <c r="H377" s="8" t="b">
        <v>0</v>
      </c>
      <c r="I377" s="388" t="str">
        <f>IFERROR(__xludf.DUMMYFUNCTION("""COMPUTED_VALUE"""),"")</f>
        <v/>
      </c>
      <c r="J377" s="7"/>
      <c r="K377" s="8"/>
      <c r="L377" s="8"/>
      <c r="M377" s="8"/>
      <c r="N377" s="8" t="str">
        <f>IFERROR(__xludf.DUMMYFUNCTION("""COMPUTED_VALUE"""),"")</f>
        <v/>
      </c>
      <c r="O377" s="8" t="str">
        <f>IFERROR(__xludf.DUMMYFUNCTION("""COMPUTED_VALUE"""),"")</f>
        <v/>
      </c>
      <c r="P377" s="8"/>
      <c r="Q377" s="8"/>
    </row>
    <row r="378">
      <c r="A378" s="8"/>
      <c r="B378" s="25"/>
      <c r="C378" s="385" t="s">
        <v>1426</v>
      </c>
      <c r="D378" s="392"/>
      <c r="E378" s="8"/>
      <c r="F378" s="8"/>
      <c r="G378" s="389"/>
      <c r="H378" s="8" t="b">
        <v>0</v>
      </c>
      <c r="I378" s="388" t="str">
        <f>IFERROR(__xludf.DUMMYFUNCTION("""COMPUTED_VALUE"""),"")</f>
        <v/>
      </c>
      <c r="J378" s="7"/>
      <c r="K378" s="8"/>
      <c r="L378" s="8"/>
      <c r="M378" s="8"/>
      <c r="N378" s="8" t="str">
        <f>IFERROR(__xludf.DUMMYFUNCTION("""COMPUTED_VALUE"""),"")</f>
        <v/>
      </c>
      <c r="O378" s="8" t="str">
        <f>IFERROR(__xludf.DUMMYFUNCTION("""COMPUTED_VALUE"""),"")</f>
        <v/>
      </c>
      <c r="P378" s="8"/>
      <c r="Q378" s="8"/>
    </row>
    <row r="379">
      <c r="A379" s="8"/>
      <c r="B379" s="25"/>
      <c r="C379" s="385" t="s">
        <v>1426</v>
      </c>
      <c r="D379" s="392"/>
      <c r="E379" s="8"/>
      <c r="F379" s="8"/>
      <c r="G379" s="389"/>
      <c r="H379" s="8" t="b">
        <v>0</v>
      </c>
      <c r="I379" s="388" t="str">
        <f>IFERROR(__xludf.DUMMYFUNCTION("""COMPUTED_VALUE"""),"")</f>
        <v/>
      </c>
      <c r="J379" s="7"/>
      <c r="K379" s="8"/>
      <c r="L379" s="8"/>
      <c r="M379" s="8"/>
      <c r="N379" s="8" t="str">
        <f>IFERROR(__xludf.DUMMYFUNCTION("""COMPUTED_VALUE"""),"")</f>
        <v/>
      </c>
      <c r="O379" s="8" t="str">
        <f>IFERROR(__xludf.DUMMYFUNCTION("""COMPUTED_VALUE"""),"")</f>
        <v/>
      </c>
      <c r="P379" s="8"/>
      <c r="Q379" s="8"/>
    </row>
    <row r="380">
      <c r="A380" s="8"/>
      <c r="B380" s="25"/>
      <c r="C380" s="385" t="s">
        <v>1426</v>
      </c>
      <c r="D380" s="392"/>
      <c r="E380" s="8"/>
      <c r="F380" s="8"/>
      <c r="G380" s="389"/>
      <c r="H380" s="8" t="b">
        <v>0</v>
      </c>
      <c r="I380" s="388" t="str">
        <f>IFERROR(__xludf.DUMMYFUNCTION("""COMPUTED_VALUE"""),"")</f>
        <v/>
      </c>
      <c r="J380" s="7"/>
      <c r="K380" s="8"/>
      <c r="L380" s="8"/>
      <c r="M380" s="8"/>
      <c r="N380" s="8" t="str">
        <f>IFERROR(__xludf.DUMMYFUNCTION("""COMPUTED_VALUE"""),"")</f>
        <v/>
      </c>
      <c r="O380" s="8" t="str">
        <f>IFERROR(__xludf.DUMMYFUNCTION("""COMPUTED_VALUE"""),"")</f>
        <v/>
      </c>
      <c r="P380" s="8"/>
      <c r="Q380" s="8"/>
    </row>
    <row r="381">
      <c r="A381" s="8"/>
      <c r="B381" s="25"/>
      <c r="C381" s="385" t="s">
        <v>1426</v>
      </c>
      <c r="D381" s="392"/>
      <c r="E381" s="8"/>
      <c r="F381" s="8"/>
      <c r="G381" s="389"/>
      <c r="H381" s="8" t="b">
        <v>0</v>
      </c>
      <c r="I381" s="388" t="str">
        <f>IFERROR(__xludf.DUMMYFUNCTION("""COMPUTED_VALUE"""),"")</f>
        <v/>
      </c>
      <c r="J381" s="7"/>
      <c r="K381" s="8"/>
      <c r="L381" s="8"/>
      <c r="M381" s="8"/>
      <c r="N381" s="8" t="str">
        <f>IFERROR(__xludf.DUMMYFUNCTION("""COMPUTED_VALUE"""),"")</f>
        <v/>
      </c>
      <c r="O381" s="8" t="str">
        <f>IFERROR(__xludf.DUMMYFUNCTION("""COMPUTED_VALUE"""),"")</f>
        <v/>
      </c>
      <c r="P381" s="8"/>
      <c r="Q381" s="8"/>
    </row>
    <row r="382">
      <c r="A382" s="8"/>
      <c r="B382" s="25"/>
      <c r="C382" s="385" t="s">
        <v>1426</v>
      </c>
      <c r="D382" s="392"/>
      <c r="E382" s="8"/>
      <c r="F382" s="8"/>
      <c r="G382" s="389"/>
      <c r="H382" s="8" t="b">
        <v>0</v>
      </c>
      <c r="I382" s="388" t="str">
        <f>IFERROR(__xludf.DUMMYFUNCTION("""COMPUTED_VALUE"""),"")</f>
        <v/>
      </c>
      <c r="J382" s="7"/>
      <c r="K382" s="8"/>
      <c r="L382" s="8"/>
      <c r="M382" s="8"/>
      <c r="N382" s="8" t="str">
        <f>IFERROR(__xludf.DUMMYFUNCTION("""COMPUTED_VALUE"""),"")</f>
        <v/>
      </c>
      <c r="O382" s="8" t="str">
        <f>IFERROR(__xludf.DUMMYFUNCTION("""COMPUTED_VALUE"""),"")</f>
        <v/>
      </c>
      <c r="P382" s="8"/>
      <c r="Q382" s="8"/>
    </row>
    <row r="383">
      <c r="A383" s="8"/>
      <c r="B383" s="25"/>
      <c r="C383" s="385" t="s">
        <v>1426</v>
      </c>
      <c r="D383" s="392"/>
      <c r="E383" s="8"/>
      <c r="F383" s="8"/>
      <c r="G383" s="389"/>
      <c r="H383" s="8" t="b">
        <v>0</v>
      </c>
      <c r="I383" s="388" t="str">
        <f>IFERROR(__xludf.DUMMYFUNCTION("""COMPUTED_VALUE"""),"")</f>
        <v/>
      </c>
      <c r="J383" s="7"/>
      <c r="K383" s="8"/>
      <c r="L383" s="8"/>
      <c r="M383" s="8"/>
      <c r="N383" s="8" t="str">
        <f>IFERROR(__xludf.DUMMYFUNCTION("""COMPUTED_VALUE"""),"")</f>
        <v/>
      </c>
      <c r="O383" s="8" t="str">
        <f>IFERROR(__xludf.DUMMYFUNCTION("""COMPUTED_VALUE"""),"")</f>
        <v/>
      </c>
      <c r="P383" s="8"/>
      <c r="Q383" s="8"/>
    </row>
    <row r="384">
      <c r="A384" s="8"/>
      <c r="B384" s="25"/>
      <c r="C384" s="385" t="s">
        <v>1426</v>
      </c>
      <c r="D384" s="392"/>
      <c r="E384" s="8"/>
      <c r="F384" s="8"/>
      <c r="G384" s="389"/>
      <c r="H384" s="8" t="b">
        <v>0</v>
      </c>
      <c r="I384" s="388" t="str">
        <f>IFERROR(__xludf.DUMMYFUNCTION("""COMPUTED_VALUE"""),"")</f>
        <v/>
      </c>
      <c r="J384" s="7"/>
      <c r="K384" s="8"/>
      <c r="L384" s="8"/>
      <c r="M384" s="8"/>
      <c r="N384" s="8" t="str">
        <f>IFERROR(__xludf.DUMMYFUNCTION("""COMPUTED_VALUE"""),"")</f>
        <v/>
      </c>
      <c r="O384" s="8" t="str">
        <f>IFERROR(__xludf.DUMMYFUNCTION("""COMPUTED_VALUE"""),"")</f>
        <v/>
      </c>
      <c r="P384" s="8"/>
      <c r="Q384" s="8"/>
    </row>
    <row r="385">
      <c r="A385" s="8"/>
      <c r="B385" s="25"/>
      <c r="C385" s="385" t="s">
        <v>1426</v>
      </c>
      <c r="D385" s="392"/>
      <c r="E385" s="8"/>
      <c r="F385" s="8"/>
      <c r="G385" s="389"/>
      <c r="H385" s="8" t="b">
        <v>0</v>
      </c>
      <c r="I385" s="388" t="str">
        <f>IFERROR(__xludf.DUMMYFUNCTION("""COMPUTED_VALUE"""),"")</f>
        <v/>
      </c>
      <c r="J385" s="7"/>
      <c r="K385" s="8"/>
      <c r="L385" s="8"/>
      <c r="M385" s="8"/>
      <c r="N385" s="8" t="str">
        <f>IFERROR(__xludf.DUMMYFUNCTION("""COMPUTED_VALUE"""),"")</f>
        <v/>
      </c>
      <c r="O385" s="8" t="str">
        <f>IFERROR(__xludf.DUMMYFUNCTION("""COMPUTED_VALUE"""),"")</f>
        <v/>
      </c>
      <c r="P385" s="8"/>
      <c r="Q385" s="8"/>
    </row>
    <row r="386">
      <c r="A386" s="8"/>
      <c r="B386" s="25"/>
      <c r="C386" s="385" t="s">
        <v>1426</v>
      </c>
      <c r="D386" s="392"/>
      <c r="E386" s="8"/>
      <c r="F386" s="8"/>
      <c r="G386" s="389"/>
      <c r="H386" s="8" t="b">
        <v>0</v>
      </c>
      <c r="I386" s="388" t="str">
        <f>IFERROR(__xludf.DUMMYFUNCTION("""COMPUTED_VALUE"""),"")</f>
        <v/>
      </c>
      <c r="J386" s="7"/>
      <c r="K386" s="8"/>
      <c r="L386" s="8"/>
      <c r="M386" s="8"/>
      <c r="N386" s="8" t="str">
        <f>IFERROR(__xludf.DUMMYFUNCTION("""COMPUTED_VALUE"""),"")</f>
        <v/>
      </c>
      <c r="O386" s="8" t="str">
        <f>IFERROR(__xludf.DUMMYFUNCTION("""COMPUTED_VALUE"""),"")</f>
        <v/>
      </c>
      <c r="P386" s="8"/>
      <c r="Q386" s="8"/>
    </row>
    <row r="387">
      <c r="A387" s="8"/>
      <c r="B387" s="25"/>
      <c r="C387" s="385" t="s">
        <v>1426</v>
      </c>
      <c r="D387" s="392"/>
      <c r="E387" s="8"/>
      <c r="F387" s="8"/>
      <c r="G387" s="389"/>
      <c r="H387" s="8" t="b">
        <v>0</v>
      </c>
      <c r="I387" s="388" t="str">
        <f>IFERROR(__xludf.DUMMYFUNCTION("""COMPUTED_VALUE"""),"")</f>
        <v/>
      </c>
      <c r="J387" s="7"/>
      <c r="K387" s="8"/>
      <c r="L387" s="8"/>
      <c r="M387" s="8"/>
      <c r="N387" s="8" t="str">
        <f>IFERROR(__xludf.DUMMYFUNCTION("""COMPUTED_VALUE"""),"")</f>
        <v/>
      </c>
      <c r="O387" s="8" t="str">
        <f>IFERROR(__xludf.DUMMYFUNCTION("""COMPUTED_VALUE"""),"")</f>
        <v/>
      </c>
      <c r="P387" s="8"/>
      <c r="Q387" s="8"/>
    </row>
    <row r="388">
      <c r="A388" s="8"/>
      <c r="B388" s="25"/>
      <c r="C388" s="385" t="s">
        <v>1426</v>
      </c>
      <c r="D388" s="392"/>
      <c r="E388" s="8"/>
      <c r="F388" s="8"/>
      <c r="G388" s="389"/>
      <c r="H388" s="8" t="b">
        <v>0</v>
      </c>
      <c r="I388" s="388" t="str">
        <f>IFERROR(__xludf.DUMMYFUNCTION("""COMPUTED_VALUE"""),"")</f>
        <v/>
      </c>
      <c r="J388" s="7"/>
      <c r="K388" s="8"/>
      <c r="L388" s="8"/>
      <c r="M388" s="8"/>
      <c r="N388" s="8" t="str">
        <f>IFERROR(__xludf.DUMMYFUNCTION("""COMPUTED_VALUE"""),"")</f>
        <v/>
      </c>
      <c r="O388" s="8" t="str">
        <f>IFERROR(__xludf.DUMMYFUNCTION("""COMPUTED_VALUE"""),"")</f>
        <v/>
      </c>
      <c r="P388" s="8"/>
      <c r="Q388" s="8"/>
    </row>
    <row r="389">
      <c r="A389" s="8"/>
      <c r="B389" s="25"/>
      <c r="C389" s="385" t="s">
        <v>1426</v>
      </c>
      <c r="D389" s="392"/>
      <c r="E389" s="8"/>
      <c r="F389" s="8"/>
      <c r="G389" s="389"/>
      <c r="H389" s="8" t="b">
        <v>0</v>
      </c>
      <c r="I389" s="388" t="str">
        <f>IFERROR(__xludf.DUMMYFUNCTION("""COMPUTED_VALUE"""),"")</f>
        <v/>
      </c>
      <c r="J389" s="7"/>
      <c r="K389" s="8"/>
      <c r="L389" s="8"/>
      <c r="M389" s="8"/>
      <c r="N389" s="8" t="str">
        <f>IFERROR(__xludf.DUMMYFUNCTION("""COMPUTED_VALUE"""),"")</f>
        <v/>
      </c>
      <c r="O389" s="8" t="str">
        <f>IFERROR(__xludf.DUMMYFUNCTION("""COMPUTED_VALUE"""),"")</f>
        <v/>
      </c>
      <c r="P389" s="8"/>
      <c r="Q389" s="8"/>
    </row>
    <row r="390">
      <c r="A390" s="8"/>
      <c r="B390" s="25"/>
      <c r="C390" s="385" t="s">
        <v>1426</v>
      </c>
      <c r="D390" s="392"/>
      <c r="E390" s="8"/>
      <c r="F390" s="8"/>
      <c r="G390" s="389"/>
      <c r="H390" s="8" t="b">
        <v>0</v>
      </c>
      <c r="I390" s="388" t="str">
        <f>IFERROR(__xludf.DUMMYFUNCTION("""COMPUTED_VALUE"""),"")</f>
        <v/>
      </c>
      <c r="J390" s="7"/>
      <c r="K390" s="8"/>
      <c r="L390" s="8"/>
      <c r="M390" s="8"/>
      <c r="N390" s="8" t="str">
        <f>IFERROR(__xludf.DUMMYFUNCTION("""COMPUTED_VALUE"""),"")</f>
        <v/>
      </c>
      <c r="O390" s="8" t="str">
        <f>IFERROR(__xludf.DUMMYFUNCTION("""COMPUTED_VALUE"""),"")</f>
        <v/>
      </c>
      <c r="P390" s="8"/>
      <c r="Q390" s="8"/>
    </row>
    <row r="391">
      <c r="A391" s="8"/>
      <c r="B391" s="25"/>
      <c r="C391" s="385" t="s">
        <v>1426</v>
      </c>
      <c r="D391" s="392"/>
      <c r="E391" s="8"/>
      <c r="F391" s="8"/>
      <c r="G391" s="389"/>
      <c r="H391" s="8" t="b">
        <v>0</v>
      </c>
      <c r="I391" s="388" t="str">
        <f>IFERROR(__xludf.DUMMYFUNCTION("""COMPUTED_VALUE"""),"")</f>
        <v/>
      </c>
      <c r="J391" s="7"/>
      <c r="K391" s="8"/>
      <c r="L391" s="8"/>
      <c r="M391" s="8"/>
      <c r="N391" s="8" t="str">
        <f>IFERROR(__xludf.DUMMYFUNCTION("""COMPUTED_VALUE"""),"")</f>
        <v/>
      </c>
      <c r="O391" s="8" t="str">
        <f>IFERROR(__xludf.DUMMYFUNCTION("""COMPUTED_VALUE"""),"")</f>
        <v/>
      </c>
      <c r="P391" s="8"/>
      <c r="Q391" s="8"/>
    </row>
    <row r="392">
      <c r="A392" s="8"/>
      <c r="B392" s="25"/>
      <c r="C392" s="385" t="s">
        <v>1426</v>
      </c>
      <c r="D392" s="392"/>
      <c r="E392" s="8"/>
      <c r="F392" s="8"/>
      <c r="G392" s="389"/>
      <c r="H392" s="8" t="b">
        <v>0</v>
      </c>
      <c r="I392" s="388" t="str">
        <f>IFERROR(__xludf.DUMMYFUNCTION("""COMPUTED_VALUE"""),"")</f>
        <v/>
      </c>
      <c r="J392" s="7"/>
      <c r="K392" s="8"/>
      <c r="L392" s="8"/>
      <c r="M392" s="8"/>
      <c r="N392" s="8" t="str">
        <f>IFERROR(__xludf.DUMMYFUNCTION("""COMPUTED_VALUE"""),"")</f>
        <v/>
      </c>
      <c r="O392" s="8" t="str">
        <f>IFERROR(__xludf.DUMMYFUNCTION("""COMPUTED_VALUE"""),"")</f>
        <v/>
      </c>
      <c r="P392" s="8"/>
      <c r="Q392" s="8"/>
    </row>
    <row r="393">
      <c r="A393" s="8"/>
      <c r="B393" s="25"/>
      <c r="C393" s="385" t="s">
        <v>1426</v>
      </c>
      <c r="D393" s="392"/>
      <c r="E393" s="8"/>
      <c r="F393" s="8"/>
      <c r="G393" s="389"/>
      <c r="H393" s="8" t="b">
        <v>0</v>
      </c>
      <c r="I393" s="388" t="str">
        <f>IFERROR(__xludf.DUMMYFUNCTION("""COMPUTED_VALUE"""),"")</f>
        <v/>
      </c>
      <c r="J393" s="7"/>
      <c r="K393" s="8"/>
      <c r="L393" s="8"/>
      <c r="M393" s="8"/>
      <c r="N393" s="8" t="str">
        <f>IFERROR(__xludf.DUMMYFUNCTION("""COMPUTED_VALUE"""),"")</f>
        <v/>
      </c>
      <c r="O393" s="8" t="str">
        <f>IFERROR(__xludf.DUMMYFUNCTION("""COMPUTED_VALUE"""),"")</f>
        <v/>
      </c>
      <c r="P393" s="8"/>
      <c r="Q393" s="8"/>
    </row>
    <row r="394">
      <c r="A394" s="8"/>
      <c r="B394" s="25"/>
      <c r="C394" s="385" t="s">
        <v>1426</v>
      </c>
      <c r="D394" s="392"/>
      <c r="E394" s="8"/>
      <c r="F394" s="8"/>
      <c r="G394" s="389"/>
      <c r="H394" s="8" t="b">
        <v>0</v>
      </c>
      <c r="I394" s="388" t="str">
        <f>IFERROR(__xludf.DUMMYFUNCTION("""COMPUTED_VALUE"""),"")</f>
        <v/>
      </c>
      <c r="J394" s="7"/>
      <c r="K394" s="8"/>
      <c r="L394" s="8"/>
      <c r="M394" s="8"/>
      <c r="N394" s="8" t="str">
        <f>IFERROR(__xludf.DUMMYFUNCTION("""COMPUTED_VALUE"""),"")</f>
        <v/>
      </c>
      <c r="O394" s="8" t="str">
        <f>IFERROR(__xludf.DUMMYFUNCTION("""COMPUTED_VALUE"""),"")</f>
        <v/>
      </c>
      <c r="P394" s="8"/>
      <c r="Q394" s="8"/>
    </row>
    <row r="395">
      <c r="A395" s="8"/>
      <c r="B395" s="25"/>
      <c r="C395" s="385" t="s">
        <v>1426</v>
      </c>
      <c r="D395" s="392"/>
      <c r="E395" s="8"/>
      <c r="F395" s="8"/>
      <c r="G395" s="389"/>
      <c r="H395" s="8" t="b">
        <v>0</v>
      </c>
      <c r="I395" s="388" t="str">
        <f>IFERROR(__xludf.DUMMYFUNCTION("""COMPUTED_VALUE"""),"")</f>
        <v/>
      </c>
      <c r="J395" s="7"/>
      <c r="K395" s="8"/>
      <c r="L395" s="8"/>
      <c r="M395" s="8"/>
      <c r="N395" s="8" t="str">
        <f>IFERROR(__xludf.DUMMYFUNCTION("""COMPUTED_VALUE"""),"")</f>
        <v/>
      </c>
      <c r="O395" s="8" t="str">
        <f>IFERROR(__xludf.DUMMYFUNCTION("""COMPUTED_VALUE"""),"")</f>
        <v/>
      </c>
      <c r="P395" s="8"/>
      <c r="Q395" s="8"/>
    </row>
    <row r="396">
      <c r="A396" s="8"/>
      <c r="B396" s="25"/>
      <c r="C396" s="385" t="s">
        <v>1426</v>
      </c>
      <c r="D396" s="392"/>
      <c r="E396" s="8"/>
      <c r="F396" s="8"/>
      <c r="G396" s="389"/>
      <c r="H396" s="8" t="b">
        <v>0</v>
      </c>
      <c r="I396" s="388" t="str">
        <f>IFERROR(__xludf.DUMMYFUNCTION("""COMPUTED_VALUE"""),"")</f>
        <v/>
      </c>
      <c r="J396" s="7"/>
      <c r="K396" s="8"/>
      <c r="L396" s="8"/>
      <c r="M396" s="8"/>
      <c r="N396" s="8" t="str">
        <f>IFERROR(__xludf.DUMMYFUNCTION("""COMPUTED_VALUE"""),"")</f>
        <v/>
      </c>
      <c r="O396" s="8" t="str">
        <f>IFERROR(__xludf.DUMMYFUNCTION("""COMPUTED_VALUE"""),"")</f>
        <v/>
      </c>
      <c r="P396" s="8"/>
      <c r="Q396" s="8"/>
    </row>
    <row r="397">
      <c r="A397" s="8"/>
      <c r="B397" s="25"/>
      <c r="C397" s="385" t="s">
        <v>1426</v>
      </c>
      <c r="D397" s="392"/>
      <c r="E397" s="8"/>
      <c r="F397" s="8"/>
      <c r="G397" s="389"/>
      <c r="H397" s="8" t="b">
        <v>0</v>
      </c>
      <c r="I397" s="388" t="str">
        <f>IFERROR(__xludf.DUMMYFUNCTION("""COMPUTED_VALUE"""),"")</f>
        <v/>
      </c>
      <c r="J397" s="7"/>
      <c r="K397" s="8"/>
      <c r="L397" s="8"/>
      <c r="M397" s="8"/>
      <c r="N397" s="8" t="str">
        <f>IFERROR(__xludf.DUMMYFUNCTION("""COMPUTED_VALUE"""),"")</f>
        <v/>
      </c>
      <c r="O397" s="8" t="str">
        <f>IFERROR(__xludf.DUMMYFUNCTION("""COMPUTED_VALUE"""),"")</f>
        <v/>
      </c>
      <c r="P397" s="8"/>
      <c r="Q397" s="8"/>
    </row>
    <row r="398">
      <c r="A398" s="8"/>
      <c r="B398" s="25"/>
      <c r="C398" s="385" t="s">
        <v>1426</v>
      </c>
      <c r="D398" s="392"/>
      <c r="E398" s="8"/>
      <c r="F398" s="8"/>
      <c r="G398" s="389"/>
      <c r="H398" s="8" t="b">
        <v>0</v>
      </c>
      <c r="I398" s="388" t="str">
        <f>IFERROR(__xludf.DUMMYFUNCTION("""COMPUTED_VALUE"""),"")</f>
        <v/>
      </c>
      <c r="J398" s="7"/>
      <c r="K398" s="8"/>
      <c r="L398" s="8"/>
      <c r="M398" s="8"/>
      <c r="N398" s="8" t="str">
        <f>IFERROR(__xludf.DUMMYFUNCTION("""COMPUTED_VALUE"""),"")</f>
        <v/>
      </c>
      <c r="O398" s="8" t="str">
        <f>IFERROR(__xludf.DUMMYFUNCTION("""COMPUTED_VALUE"""),"")</f>
        <v/>
      </c>
      <c r="P398" s="8"/>
      <c r="Q398" s="8"/>
    </row>
    <row r="399">
      <c r="A399" s="8"/>
      <c r="B399" s="25"/>
      <c r="C399" s="385" t="s">
        <v>1426</v>
      </c>
      <c r="D399" s="392"/>
      <c r="E399" s="8"/>
      <c r="F399" s="8"/>
      <c r="G399" s="389"/>
      <c r="H399" s="8" t="b">
        <v>0</v>
      </c>
      <c r="I399" s="388" t="str">
        <f>IFERROR(__xludf.DUMMYFUNCTION("""COMPUTED_VALUE"""),"")</f>
        <v/>
      </c>
      <c r="J399" s="7"/>
      <c r="K399" s="8"/>
      <c r="L399" s="8"/>
      <c r="M399" s="8"/>
      <c r="N399" s="8" t="str">
        <f>IFERROR(__xludf.DUMMYFUNCTION("""COMPUTED_VALUE"""),"")</f>
        <v/>
      </c>
      <c r="O399" s="8" t="str">
        <f>IFERROR(__xludf.DUMMYFUNCTION("""COMPUTED_VALUE"""),"")</f>
        <v/>
      </c>
      <c r="P399" s="8"/>
      <c r="Q399" s="8"/>
    </row>
    <row r="400">
      <c r="A400" s="8"/>
      <c r="B400" s="25"/>
      <c r="C400" s="385" t="s">
        <v>1426</v>
      </c>
      <c r="D400" s="392"/>
      <c r="E400" s="8"/>
      <c r="F400" s="8"/>
      <c r="G400" s="389"/>
      <c r="H400" s="8" t="b">
        <v>0</v>
      </c>
      <c r="I400" s="388" t="str">
        <f>IFERROR(__xludf.DUMMYFUNCTION("""COMPUTED_VALUE"""),"")</f>
        <v/>
      </c>
      <c r="J400" s="7"/>
      <c r="K400" s="8"/>
      <c r="L400" s="8"/>
      <c r="M400" s="8"/>
      <c r="N400" s="8" t="str">
        <f>IFERROR(__xludf.DUMMYFUNCTION("""COMPUTED_VALUE"""),"")</f>
        <v/>
      </c>
      <c r="O400" s="8" t="str">
        <f>IFERROR(__xludf.DUMMYFUNCTION("""COMPUTED_VALUE"""),"")</f>
        <v/>
      </c>
      <c r="P400" s="8"/>
      <c r="Q400" s="8"/>
    </row>
    <row r="401">
      <c r="A401" s="8"/>
      <c r="B401" s="25"/>
      <c r="C401" s="385" t="s">
        <v>1426</v>
      </c>
      <c r="D401" s="392"/>
      <c r="E401" s="8"/>
      <c r="F401" s="8"/>
      <c r="G401" s="389"/>
      <c r="H401" s="8" t="b">
        <v>0</v>
      </c>
      <c r="I401" s="388" t="str">
        <f>IFERROR(__xludf.DUMMYFUNCTION("""COMPUTED_VALUE"""),"")</f>
        <v/>
      </c>
      <c r="J401" s="7"/>
      <c r="K401" s="8"/>
      <c r="L401" s="8"/>
      <c r="M401" s="8"/>
      <c r="N401" s="8" t="str">
        <f>IFERROR(__xludf.DUMMYFUNCTION("""COMPUTED_VALUE"""),"")</f>
        <v/>
      </c>
      <c r="O401" s="8" t="str">
        <f>IFERROR(__xludf.DUMMYFUNCTION("""COMPUTED_VALUE"""),"")</f>
        <v/>
      </c>
      <c r="P401" s="8"/>
      <c r="Q401" s="8"/>
    </row>
    <row r="402">
      <c r="A402" s="8"/>
      <c r="B402" s="25"/>
      <c r="C402" s="385" t="s">
        <v>1426</v>
      </c>
      <c r="D402" s="392"/>
      <c r="E402" s="8"/>
      <c r="F402" s="8"/>
      <c r="G402" s="389"/>
      <c r="H402" s="8" t="b">
        <v>0</v>
      </c>
      <c r="I402" s="388" t="str">
        <f>IFERROR(__xludf.DUMMYFUNCTION("""COMPUTED_VALUE"""),"")</f>
        <v/>
      </c>
      <c r="J402" s="7"/>
      <c r="K402" s="8"/>
      <c r="L402" s="8"/>
      <c r="M402" s="8"/>
      <c r="N402" s="8" t="str">
        <f>IFERROR(__xludf.DUMMYFUNCTION("""COMPUTED_VALUE"""),"")</f>
        <v/>
      </c>
      <c r="O402" s="8" t="str">
        <f>IFERROR(__xludf.DUMMYFUNCTION("""COMPUTED_VALUE"""),"")</f>
        <v/>
      </c>
      <c r="P402" s="8"/>
      <c r="Q402" s="8"/>
    </row>
    <row r="403">
      <c r="A403" s="8"/>
      <c r="B403" s="25"/>
      <c r="C403" s="385" t="s">
        <v>1426</v>
      </c>
      <c r="D403" s="392"/>
      <c r="E403" s="8"/>
      <c r="F403" s="8"/>
      <c r="G403" s="389"/>
      <c r="H403" s="8" t="b">
        <v>0</v>
      </c>
      <c r="I403" s="388" t="str">
        <f>IFERROR(__xludf.DUMMYFUNCTION("""COMPUTED_VALUE"""),"")</f>
        <v/>
      </c>
      <c r="J403" s="7"/>
      <c r="K403" s="8"/>
      <c r="L403" s="8"/>
      <c r="M403" s="8"/>
      <c r="N403" s="8" t="str">
        <f>IFERROR(__xludf.DUMMYFUNCTION("""COMPUTED_VALUE"""),"")</f>
        <v/>
      </c>
      <c r="O403" s="8" t="str">
        <f>IFERROR(__xludf.DUMMYFUNCTION("""COMPUTED_VALUE"""),"")</f>
        <v/>
      </c>
      <c r="P403" s="8"/>
      <c r="Q403" s="8"/>
    </row>
    <row r="404">
      <c r="A404" s="8"/>
      <c r="B404" s="25"/>
      <c r="C404" s="385" t="s">
        <v>1426</v>
      </c>
      <c r="D404" s="392"/>
      <c r="E404" s="8"/>
      <c r="F404" s="8"/>
      <c r="G404" s="389"/>
      <c r="H404" s="8" t="b">
        <v>0</v>
      </c>
      <c r="I404" s="388" t="str">
        <f>IFERROR(__xludf.DUMMYFUNCTION("""COMPUTED_VALUE"""),"")</f>
        <v/>
      </c>
      <c r="J404" s="7"/>
      <c r="K404" s="8"/>
      <c r="L404" s="8"/>
      <c r="M404" s="8"/>
      <c r="N404" s="8" t="str">
        <f>IFERROR(__xludf.DUMMYFUNCTION("""COMPUTED_VALUE"""),"")</f>
        <v/>
      </c>
      <c r="O404" s="8" t="str">
        <f>IFERROR(__xludf.DUMMYFUNCTION("""COMPUTED_VALUE"""),"")</f>
        <v/>
      </c>
      <c r="P404" s="8"/>
      <c r="Q404" s="8"/>
    </row>
    <row r="405">
      <c r="A405" s="8"/>
      <c r="B405" s="25"/>
      <c r="C405" s="385" t="s">
        <v>1426</v>
      </c>
      <c r="D405" s="392"/>
      <c r="E405" s="8"/>
      <c r="F405" s="8"/>
      <c r="G405" s="389"/>
      <c r="H405" s="8" t="b">
        <v>0</v>
      </c>
      <c r="I405" s="388" t="str">
        <f>IFERROR(__xludf.DUMMYFUNCTION("""COMPUTED_VALUE"""),"")</f>
        <v/>
      </c>
      <c r="J405" s="7"/>
      <c r="K405" s="8"/>
      <c r="L405" s="8"/>
      <c r="M405" s="8"/>
      <c r="N405" s="8" t="str">
        <f>IFERROR(__xludf.DUMMYFUNCTION("""COMPUTED_VALUE"""),"")</f>
        <v/>
      </c>
      <c r="O405" s="8" t="str">
        <f>IFERROR(__xludf.DUMMYFUNCTION("""COMPUTED_VALUE"""),"")</f>
        <v/>
      </c>
      <c r="P405" s="8"/>
      <c r="Q405" s="8"/>
    </row>
    <row r="406">
      <c r="A406" s="8"/>
      <c r="B406" s="25"/>
      <c r="C406" s="385" t="s">
        <v>1426</v>
      </c>
      <c r="D406" s="392"/>
      <c r="E406" s="8"/>
      <c r="F406" s="8"/>
      <c r="G406" s="389"/>
      <c r="H406" s="8" t="b">
        <v>0</v>
      </c>
      <c r="I406" s="388" t="str">
        <f>IFERROR(__xludf.DUMMYFUNCTION("""COMPUTED_VALUE"""),"")</f>
        <v/>
      </c>
      <c r="J406" s="7"/>
      <c r="K406" s="8"/>
      <c r="L406" s="8"/>
      <c r="M406" s="8"/>
      <c r="N406" s="8" t="str">
        <f>IFERROR(__xludf.DUMMYFUNCTION("""COMPUTED_VALUE"""),"")</f>
        <v/>
      </c>
      <c r="O406" s="8" t="str">
        <f>IFERROR(__xludf.DUMMYFUNCTION("""COMPUTED_VALUE"""),"")</f>
        <v/>
      </c>
      <c r="P406" s="8"/>
      <c r="Q406" s="8"/>
    </row>
    <row r="407">
      <c r="A407" s="8"/>
      <c r="B407" s="25"/>
      <c r="C407" s="385" t="s">
        <v>1426</v>
      </c>
      <c r="D407" s="392"/>
      <c r="E407" s="8"/>
      <c r="F407" s="8"/>
      <c r="G407" s="389"/>
      <c r="H407" s="8" t="b">
        <v>0</v>
      </c>
      <c r="I407" s="388" t="str">
        <f>IFERROR(__xludf.DUMMYFUNCTION("""COMPUTED_VALUE"""),"")</f>
        <v/>
      </c>
      <c r="J407" s="7"/>
      <c r="K407" s="8"/>
      <c r="L407" s="8"/>
      <c r="M407" s="8"/>
      <c r="N407" s="8" t="str">
        <f>IFERROR(__xludf.DUMMYFUNCTION("""COMPUTED_VALUE"""),"")</f>
        <v/>
      </c>
      <c r="O407" s="8" t="str">
        <f>IFERROR(__xludf.DUMMYFUNCTION("""COMPUTED_VALUE"""),"")</f>
        <v/>
      </c>
      <c r="P407" s="8"/>
      <c r="Q407" s="8"/>
    </row>
    <row r="408">
      <c r="A408" s="8"/>
      <c r="B408" s="25"/>
      <c r="C408" s="385" t="s">
        <v>1426</v>
      </c>
      <c r="D408" s="392"/>
      <c r="E408" s="8"/>
      <c r="F408" s="8"/>
      <c r="G408" s="389"/>
      <c r="H408" s="8" t="b">
        <v>0</v>
      </c>
      <c r="I408" s="388" t="str">
        <f>IFERROR(__xludf.DUMMYFUNCTION("""COMPUTED_VALUE"""),"")</f>
        <v/>
      </c>
      <c r="J408" s="7"/>
      <c r="K408" s="8"/>
      <c r="L408" s="8"/>
      <c r="M408" s="8"/>
      <c r="N408" s="8" t="str">
        <f>IFERROR(__xludf.DUMMYFUNCTION("""COMPUTED_VALUE"""),"")</f>
        <v/>
      </c>
      <c r="O408" s="8" t="str">
        <f>IFERROR(__xludf.DUMMYFUNCTION("""COMPUTED_VALUE"""),"")</f>
        <v/>
      </c>
      <c r="P408" s="8"/>
      <c r="Q408" s="8"/>
    </row>
    <row r="409">
      <c r="A409" s="8"/>
      <c r="B409" s="25"/>
      <c r="C409" s="385" t="s">
        <v>1426</v>
      </c>
      <c r="D409" s="392"/>
      <c r="E409" s="8"/>
      <c r="F409" s="8"/>
      <c r="G409" s="389"/>
      <c r="H409" s="8" t="b">
        <v>0</v>
      </c>
      <c r="I409" s="388" t="str">
        <f>IFERROR(__xludf.DUMMYFUNCTION("""COMPUTED_VALUE"""),"")</f>
        <v/>
      </c>
      <c r="J409" s="7"/>
      <c r="K409" s="8"/>
      <c r="L409" s="8"/>
      <c r="M409" s="8"/>
      <c r="N409" s="8" t="str">
        <f>IFERROR(__xludf.DUMMYFUNCTION("""COMPUTED_VALUE"""),"")</f>
        <v/>
      </c>
      <c r="O409" s="8" t="str">
        <f>IFERROR(__xludf.DUMMYFUNCTION("""COMPUTED_VALUE"""),"")</f>
        <v/>
      </c>
      <c r="P409" s="8"/>
      <c r="Q409" s="8"/>
    </row>
    <row r="410">
      <c r="A410" s="8"/>
      <c r="B410" s="25"/>
      <c r="C410" s="385" t="s">
        <v>1426</v>
      </c>
      <c r="D410" s="392"/>
      <c r="E410" s="8"/>
      <c r="F410" s="8"/>
      <c r="G410" s="389"/>
      <c r="H410" s="8" t="b">
        <v>0</v>
      </c>
      <c r="I410" s="388" t="str">
        <f>IFERROR(__xludf.DUMMYFUNCTION("""COMPUTED_VALUE"""),"")</f>
        <v/>
      </c>
      <c r="J410" s="7"/>
      <c r="K410" s="8"/>
      <c r="L410" s="8"/>
      <c r="M410" s="8"/>
      <c r="N410" s="8" t="str">
        <f>IFERROR(__xludf.DUMMYFUNCTION("""COMPUTED_VALUE"""),"")</f>
        <v/>
      </c>
      <c r="O410" s="8" t="str">
        <f>IFERROR(__xludf.DUMMYFUNCTION("""COMPUTED_VALUE"""),"")</f>
        <v/>
      </c>
      <c r="P410" s="8"/>
      <c r="Q410" s="8"/>
    </row>
    <row r="411">
      <c r="A411" s="8"/>
      <c r="B411" s="25"/>
      <c r="C411" s="385" t="s">
        <v>1426</v>
      </c>
      <c r="D411" s="392"/>
      <c r="E411" s="8"/>
      <c r="F411" s="8"/>
      <c r="G411" s="389"/>
      <c r="H411" s="8" t="b">
        <v>0</v>
      </c>
      <c r="I411" s="388" t="str">
        <f>IFERROR(__xludf.DUMMYFUNCTION("""COMPUTED_VALUE"""),"")</f>
        <v/>
      </c>
      <c r="J411" s="7"/>
      <c r="K411" s="8"/>
      <c r="L411" s="8"/>
      <c r="M411" s="8"/>
      <c r="N411" s="8" t="str">
        <f>IFERROR(__xludf.DUMMYFUNCTION("""COMPUTED_VALUE"""),"")</f>
        <v/>
      </c>
      <c r="O411" s="8" t="str">
        <f>IFERROR(__xludf.DUMMYFUNCTION("""COMPUTED_VALUE"""),"")</f>
        <v/>
      </c>
      <c r="P411" s="8"/>
      <c r="Q411" s="8"/>
    </row>
    <row r="412">
      <c r="A412" s="8"/>
      <c r="B412" s="25"/>
      <c r="C412" s="385" t="s">
        <v>1426</v>
      </c>
      <c r="D412" s="392"/>
      <c r="E412" s="8"/>
      <c r="F412" s="8"/>
      <c r="G412" s="389"/>
      <c r="H412" s="8" t="b">
        <v>0</v>
      </c>
      <c r="I412" s="388" t="str">
        <f>IFERROR(__xludf.DUMMYFUNCTION("""COMPUTED_VALUE"""),"")</f>
        <v/>
      </c>
      <c r="J412" s="7"/>
      <c r="K412" s="8"/>
      <c r="L412" s="8"/>
      <c r="M412" s="8"/>
      <c r="N412" s="8" t="str">
        <f>IFERROR(__xludf.DUMMYFUNCTION("""COMPUTED_VALUE"""),"")</f>
        <v/>
      </c>
      <c r="O412" s="8" t="str">
        <f>IFERROR(__xludf.DUMMYFUNCTION("""COMPUTED_VALUE"""),"")</f>
        <v/>
      </c>
      <c r="P412" s="8"/>
      <c r="Q412" s="8"/>
    </row>
    <row r="413">
      <c r="A413" s="8"/>
      <c r="B413" s="25"/>
      <c r="C413" s="385" t="s">
        <v>1426</v>
      </c>
      <c r="D413" s="392"/>
      <c r="E413" s="8"/>
      <c r="F413" s="8"/>
      <c r="G413" s="389"/>
      <c r="H413" s="8" t="b">
        <v>0</v>
      </c>
      <c r="I413" s="388" t="str">
        <f>IFERROR(__xludf.DUMMYFUNCTION("""COMPUTED_VALUE"""),"")</f>
        <v/>
      </c>
      <c r="J413" s="7"/>
      <c r="K413" s="8"/>
      <c r="L413" s="8"/>
      <c r="M413" s="8"/>
      <c r="N413" s="8" t="str">
        <f>IFERROR(__xludf.DUMMYFUNCTION("""COMPUTED_VALUE"""),"")</f>
        <v/>
      </c>
      <c r="O413" s="8" t="str">
        <f>IFERROR(__xludf.DUMMYFUNCTION("""COMPUTED_VALUE"""),"")</f>
        <v/>
      </c>
      <c r="P413" s="8"/>
      <c r="Q413" s="8"/>
    </row>
    <row r="414">
      <c r="A414" s="8"/>
      <c r="B414" s="25"/>
      <c r="C414" s="385" t="s">
        <v>1426</v>
      </c>
      <c r="D414" s="392"/>
      <c r="E414" s="8"/>
      <c r="F414" s="8"/>
      <c r="G414" s="389"/>
      <c r="H414" s="8" t="b">
        <v>0</v>
      </c>
      <c r="I414" s="388" t="str">
        <f>IFERROR(__xludf.DUMMYFUNCTION("""COMPUTED_VALUE"""),"")</f>
        <v/>
      </c>
      <c r="J414" s="7"/>
      <c r="K414" s="8"/>
      <c r="L414" s="8"/>
      <c r="M414" s="8"/>
      <c r="N414" s="8" t="str">
        <f>IFERROR(__xludf.DUMMYFUNCTION("""COMPUTED_VALUE"""),"")</f>
        <v/>
      </c>
      <c r="O414" s="8" t="str">
        <f>IFERROR(__xludf.DUMMYFUNCTION("""COMPUTED_VALUE"""),"")</f>
        <v/>
      </c>
      <c r="P414" s="8"/>
      <c r="Q414" s="8"/>
    </row>
    <row r="415">
      <c r="A415" s="8"/>
      <c r="B415" s="25"/>
      <c r="C415" s="385" t="s">
        <v>1426</v>
      </c>
      <c r="D415" s="392"/>
      <c r="E415" s="8"/>
      <c r="F415" s="8"/>
      <c r="G415" s="389"/>
      <c r="H415" s="8" t="b">
        <v>0</v>
      </c>
      <c r="I415" s="388" t="str">
        <f>IFERROR(__xludf.DUMMYFUNCTION("""COMPUTED_VALUE"""),"")</f>
        <v/>
      </c>
      <c r="J415" s="7"/>
      <c r="K415" s="8"/>
      <c r="L415" s="8"/>
      <c r="M415" s="8"/>
      <c r="N415" s="8" t="str">
        <f>IFERROR(__xludf.DUMMYFUNCTION("""COMPUTED_VALUE"""),"")</f>
        <v/>
      </c>
      <c r="O415" s="8" t="str">
        <f>IFERROR(__xludf.DUMMYFUNCTION("""COMPUTED_VALUE"""),"")</f>
        <v/>
      </c>
      <c r="P415" s="8"/>
      <c r="Q415" s="8"/>
    </row>
    <row r="416">
      <c r="A416" s="8"/>
      <c r="B416" s="25"/>
      <c r="C416" s="385" t="s">
        <v>1426</v>
      </c>
      <c r="D416" s="392"/>
      <c r="E416" s="8"/>
      <c r="F416" s="8"/>
      <c r="G416" s="389"/>
      <c r="H416" s="8" t="b">
        <v>0</v>
      </c>
      <c r="I416" s="388" t="str">
        <f>IFERROR(__xludf.DUMMYFUNCTION("""COMPUTED_VALUE"""),"")</f>
        <v/>
      </c>
      <c r="J416" s="7"/>
      <c r="K416" s="8"/>
      <c r="L416" s="8"/>
      <c r="M416" s="8"/>
      <c r="N416" s="8" t="str">
        <f>IFERROR(__xludf.DUMMYFUNCTION("""COMPUTED_VALUE"""),"")</f>
        <v/>
      </c>
      <c r="O416" s="8" t="str">
        <f>IFERROR(__xludf.DUMMYFUNCTION("""COMPUTED_VALUE"""),"")</f>
        <v/>
      </c>
      <c r="P416" s="8"/>
      <c r="Q416" s="8"/>
    </row>
    <row r="417">
      <c r="A417" s="8"/>
      <c r="B417" s="25"/>
      <c r="C417" s="385" t="s">
        <v>1426</v>
      </c>
      <c r="D417" s="392"/>
      <c r="E417" s="8"/>
      <c r="F417" s="8"/>
      <c r="G417" s="389"/>
      <c r="H417" s="8" t="b">
        <v>0</v>
      </c>
      <c r="I417" s="388" t="str">
        <f>IFERROR(__xludf.DUMMYFUNCTION("""COMPUTED_VALUE"""),"")</f>
        <v/>
      </c>
      <c r="J417" s="7"/>
      <c r="K417" s="8"/>
      <c r="L417" s="8"/>
      <c r="M417" s="8"/>
      <c r="N417" s="8" t="str">
        <f>IFERROR(__xludf.DUMMYFUNCTION("""COMPUTED_VALUE"""),"")</f>
        <v/>
      </c>
      <c r="O417" s="8" t="str">
        <f>IFERROR(__xludf.DUMMYFUNCTION("""COMPUTED_VALUE"""),"")</f>
        <v/>
      </c>
      <c r="P417" s="8"/>
      <c r="Q417" s="8"/>
    </row>
    <row r="418">
      <c r="A418" s="8"/>
      <c r="B418" s="25"/>
      <c r="C418" s="385" t="s">
        <v>1426</v>
      </c>
      <c r="D418" s="392"/>
      <c r="E418" s="8"/>
      <c r="F418" s="8"/>
      <c r="G418" s="389"/>
      <c r="H418" s="8" t="b">
        <v>0</v>
      </c>
      <c r="I418" s="388" t="str">
        <f>IFERROR(__xludf.DUMMYFUNCTION("""COMPUTED_VALUE"""),"")</f>
        <v/>
      </c>
      <c r="J418" s="7"/>
      <c r="K418" s="8"/>
      <c r="L418" s="8"/>
      <c r="M418" s="8"/>
      <c r="N418" s="8" t="str">
        <f>IFERROR(__xludf.DUMMYFUNCTION("""COMPUTED_VALUE"""),"")</f>
        <v/>
      </c>
      <c r="O418" s="8" t="str">
        <f>IFERROR(__xludf.DUMMYFUNCTION("""COMPUTED_VALUE"""),"")</f>
        <v/>
      </c>
      <c r="P418" s="8"/>
      <c r="Q418" s="8"/>
    </row>
    <row r="419">
      <c r="A419" s="8"/>
      <c r="B419" s="25"/>
      <c r="C419" s="385" t="s">
        <v>1426</v>
      </c>
      <c r="D419" s="392"/>
      <c r="E419" s="8"/>
      <c r="F419" s="8"/>
      <c r="G419" s="389"/>
      <c r="H419" s="8" t="b">
        <v>0</v>
      </c>
      <c r="I419" s="388" t="str">
        <f>IFERROR(__xludf.DUMMYFUNCTION("""COMPUTED_VALUE"""),"")</f>
        <v/>
      </c>
      <c r="J419" s="7"/>
      <c r="K419" s="8"/>
      <c r="L419" s="8"/>
      <c r="M419" s="8"/>
      <c r="N419" s="8" t="str">
        <f>IFERROR(__xludf.DUMMYFUNCTION("""COMPUTED_VALUE"""),"")</f>
        <v/>
      </c>
      <c r="O419" s="8" t="str">
        <f>IFERROR(__xludf.DUMMYFUNCTION("""COMPUTED_VALUE"""),"")</f>
        <v/>
      </c>
      <c r="P419" s="8"/>
      <c r="Q419" s="8"/>
    </row>
    <row r="420">
      <c r="A420" s="8"/>
      <c r="B420" s="25"/>
      <c r="C420" s="385" t="s">
        <v>1426</v>
      </c>
      <c r="D420" s="392"/>
      <c r="E420" s="8"/>
      <c r="F420" s="8"/>
      <c r="G420" s="389"/>
      <c r="H420" s="8" t="b">
        <v>0</v>
      </c>
      <c r="I420" s="388" t="str">
        <f>IFERROR(__xludf.DUMMYFUNCTION("""COMPUTED_VALUE"""),"")</f>
        <v/>
      </c>
      <c r="J420" s="7"/>
      <c r="K420" s="8"/>
      <c r="L420" s="8"/>
      <c r="M420" s="8"/>
      <c r="N420" s="8" t="str">
        <f>IFERROR(__xludf.DUMMYFUNCTION("""COMPUTED_VALUE"""),"")</f>
        <v/>
      </c>
      <c r="O420" s="8" t="str">
        <f>IFERROR(__xludf.DUMMYFUNCTION("""COMPUTED_VALUE"""),"")</f>
        <v/>
      </c>
      <c r="P420" s="8"/>
      <c r="Q420" s="8"/>
    </row>
    <row r="421">
      <c r="A421" s="8"/>
      <c r="B421" s="25"/>
      <c r="C421" s="385" t="s">
        <v>1426</v>
      </c>
      <c r="D421" s="392"/>
      <c r="E421" s="8"/>
      <c r="F421" s="8"/>
      <c r="G421" s="389"/>
      <c r="H421" s="8" t="b">
        <v>0</v>
      </c>
      <c r="I421" s="388" t="str">
        <f>IFERROR(__xludf.DUMMYFUNCTION("""COMPUTED_VALUE"""),"")</f>
        <v/>
      </c>
      <c r="J421" s="7"/>
      <c r="K421" s="8"/>
      <c r="L421" s="8"/>
      <c r="M421" s="8"/>
      <c r="N421" s="8" t="str">
        <f>IFERROR(__xludf.DUMMYFUNCTION("""COMPUTED_VALUE"""),"")</f>
        <v/>
      </c>
      <c r="O421" s="8" t="str">
        <f>IFERROR(__xludf.DUMMYFUNCTION("""COMPUTED_VALUE"""),"")</f>
        <v/>
      </c>
      <c r="P421" s="8"/>
      <c r="Q421" s="8"/>
    </row>
    <row r="422">
      <c r="A422" s="8"/>
      <c r="B422" s="25"/>
      <c r="C422" s="385" t="s">
        <v>1426</v>
      </c>
      <c r="D422" s="392"/>
      <c r="E422" s="8"/>
      <c r="F422" s="8"/>
      <c r="G422" s="389"/>
      <c r="H422" s="8" t="b">
        <v>0</v>
      </c>
      <c r="I422" s="388" t="str">
        <f>IFERROR(__xludf.DUMMYFUNCTION("""COMPUTED_VALUE"""),"")</f>
        <v/>
      </c>
      <c r="J422" s="7"/>
      <c r="K422" s="8"/>
      <c r="L422" s="8"/>
      <c r="M422" s="8"/>
      <c r="N422" s="8" t="str">
        <f>IFERROR(__xludf.DUMMYFUNCTION("""COMPUTED_VALUE"""),"")</f>
        <v/>
      </c>
      <c r="O422" s="8" t="str">
        <f>IFERROR(__xludf.DUMMYFUNCTION("""COMPUTED_VALUE"""),"")</f>
        <v/>
      </c>
      <c r="P422" s="8"/>
      <c r="Q422" s="8"/>
    </row>
    <row r="423">
      <c r="A423" s="8"/>
      <c r="B423" s="25"/>
      <c r="C423" s="385" t="s">
        <v>1426</v>
      </c>
      <c r="D423" s="392"/>
      <c r="E423" s="8"/>
      <c r="F423" s="8"/>
      <c r="G423" s="389"/>
      <c r="H423" s="8" t="b">
        <v>0</v>
      </c>
      <c r="I423" s="388" t="str">
        <f>IFERROR(__xludf.DUMMYFUNCTION("""COMPUTED_VALUE"""),"")</f>
        <v/>
      </c>
      <c r="J423" s="7"/>
      <c r="K423" s="8"/>
      <c r="L423" s="8"/>
      <c r="M423" s="8"/>
      <c r="N423" s="8" t="str">
        <f>IFERROR(__xludf.DUMMYFUNCTION("""COMPUTED_VALUE"""),"")</f>
        <v/>
      </c>
      <c r="O423" s="8" t="str">
        <f>IFERROR(__xludf.DUMMYFUNCTION("""COMPUTED_VALUE"""),"")</f>
        <v/>
      </c>
      <c r="P423" s="8"/>
      <c r="Q423" s="8"/>
    </row>
    <row r="424">
      <c r="A424" s="8"/>
      <c r="B424" s="25"/>
      <c r="C424" s="385" t="s">
        <v>1426</v>
      </c>
      <c r="D424" s="392"/>
      <c r="E424" s="8"/>
      <c r="F424" s="8"/>
      <c r="G424" s="389"/>
      <c r="H424" s="8" t="b">
        <v>0</v>
      </c>
      <c r="I424" s="388" t="str">
        <f>IFERROR(__xludf.DUMMYFUNCTION("""COMPUTED_VALUE"""),"")</f>
        <v/>
      </c>
      <c r="J424" s="7"/>
      <c r="K424" s="8"/>
      <c r="L424" s="8"/>
      <c r="M424" s="8"/>
      <c r="N424" s="8" t="str">
        <f>IFERROR(__xludf.DUMMYFUNCTION("""COMPUTED_VALUE"""),"")</f>
        <v/>
      </c>
      <c r="O424" s="8" t="str">
        <f>IFERROR(__xludf.DUMMYFUNCTION("""COMPUTED_VALUE"""),"")</f>
        <v/>
      </c>
      <c r="P424" s="8"/>
      <c r="Q424" s="8"/>
    </row>
    <row r="425">
      <c r="A425" s="8"/>
      <c r="B425" s="25"/>
      <c r="C425" s="385" t="s">
        <v>1426</v>
      </c>
      <c r="D425" s="392"/>
      <c r="E425" s="8"/>
      <c r="F425" s="8"/>
      <c r="G425" s="389"/>
      <c r="H425" s="8" t="b">
        <v>0</v>
      </c>
      <c r="I425" s="388" t="str">
        <f>IFERROR(__xludf.DUMMYFUNCTION("""COMPUTED_VALUE"""),"")</f>
        <v/>
      </c>
      <c r="J425" s="7"/>
      <c r="K425" s="8"/>
      <c r="L425" s="8"/>
      <c r="M425" s="8"/>
      <c r="N425" s="8" t="str">
        <f>IFERROR(__xludf.DUMMYFUNCTION("""COMPUTED_VALUE"""),"")</f>
        <v/>
      </c>
      <c r="O425" s="8" t="str">
        <f>IFERROR(__xludf.DUMMYFUNCTION("""COMPUTED_VALUE"""),"")</f>
        <v/>
      </c>
      <c r="P425" s="8"/>
      <c r="Q425" s="8"/>
    </row>
    <row r="426">
      <c r="A426" s="8"/>
      <c r="B426" s="25"/>
      <c r="C426" s="385" t="s">
        <v>1426</v>
      </c>
      <c r="D426" s="392"/>
      <c r="E426" s="8"/>
      <c r="F426" s="8"/>
      <c r="G426" s="389"/>
      <c r="H426" s="8" t="b">
        <v>0</v>
      </c>
      <c r="I426" s="388" t="str">
        <f>IFERROR(__xludf.DUMMYFUNCTION("""COMPUTED_VALUE"""),"")</f>
        <v/>
      </c>
      <c r="J426" s="7"/>
      <c r="K426" s="8"/>
      <c r="L426" s="8"/>
      <c r="M426" s="8"/>
      <c r="N426" s="8" t="str">
        <f>IFERROR(__xludf.DUMMYFUNCTION("""COMPUTED_VALUE"""),"")</f>
        <v/>
      </c>
      <c r="O426" s="8" t="str">
        <f>IFERROR(__xludf.DUMMYFUNCTION("""COMPUTED_VALUE"""),"")</f>
        <v/>
      </c>
      <c r="P426" s="8"/>
      <c r="Q426" s="8"/>
    </row>
    <row r="427">
      <c r="A427" s="8"/>
      <c r="B427" s="25"/>
      <c r="C427" s="385" t="s">
        <v>1426</v>
      </c>
      <c r="D427" s="392"/>
      <c r="E427" s="8"/>
      <c r="F427" s="8"/>
      <c r="G427" s="389"/>
      <c r="H427" s="8" t="b">
        <v>0</v>
      </c>
      <c r="I427" s="388" t="str">
        <f>IFERROR(__xludf.DUMMYFUNCTION("""COMPUTED_VALUE"""),"")</f>
        <v/>
      </c>
      <c r="J427" s="7"/>
      <c r="K427" s="8"/>
      <c r="L427" s="8"/>
      <c r="M427" s="8"/>
      <c r="N427" s="8" t="str">
        <f>IFERROR(__xludf.DUMMYFUNCTION("""COMPUTED_VALUE"""),"")</f>
        <v/>
      </c>
      <c r="O427" s="8" t="str">
        <f>IFERROR(__xludf.DUMMYFUNCTION("""COMPUTED_VALUE"""),"")</f>
        <v/>
      </c>
      <c r="P427" s="8"/>
      <c r="Q427" s="8"/>
    </row>
    <row r="428">
      <c r="A428" s="8"/>
      <c r="B428" s="25"/>
      <c r="C428" s="385" t="s">
        <v>1426</v>
      </c>
      <c r="D428" s="392"/>
      <c r="E428" s="8"/>
      <c r="F428" s="8"/>
      <c r="G428" s="389"/>
      <c r="H428" s="8" t="b">
        <v>0</v>
      </c>
      <c r="I428" s="388" t="str">
        <f>IFERROR(__xludf.DUMMYFUNCTION("""COMPUTED_VALUE"""),"")</f>
        <v/>
      </c>
      <c r="J428" s="7"/>
      <c r="K428" s="8"/>
      <c r="L428" s="8"/>
      <c r="M428" s="8"/>
      <c r="N428" s="8" t="str">
        <f>IFERROR(__xludf.DUMMYFUNCTION("""COMPUTED_VALUE"""),"")</f>
        <v/>
      </c>
      <c r="O428" s="8" t="str">
        <f>IFERROR(__xludf.DUMMYFUNCTION("""COMPUTED_VALUE"""),"")</f>
        <v/>
      </c>
      <c r="P428" s="8"/>
      <c r="Q428" s="8"/>
    </row>
    <row r="429">
      <c r="A429" s="8"/>
      <c r="B429" s="25"/>
      <c r="C429" s="385" t="s">
        <v>1426</v>
      </c>
      <c r="D429" s="392"/>
      <c r="E429" s="8"/>
      <c r="F429" s="8"/>
      <c r="G429" s="389"/>
      <c r="H429" s="8" t="b">
        <v>0</v>
      </c>
      <c r="I429" s="388" t="str">
        <f>IFERROR(__xludf.DUMMYFUNCTION("""COMPUTED_VALUE"""),"")</f>
        <v/>
      </c>
      <c r="J429" s="7"/>
      <c r="K429" s="8"/>
      <c r="L429" s="8"/>
      <c r="M429" s="8"/>
      <c r="N429" s="8" t="str">
        <f>IFERROR(__xludf.DUMMYFUNCTION("""COMPUTED_VALUE"""),"")</f>
        <v/>
      </c>
      <c r="O429" s="8" t="str">
        <f>IFERROR(__xludf.DUMMYFUNCTION("""COMPUTED_VALUE"""),"")</f>
        <v/>
      </c>
      <c r="P429" s="8"/>
      <c r="Q429" s="8"/>
    </row>
    <row r="430">
      <c r="A430" s="8"/>
      <c r="B430" s="25"/>
      <c r="C430" s="385" t="s">
        <v>1426</v>
      </c>
      <c r="D430" s="392"/>
      <c r="E430" s="8"/>
      <c r="F430" s="8"/>
      <c r="G430" s="389"/>
      <c r="H430" s="8" t="b">
        <v>0</v>
      </c>
      <c r="I430" s="388" t="str">
        <f>IFERROR(__xludf.DUMMYFUNCTION("""COMPUTED_VALUE"""),"")</f>
        <v/>
      </c>
      <c r="J430" s="7"/>
      <c r="K430" s="8"/>
      <c r="L430" s="8"/>
      <c r="M430" s="8"/>
      <c r="N430" s="8" t="str">
        <f>IFERROR(__xludf.DUMMYFUNCTION("""COMPUTED_VALUE"""),"")</f>
        <v/>
      </c>
      <c r="O430" s="8" t="str">
        <f>IFERROR(__xludf.DUMMYFUNCTION("""COMPUTED_VALUE"""),"")</f>
        <v/>
      </c>
      <c r="P430" s="8"/>
      <c r="Q430" s="8"/>
    </row>
    <row r="431">
      <c r="A431" s="8"/>
      <c r="B431" s="25"/>
      <c r="C431" s="385" t="s">
        <v>1426</v>
      </c>
      <c r="D431" s="392"/>
      <c r="E431" s="8"/>
      <c r="F431" s="8"/>
      <c r="G431" s="389"/>
      <c r="H431" s="8" t="b">
        <v>0</v>
      </c>
      <c r="I431" s="388" t="str">
        <f>IFERROR(__xludf.DUMMYFUNCTION("""COMPUTED_VALUE"""),"")</f>
        <v/>
      </c>
      <c r="J431" s="7"/>
      <c r="K431" s="8"/>
      <c r="L431" s="8"/>
      <c r="M431" s="8"/>
      <c r="N431" s="8" t="str">
        <f>IFERROR(__xludf.DUMMYFUNCTION("""COMPUTED_VALUE"""),"")</f>
        <v/>
      </c>
      <c r="O431" s="8" t="str">
        <f>IFERROR(__xludf.DUMMYFUNCTION("""COMPUTED_VALUE"""),"")</f>
        <v/>
      </c>
      <c r="P431" s="8"/>
      <c r="Q431" s="8"/>
    </row>
    <row r="432">
      <c r="A432" s="8"/>
      <c r="B432" s="25"/>
      <c r="C432" s="385" t="s">
        <v>1426</v>
      </c>
      <c r="D432" s="392"/>
      <c r="E432" s="8"/>
      <c r="F432" s="8"/>
      <c r="G432" s="389"/>
      <c r="H432" s="8" t="b">
        <v>0</v>
      </c>
      <c r="I432" s="388" t="str">
        <f>IFERROR(__xludf.DUMMYFUNCTION("""COMPUTED_VALUE"""),"")</f>
        <v/>
      </c>
      <c r="J432" s="7"/>
      <c r="K432" s="8"/>
      <c r="L432" s="8"/>
      <c r="M432" s="8"/>
      <c r="N432" s="8" t="str">
        <f>IFERROR(__xludf.DUMMYFUNCTION("""COMPUTED_VALUE"""),"")</f>
        <v/>
      </c>
      <c r="O432" s="8" t="str">
        <f>IFERROR(__xludf.DUMMYFUNCTION("""COMPUTED_VALUE"""),"")</f>
        <v/>
      </c>
      <c r="P432" s="8"/>
      <c r="Q432" s="8"/>
    </row>
    <row r="433">
      <c r="A433" s="8"/>
      <c r="B433" s="25"/>
      <c r="C433" s="385" t="s">
        <v>1426</v>
      </c>
      <c r="D433" s="392"/>
      <c r="E433" s="8"/>
      <c r="F433" s="8"/>
      <c r="G433" s="389"/>
      <c r="H433" s="8" t="b">
        <v>0</v>
      </c>
      <c r="I433" s="388" t="str">
        <f>IFERROR(__xludf.DUMMYFUNCTION("""COMPUTED_VALUE"""),"")</f>
        <v/>
      </c>
      <c r="J433" s="7"/>
      <c r="K433" s="8"/>
      <c r="L433" s="8"/>
      <c r="M433" s="8"/>
      <c r="N433" s="8" t="str">
        <f>IFERROR(__xludf.DUMMYFUNCTION("""COMPUTED_VALUE"""),"")</f>
        <v/>
      </c>
      <c r="O433" s="8" t="str">
        <f>IFERROR(__xludf.DUMMYFUNCTION("""COMPUTED_VALUE"""),"")</f>
        <v/>
      </c>
      <c r="P433" s="8"/>
      <c r="Q433" s="8"/>
    </row>
    <row r="434">
      <c r="A434" s="8"/>
      <c r="B434" s="25"/>
      <c r="C434" s="385" t="s">
        <v>1426</v>
      </c>
      <c r="D434" s="392"/>
      <c r="E434" s="8"/>
      <c r="F434" s="8"/>
      <c r="G434" s="389"/>
      <c r="H434" s="8" t="b">
        <v>0</v>
      </c>
      <c r="I434" s="388" t="str">
        <f>IFERROR(__xludf.DUMMYFUNCTION("""COMPUTED_VALUE"""),"")</f>
        <v/>
      </c>
      <c r="J434" s="7"/>
      <c r="K434" s="8"/>
      <c r="L434" s="8"/>
      <c r="M434" s="8"/>
      <c r="N434" s="8" t="str">
        <f>IFERROR(__xludf.DUMMYFUNCTION("""COMPUTED_VALUE"""),"")</f>
        <v/>
      </c>
      <c r="O434" s="8" t="str">
        <f>IFERROR(__xludf.DUMMYFUNCTION("""COMPUTED_VALUE"""),"")</f>
        <v/>
      </c>
      <c r="P434" s="8"/>
      <c r="Q434" s="8"/>
    </row>
    <row r="435">
      <c r="A435" s="8"/>
      <c r="B435" s="25"/>
      <c r="C435" s="385" t="s">
        <v>1426</v>
      </c>
      <c r="D435" s="392"/>
      <c r="E435" s="8"/>
      <c r="F435" s="8"/>
      <c r="G435" s="389"/>
      <c r="H435" s="8" t="b">
        <v>0</v>
      </c>
      <c r="I435" s="388" t="str">
        <f>IFERROR(__xludf.DUMMYFUNCTION("""COMPUTED_VALUE"""),"")</f>
        <v/>
      </c>
      <c r="J435" s="7"/>
      <c r="K435" s="8"/>
      <c r="L435" s="8"/>
      <c r="M435" s="8"/>
      <c r="N435" s="8" t="str">
        <f>IFERROR(__xludf.DUMMYFUNCTION("""COMPUTED_VALUE"""),"")</f>
        <v/>
      </c>
      <c r="O435" s="8" t="str">
        <f>IFERROR(__xludf.DUMMYFUNCTION("""COMPUTED_VALUE"""),"")</f>
        <v/>
      </c>
      <c r="P435" s="8"/>
      <c r="Q435" s="8"/>
    </row>
    <row r="436">
      <c r="A436" s="8"/>
      <c r="B436" s="25"/>
      <c r="C436" s="385" t="s">
        <v>1426</v>
      </c>
      <c r="D436" s="392"/>
      <c r="E436" s="8"/>
      <c r="F436" s="8"/>
      <c r="G436" s="389"/>
      <c r="H436" s="8" t="b">
        <v>0</v>
      </c>
      <c r="I436" s="388" t="str">
        <f>IFERROR(__xludf.DUMMYFUNCTION("""COMPUTED_VALUE"""),"")</f>
        <v/>
      </c>
      <c r="J436" s="7"/>
      <c r="K436" s="8"/>
      <c r="L436" s="8"/>
      <c r="M436" s="8"/>
      <c r="N436" s="8" t="str">
        <f>IFERROR(__xludf.DUMMYFUNCTION("""COMPUTED_VALUE"""),"")</f>
        <v/>
      </c>
      <c r="O436" s="8" t="str">
        <f>IFERROR(__xludf.DUMMYFUNCTION("""COMPUTED_VALUE"""),"")</f>
        <v/>
      </c>
      <c r="P436" s="8"/>
      <c r="Q436" s="8"/>
    </row>
    <row r="437">
      <c r="A437" s="8"/>
      <c r="B437" s="25"/>
      <c r="C437" s="385" t="s">
        <v>1426</v>
      </c>
      <c r="D437" s="392"/>
      <c r="E437" s="8"/>
      <c r="F437" s="8"/>
      <c r="G437" s="389"/>
      <c r="H437" s="8" t="b">
        <v>0</v>
      </c>
      <c r="I437" s="388" t="str">
        <f>IFERROR(__xludf.DUMMYFUNCTION("""COMPUTED_VALUE"""),"")</f>
        <v/>
      </c>
      <c r="J437" s="7"/>
      <c r="K437" s="8"/>
      <c r="L437" s="8"/>
      <c r="M437" s="8"/>
      <c r="N437" s="8" t="str">
        <f>IFERROR(__xludf.DUMMYFUNCTION("""COMPUTED_VALUE"""),"")</f>
        <v/>
      </c>
      <c r="O437" s="8" t="str">
        <f>IFERROR(__xludf.DUMMYFUNCTION("""COMPUTED_VALUE"""),"")</f>
        <v/>
      </c>
      <c r="P437" s="8"/>
      <c r="Q437" s="8"/>
    </row>
    <row r="438">
      <c r="A438" s="8"/>
      <c r="B438" s="25"/>
      <c r="C438" s="385" t="s">
        <v>1426</v>
      </c>
      <c r="D438" s="392"/>
      <c r="E438" s="8"/>
      <c r="F438" s="8"/>
      <c r="G438" s="389"/>
      <c r="H438" s="8" t="b">
        <v>0</v>
      </c>
      <c r="I438" s="388" t="str">
        <f>IFERROR(__xludf.DUMMYFUNCTION("""COMPUTED_VALUE"""),"")</f>
        <v/>
      </c>
      <c r="J438" s="7"/>
      <c r="K438" s="8"/>
      <c r="L438" s="8"/>
      <c r="M438" s="8"/>
      <c r="N438" s="8" t="str">
        <f>IFERROR(__xludf.DUMMYFUNCTION("""COMPUTED_VALUE"""),"")</f>
        <v/>
      </c>
      <c r="O438" s="8" t="str">
        <f>IFERROR(__xludf.DUMMYFUNCTION("""COMPUTED_VALUE"""),"")</f>
        <v/>
      </c>
      <c r="P438" s="8"/>
      <c r="Q438" s="8"/>
    </row>
    <row r="439">
      <c r="A439" s="8"/>
      <c r="B439" s="25"/>
      <c r="C439" s="385" t="s">
        <v>1426</v>
      </c>
      <c r="D439" s="392"/>
      <c r="E439" s="8"/>
      <c r="F439" s="8"/>
      <c r="G439" s="389"/>
      <c r="H439" s="8" t="b">
        <v>0</v>
      </c>
      <c r="I439" s="388" t="str">
        <f>IFERROR(__xludf.DUMMYFUNCTION("""COMPUTED_VALUE"""),"")</f>
        <v/>
      </c>
      <c r="J439" s="7"/>
      <c r="K439" s="8"/>
      <c r="L439" s="8"/>
      <c r="M439" s="8"/>
      <c r="N439" s="8" t="str">
        <f>IFERROR(__xludf.DUMMYFUNCTION("""COMPUTED_VALUE"""),"")</f>
        <v/>
      </c>
      <c r="O439" s="8" t="str">
        <f>IFERROR(__xludf.DUMMYFUNCTION("""COMPUTED_VALUE"""),"")</f>
        <v/>
      </c>
      <c r="P439" s="8"/>
      <c r="Q439" s="8"/>
    </row>
    <row r="440">
      <c r="A440" s="8"/>
      <c r="B440" s="25"/>
      <c r="C440" s="385" t="s">
        <v>1426</v>
      </c>
      <c r="D440" s="392"/>
      <c r="E440" s="8"/>
      <c r="F440" s="8"/>
      <c r="G440" s="389"/>
      <c r="H440" s="8" t="b">
        <v>0</v>
      </c>
      <c r="I440" s="388" t="str">
        <f>IFERROR(__xludf.DUMMYFUNCTION("""COMPUTED_VALUE"""),"")</f>
        <v/>
      </c>
      <c r="J440" s="7"/>
      <c r="K440" s="8"/>
      <c r="L440" s="8"/>
      <c r="M440" s="8"/>
      <c r="N440" s="8" t="str">
        <f>IFERROR(__xludf.DUMMYFUNCTION("""COMPUTED_VALUE"""),"")</f>
        <v/>
      </c>
      <c r="O440" s="8" t="str">
        <f>IFERROR(__xludf.DUMMYFUNCTION("""COMPUTED_VALUE"""),"")</f>
        <v/>
      </c>
      <c r="P440" s="8"/>
      <c r="Q440" s="8"/>
    </row>
    <row r="441">
      <c r="A441" s="8"/>
      <c r="B441" s="25"/>
      <c r="C441" s="385" t="s">
        <v>1426</v>
      </c>
      <c r="D441" s="392"/>
      <c r="E441" s="8"/>
      <c r="F441" s="8"/>
      <c r="G441" s="389"/>
      <c r="H441" s="8" t="b">
        <v>0</v>
      </c>
      <c r="I441" s="388" t="str">
        <f>IFERROR(__xludf.DUMMYFUNCTION("""COMPUTED_VALUE"""),"")</f>
        <v/>
      </c>
      <c r="J441" s="7"/>
      <c r="K441" s="8"/>
      <c r="L441" s="8"/>
      <c r="M441" s="8"/>
      <c r="N441" s="8" t="str">
        <f>IFERROR(__xludf.DUMMYFUNCTION("""COMPUTED_VALUE"""),"")</f>
        <v/>
      </c>
      <c r="O441" s="8" t="str">
        <f>IFERROR(__xludf.DUMMYFUNCTION("""COMPUTED_VALUE"""),"")</f>
        <v/>
      </c>
      <c r="P441" s="8"/>
      <c r="Q441" s="8"/>
    </row>
    <row r="442">
      <c r="A442" s="8"/>
      <c r="B442" s="25"/>
      <c r="C442" s="385" t="s">
        <v>1426</v>
      </c>
      <c r="D442" s="392"/>
      <c r="E442" s="8"/>
      <c r="F442" s="8"/>
      <c r="G442" s="389"/>
      <c r="H442" s="8" t="b">
        <v>0</v>
      </c>
      <c r="I442" s="388" t="str">
        <f>IFERROR(__xludf.DUMMYFUNCTION("""COMPUTED_VALUE"""),"")</f>
        <v/>
      </c>
      <c r="J442" s="7"/>
      <c r="K442" s="8"/>
      <c r="L442" s="8"/>
      <c r="M442" s="8"/>
      <c r="N442" s="8" t="str">
        <f>IFERROR(__xludf.DUMMYFUNCTION("""COMPUTED_VALUE"""),"")</f>
        <v/>
      </c>
      <c r="O442" s="8" t="str">
        <f>IFERROR(__xludf.DUMMYFUNCTION("""COMPUTED_VALUE"""),"")</f>
        <v/>
      </c>
      <c r="P442" s="8"/>
      <c r="Q442" s="8"/>
    </row>
    <row r="443">
      <c r="A443" s="8"/>
      <c r="B443" s="25"/>
      <c r="C443" s="385" t="s">
        <v>1426</v>
      </c>
      <c r="D443" s="392"/>
      <c r="E443" s="8"/>
      <c r="F443" s="8"/>
      <c r="G443" s="389"/>
      <c r="H443" s="8" t="b">
        <v>0</v>
      </c>
      <c r="I443" s="388" t="str">
        <f>IFERROR(__xludf.DUMMYFUNCTION("""COMPUTED_VALUE"""),"")</f>
        <v/>
      </c>
      <c r="J443" s="7"/>
      <c r="K443" s="8"/>
      <c r="L443" s="8"/>
      <c r="M443" s="8"/>
      <c r="N443" s="8" t="str">
        <f>IFERROR(__xludf.DUMMYFUNCTION("""COMPUTED_VALUE"""),"")</f>
        <v/>
      </c>
      <c r="O443" s="8" t="str">
        <f>IFERROR(__xludf.DUMMYFUNCTION("""COMPUTED_VALUE"""),"")</f>
        <v/>
      </c>
      <c r="P443" s="8"/>
      <c r="Q443" s="8"/>
    </row>
    <row r="444">
      <c r="A444" s="8"/>
      <c r="B444" s="25"/>
      <c r="C444" s="385" t="s">
        <v>1426</v>
      </c>
      <c r="D444" s="392"/>
      <c r="E444" s="8"/>
      <c r="F444" s="8"/>
      <c r="G444" s="389"/>
      <c r="H444" s="8" t="b">
        <v>0</v>
      </c>
      <c r="I444" s="388" t="str">
        <f>IFERROR(__xludf.DUMMYFUNCTION("""COMPUTED_VALUE"""),"")</f>
        <v/>
      </c>
      <c r="J444" s="7"/>
      <c r="K444" s="8"/>
      <c r="L444" s="8"/>
      <c r="M444" s="8"/>
      <c r="N444" s="8" t="str">
        <f>IFERROR(__xludf.DUMMYFUNCTION("""COMPUTED_VALUE"""),"")</f>
        <v/>
      </c>
      <c r="O444" s="8" t="str">
        <f>IFERROR(__xludf.DUMMYFUNCTION("""COMPUTED_VALUE"""),"")</f>
        <v/>
      </c>
      <c r="P444" s="8"/>
      <c r="Q444" s="8"/>
    </row>
    <row r="445">
      <c r="A445" s="8"/>
      <c r="B445" s="25"/>
      <c r="C445" s="385" t="s">
        <v>1426</v>
      </c>
      <c r="D445" s="392"/>
      <c r="E445" s="8"/>
      <c r="F445" s="8"/>
      <c r="G445" s="389"/>
      <c r="H445" s="8" t="b">
        <v>0</v>
      </c>
      <c r="I445" s="388" t="str">
        <f>IFERROR(__xludf.DUMMYFUNCTION("""COMPUTED_VALUE"""),"")</f>
        <v/>
      </c>
      <c r="J445" s="7"/>
      <c r="K445" s="8"/>
      <c r="L445" s="8"/>
      <c r="M445" s="8"/>
      <c r="N445" s="8" t="str">
        <f>IFERROR(__xludf.DUMMYFUNCTION("""COMPUTED_VALUE"""),"")</f>
        <v/>
      </c>
      <c r="O445" s="8" t="str">
        <f>IFERROR(__xludf.DUMMYFUNCTION("""COMPUTED_VALUE"""),"")</f>
        <v/>
      </c>
      <c r="P445" s="8"/>
      <c r="Q445" s="8"/>
    </row>
    <row r="446">
      <c r="A446" s="8"/>
      <c r="B446" s="25"/>
      <c r="C446" s="385" t="s">
        <v>1426</v>
      </c>
      <c r="D446" s="392"/>
      <c r="E446" s="8"/>
      <c r="F446" s="8"/>
      <c r="G446" s="389"/>
      <c r="H446" s="8" t="b">
        <v>0</v>
      </c>
      <c r="I446" s="388" t="str">
        <f>IFERROR(__xludf.DUMMYFUNCTION("""COMPUTED_VALUE"""),"")</f>
        <v/>
      </c>
      <c r="J446" s="7"/>
      <c r="K446" s="8"/>
      <c r="L446" s="8"/>
      <c r="M446" s="8"/>
      <c r="N446" s="8" t="str">
        <f>IFERROR(__xludf.DUMMYFUNCTION("""COMPUTED_VALUE"""),"")</f>
        <v/>
      </c>
      <c r="O446" s="8" t="str">
        <f>IFERROR(__xludf.DUMMYFUNCTION("""COMPUTED_VALUE"""),"")</f>
        <v/>
      </c>
      <c r="P446" s="8"/>
      <c r="Q446" s="8"/>
    </row>
    <row r="447">
      <c r="A447" s="8"/>
      <c r="B447" s="25"/>
      <c r="C447" s="385" t="s">
        <v>1426</v>
      </c>
      <c r="D447" s="392"/>
      <c r="E447" s="8"/>
      <c r="F447" s="8"/>
      <c r="G447" s="389"/>
      <c r="H447" s="8" t="b">
        <v>0</v>
      </c>
      <c r="I447" s="388" t="str">
        <f>IFERROR(__xludf.DUMMYFUNCTION("""COMPUTED_VALUE"""),"")</f>
        <v/>
      </c>
      <c r="J447" s="7"/>
      <c r="K447" s="8"/>
      <c r="L447" s="8"/>
      <c r="M447" s="8"/>
      <c r="N447" s="8" t="str">
        <f>IFERROR(__xludf.DUMMYFUNCTION("""COMPUTED_VALUE"""),"")</f>
        <v/>
      </c>
      <c r="O447" s="8" t="str">
        <f>IFERROR(__xludf.DUMMYFUNCTION("""COMPUTED_VALUE"""),"")</f>
        <v/>
      </c>
      <c r="P447" s="8"/>
      <c r="Q447" s="8"/>
    </row>
    <row r="448">
      <c r="A448" s="8"/>
      <c r="B448" s="25"/>
      <c r="C448" s="385" t="s">
        <v>1426</v>
      </c>
      <c r="D448" s="392"/>
      <c r="E448" s="8"/>
      <c r="F448" s="8"/>
      <c r="G448" s="389"/>
      <c r="H448" s="8" t="b">
        <v>0</v>
      </c>
      <c r="I448" s="388" t="str">
        <f>IFERROR(__xludf.DUMMYFUNCTION("""COMPUTED_VALUE"""),"")</f>
        <v/>
      </c>
      <c r="J448" s="7"/>
      <c r="K448" s="8"/>
      <c r="L448" s="8"/>
      <c r="M448" s="8"/>
      <c r="N448" s="8" t="str">
        <f>IFERROR(__xludf.DUMMYFUNCTION("""COMPUTED_VALUE"""),"")</f>
        <v/>
      </c>
      <c r="O448" s="8" t="str">
        <f>IFERROR(__xludf.DUMMYFUNCTION("""COMPUTED_VALUE"""),"")</f>
        <v/>
      </c>
      <c r="P448" s="8"/>
      <c r="Q448" s="8"/>
    </row>
    <row r="449">
      <c r="A449" s="8"/>
      <c r="B449" s="25"/>
      <c r="C449" s="385" t="s">
        <v>1426</v>
      </c>
      <c r="D449" s="392"/>
      <c r="E449" s="8"/>
      <c r="F449" s="8"/>
      <c r="G449" s="389"/>
      <c r="H449" s="8" t="b">
        <v>0</v>
      </c>
      <c r="I449" s="388" t="str">
        <f>IFERROR(__xludf.DUMMYFUNCTION("""COMPUTED_VALUE"""),"")</f>
        <v/>
      </c>
      <c r="J449" s="7"/>
      <c r="K449" s="8"/>
      <c r="L449" s="8"/>
      <c r="M449" s="8"/>
      <c r="N449" s="8" t="str">
        <f>IFERROR(__xludf.DUMMYFUNCTION("""COMPUTED_VALUE"""),"")</f>
        <v/>
      </c>
      <c r="O449" s="8" t="str">
        <f>IFERROR(__xludf.DUMMYFUNCTION("""COMPUTED_VALUE"""),"")</f>
        <v/>
      </c>
      <c r="P449" s="8"/>
      <c r="Q449" s="8"/>
    </row>
    <row r="450">
      <c r="A450" s="8"/>
      <c r="B450" s="25"/>
      <c r="C450" s="385" t="s">
        <v>1426</v>
      </c>
      <c r="D450" s="392"/>
      <c r="E450" s="8"/>
      <c r="F450" s="8"/>
      <c r="G450" s="389"/>
      <c r="H450" s="8" t="b">
        <v>0</v>
      </c>
      <c r="I450" s="388" t="str">
        <f>IFERROR(__xludf.DUMMYFUNCTION("""COMPUTED_VALUE"""),"")</f>
        <v/>
      </c>
      <c r="J450" s="7"/>
      <c r="K450" s="8"/>
      <c r="L450" s="8"/>
      <c r="M450" s="8"/>
      <c r="N450" s="8" t="str">
        <f>IFERROR(__xludf.DUMMYFUNCTION("""COMPUTED_VALUE"""),"")</f>
        <v/>
      </c>
      <c r="O450" s="8" t="str">
        <f>IFERROR(__xludf.DUMMYFUNCTION("""COMPUTED_VALUE"""),"")</f>
        <v/>
      </c>
      <c r="P450" s="8"/>
      <c r="Q450" s="8"/>
    </row>
    <row r="451">
      <c r="A451" s="8"/>
      <c r="B451" s="25"/>
      <c r="C451" s="385" t="s">
        <v>1426</v>
      </c>
      <c r="D451" s="392"/>
      <c r="E451" s="8"/>
      <c r="F451" s="8"/>
      <c r="G451" s="389"/>
      <c r="H451" s="8" t="b">
        <v>0</v>
      </c>
      <c r="I451" s="388" t="str">
        <f>IFERROR(__xludf.DUMMYFUNCTION("""COMPUTED_VALUE"""),"")</f>
        <v/>
      </c>
      <c r="J451" s="7"/>
      <c r="K451" s="8"/>
      <c r="L451" s="8"/>
      <c r="M451" s="8"/>
      <c r="N451" s="8" t="str">
        <f>IFERROR(__xludf.DUMMYFUNCTION("""COMPUTED_VALUE"""),"")</f>
        <v/>
      </c>
      <c r="O451" s="8" t="str">
        <f>IFERROR(__xludf.DUMMYFUNCTION("""COMPUTED_VALUE"""),"")</f>
        <v/>
      </c>
      <c r="P451" s="8"/>
      <c r="Q451" s="8"/>
    </row>
    <row r="452">
      <c r="A452" s="8"/>
      <c r="B452" s="25"/>
      <c r="C452" s="385" t="s">
        <v>1426</v>
      </c>
      <c r="D452" s="392"/>
      <c r="E452" s="8"/>
      <c r="F452" s="8"/>
      <c r="G452" s="389"/>
      <c r="H452" s="8" t="b">
        <v>0</v>
      </c>
      <c r="I452" s="388" t="str">
        <f>IFERROR(__xludf.DUMMYFUNCTION("""COMPUTED_VALUE"""),"")</f>
        <v/>
      </c>
      <c r="J452" s="7"/>
      <c r="K452" s="8"/>
      <c r="L452" s="8"/>
      <c r="M452" s="8"/>
      <c r="N452" s="8" t="str">
        <f>IFERROR(__xludf.DUMMYFUNCTION("""COMPUTED_VALUE"""),"")</f>
        <v/>
      </c>
      <c r="O452" s="8" t="str">
        <f>IFERROR(__xludf.DUMMYFUNCTION("""COMPUTED_VALUE"""),"")</f>
        <v/>
      </c>
      <c r="P452" s="8"/>
      <c r="Q452" s="8"/>
    </row>
    <row r="453">
      <c r="A453" s="8"/>
      <c r="B453" s="25"/>
      <c r="C453" s="385" t="s">
        <v>1426</v>
      </c>
      <c r="D453" s="392"/>
      <c r="E453" s="8"/>
      <c r="F453" s="8"/>
      <c r="G453" s="389"/>
      <c r="H453" s="8" t="b">
        <v>0</v>
      </c>
      <c r="I453" s="388" t="str">
        <f>IFERROR(__xludf.DUMMYFUNCTION("""COMPUTED_VALUE"""),"")</f>
        <v/>
      </c>
      <c r="J453" s="7"/>
      <c r="K453" s="8"/>
      <c r="L453" s="8"/>
      <c r="M453" s="8"/>
      <c r="N453" s="8" t="str">
        <f>IFERROR(__xludf.DUMMYFUNCTION("""COMPUTED_VALUE"""),"")</f>
        <v/>
      </c>
      <c r="O453" s="8" t="str">
        <f>IFERROR(__xludf.DUMMYFUNCTION("""COMPUTED_VALUE"""),"")</f>
        <v/>
      </c>
      <c r="P453" s="8"/>
      <c r="Q453" s="8"/>
    </row>
    <row r="454">
      <c r="A454" s="8"/>
      <c r="B454" s="25"/>
      <c r="C454" s="385" t="s">
        <v>1426</v>
      </c>
      <c r="D454" s="392"/>
      <c r="E454" s="8"/>
      <c r="F454" s="8"/>
      <c r="G454" s="389"/>
      <c r="H454" s="8" t="b">
        <v>0</v>
      </c>
      <c r="I454" s="388" t="str">
        <f>IFERROR(__xludf.DUMMYFUNCTION("""COMPUTED_VALUE"""),"")</f>
        <v/>
      </c>
      <c r="J454" s="7"/>
      <c r="K454" s="8"/>
      <c r="L454" s="8"/>
      <c r="M454" s="8"/>
      <c r="N454" s="8" t="str">
        <f>IFERROR(__xludf.DUMMYFUNCTION("""COMPUTED_VALUE"""),"")</f>
        <v/>
      </c>
      <c r="O454" s="8" t="str">
        <f>IFERROR(__xludf.DUMMYFUNCTION("""COMPUTED_VALUE"""),"")</f>
        <v/>
      </c>
      <c r="P454" s="8"/>
      <c r="Q454" s="8"/>
    </row>
    <row r="455">
      <c r="A455" s="8"/>
      <c r="B455" s="25"/>
      <c r="C455" s="385" t="s">
        <v>1426</v>
      </c>
      <c r="D455" s="392"/>
      <c r="E455" s="8"/>
      <c r="F455" s="8"/>
      <c r="G455" s="389"/>
      <c r="H455" s="8" t="b">
        <v>0</v>
      </c>
      <c r="I455" s="388" t="str">
        <f>IFERROR(__xludf.DUMMYFUNCTION("""COMPUTED_VALUE"""),"")</f>
        <v/>
      </c>
      <c r="J455" s="7"/>
      <c r="K455" s="8"/>
      <c r="L455" s="8"/>
      <c r="M455" s="8"/>
      <c r="N455" s="8" t="str">
        <f>IFERROR(__xludf.DUMMYFUNCTION("""COMPUTED_VALUE"""),"")</f>
        <v/>
      </c>
      <c r="O455" s="8" t="str">
        <f>IFERROR(__xludf.DUMMYFUNCTION("""COMPUTED_VALUE"""),"")</f>
        <v/>
      </c>
      <c r="P455" s="8"/>
      <c r="Q455" s="8"/>
    </row>
    <row r="456">
      <c r="A456" s="8"/>
      <c r="B456" s="25"/>
      <c r="C456" s="385" t="s">
        <v>1426</v>
      </c>
      <c r="D456" s="392"/>
      <c r="E456" s="8"/>
      <c r="F456" s="8"/>
      <c r="G456" s="389"/>
      <c r="H456" s="8" t="b">
        <v>0</v>
      </c>
      <c r="I456" s="388" t="str">
        <f>IFERROR(__xludf.DUMMYFUNCTION("""COMPUTED_VALUE"""),"")</f>
        <v/>
      </c>
      <c r="J456" s="7"/>
      <c r="K456" s="8"/>
      <c r="L456" s="8"/>
      <c r="M456" s="8"/>
      <c r="N456" s="8" t="str">
        <f>IFERROR(__xludf.DUMMYFUNCTION("""COMPUTED_VALUE"""),"")</f>
        <v/>
      </c>
      <c r="O456" s="8" t="str">
        <f>IFERROR(__xludf.DUMMYFUNCTION("""COMPUTED_VALUE"""),"")</f>
        <v/>
      </c>
      <c r="P456" s="8"/>
      <c r="Q456" s="8"/>
    </row>
    <row r="457">
      <c r="A457" s="8"/>
      <c r="B457" s="25"/>
      <c r="C457" s="385" t="s">
        <v>1426</v>
      </c>
      <c r="D457" s="392"/>
      <c r="E457" s="8"/>
      <c r="F457" s="8"/>
      <c r="G457" s="389"/>
      <c r="H457" s="8" t="b">
        <v>0</v>
      </c>
      <c r="I457" s="388" t="str">
        <f>IFERROR(__xludf.DUMMYFUNCTION("""COMPUTED_VALUE"""),"")</f>
        <v/>
      </c>
      <c r="J457" s="7"/>
      <c r="K457" s="8"/>
      <c r="L457" s="8"/>
      <c r="M457" s="8"/>
      <c r="N457" s="8" t="str">
        <f>IFERROR(__xludf.DUMMYFUNCTION("""COMPUTED_VALUE"""),"")</f>
        <v/>
      </c>
      <c r="O457" s="8" t="str">
        <f>IFERROR(__xludf.DUMMYFUNCTION("""COMPUTED_VALUE"""),"")</f>
        <v/>
      </c>
      <c r="P457" s="8"/>
      <c r="Q457" s="8"/>
    </row>
    <row r="458">
      <c r="A458" s="8"/>
      <c r="B458" s="25"/>
      <c r="C458" s="385" t="s">
        <v>1426</v>
      </c>
      <c r="D458" s="392"/>
      <c r="E458" s="8"/>
      <c r="F458" s="8"/>
      <c r="G458" s="389"/>
      <c r="H458" s="8" t="b">
        <v>0</v>
      </c>
      <c r="I458" s="388" t="str">
        <f>IFERROR(__xludf.DUMMYFUNCTION("""COMPUTED_VALUE"""),"")</f>
        <v/>
      </c>
      <c r="J458" s="7"/>
      <c r="K458" s="8"/>
      <c r="L458" s="8"/>
      <c r="M458" s="8"/>
      <c r="N458" s="8" t="str">
        <f>IFERROR(__xludf.DUMMYFUNCTION("""COMPUTED_VALUE"""),"")</f>
        <v/>
      </c>
      <c r="O458" s="8" t="str">
        <f>IFERROR(__xludf.DUMMYFUNCTION("""COMPUTED_VALUE"""),"")</f>
        <v/>
      </c>
      <c r="P458" s="8"/>
      <c r="Q458" s="8"/>
    </row>
    <row r="459">
      <c r="A459" s="8"/>
      <c r="B459" s="25"/>
      <c r="C459" s="385" t="s">
        <v>1426</v>
      </c>
      <c r="D459" s="392"/>
      <c r="E459" s="8"/>
      <c r="F459" s="8"/>
      <c r="G459" s="389"/>
      <c r="H459" s="8" t="b">
        <v>0</v>
      </c>
      <c r="I459" s="388" t="str">
        <f>IFERROR(__xludf.DUMMYFUNCTION("""COMPUTED_VALUE"""),"")</f>
        <v/>
      </c>
      <c r="J459" s="7"/>
      <c r="K459" s="8"/>
      <c r="L459" s="8"/>
      <c r="M459" s="8"/>
      <c r="N459" s="8" t="str">
        <f>IFERROR(__xludf.DUMMYFUNCTION("""COMPUTED_VALUE"""),"")</f>
        <v/>
      </c>
      <c r="O459" s="8" t="str">
        <f>IFERROR(__xludf.DUMMYFUNCTION("""COMPUTED_VALUE"""),"")</f>
        <v/>
      </c>
      <c r="P459" s="8"/>
      <c r="Q459" s="8"/>
    </row>
    <row r="460">
      <c r="A460" s="8"/>
      <c r="B460" s="25"/>
      <c r="C460" s="385" t="s">
        <v>1426</v>
      </c>
      <c r="D460" s="392"/>
      <c r="E460" s="8"/>
      <c r="F460" s="8"/>
      <c r="G460" s="389"/>
      <c r="H460" s="8" t="b">
        <v>0</v>
      </c>
      <c r="I460" s="388" t="str">
        <f>IFERROR(__xludf.DUMMYFUNCTION("""COMPUTED_VALUE"""),"")</f>
        <v/>
      </c>
      <c r="J460" s="7"/>
      <c r="K460" s="8"/>
      <c r="L460" s="8"/>
      <c r="M460" s="8"/>
      <c r="N460" s="8" t="str">
        <f>IFERROR(__xludf.DUMMYFUNCTION("""COMPUTED_VALUE"""),"")</f>
        <v/>
      </c>
      <c r="O460" s="8" t="str">
        <f>IFERROR(__xludf.DUMMYFUNCTION("""COMPUTED_VALUE"""),"")</f>
        <v/>
      </c>
      <c r="P460" s="8"/>
      <c r="Q460" s="8"/>
    </row>
    <row r="461">
      <c r="A461" s="8"/>
      <c r="B461" s="25"/>
      <c r="C461" s="385" t="s">
        <v>1426</v>
      </c>
      <c r="D461" s="392"/>
      <c r="E461" s="8"/>
      <c r="F461" s="8"/>
      <c r="G461" s="389"/>
      <c r="H461" s="8" t="b">
        <v>0</v>
      </c>
      <c r="I461" s="388" t="str">
        <f>IFERROR(__xludf.DUMMYFUNCTION("""COMPUTED_VALUE"""),"")</f>
        <v/>
      </c>
      <c r="J461" s="7"/>
      <c r="K461" s="8"/>
      <c r="L461" s="8"/>
      <c r="M461" s="8"/>
      <c r="N461" s="8" t="str">
        <f>IFERROR(__xludf.DUMMYFUNCTION("""COMPUTED_VALUE"""),"")</f>
        <v/>
      </c>
      <c r="O461" s="8" t="str">
        <f>IFERROR(__xludf.DUMMYFUNCTION("""COMPUTED_VALUE"""),"")</f>
        <v/>
      </c>
      <c r="P461" s="8"/>
      <c r="Q461" s="8"/>
    </row>
    <row r="462">
      <c r="A462" s="8"/>
      <c r="B462" s="25"/>
      <c r="C462" s="385" t="s">
        <v>1426</v>
      </c>
      <c r="D462" s="392"/>
      <c r="E462" s="8"/>
      <c r="F462" s="8"/>
      <c r="G462" s="389"/>
      <c r="H462" s="8" t="b">
        <v>0</v>
      </c>
      <c r="I462" s="388" t="str">
        <f>IFERROR(__xludf.DUMMYFUNCTION("""COMPUTED_VALUE"""),"")</f>
        <v/>
      </c>
      <c r="J462" s="7"/>
      <c r="K462" s="8"/>
      <c r="L462" s="8"/>
      <c r="M462" s="8"/>
      <c r="N462" s="8" t="str">
        <f>IFERROR(__xludf.DUMMYFUNCTION("""COMPUTED_VALUE"""),"")</f>
        <v/>
      </c>
      <c r="O462" s="8" t="str">
        <f>IFERROR(__xludf.DUMMYFUNCTION("""COMPUTED_VALUE"""),"")</f>
        <v/>
      </c>
      <c r="P462" s="8"/>
      <c r="Q462" s="8"/>
    </row>
    <row r="463">
      <c r="A463" s="8"/>
      <c r="B463" s="25"/>
      <c r="C463" s="385" t="s">
        <v>1426</v>
      </c>
      <c r="D463" s="392"/>
      <c r="E463" s="8"/>
      <c r="F463" s="8"/>
      <c r="G463" s="389"/>
      <c r="H463" s="8" t="b">
        <v>0</v>
      </c>
      <c r="I463" s="388" t="str">
        <f>IFERROR(__xludf.DUMMYFUNCTION("""COMPUTED_VALUE"""),"")</f>
        <v/>
      </c>
      <c r="J463" s="7"/>
      <c r="K463" s="8"/>
      <c r="L463" s="8"/>
      <c r="M463" s="8"/>
      <c r="N463" s="8" t="str">
        <f>IFERROR(__xludf.DUMMYFUNCTION("""COMPUTED_VALUE"""),"")</f>
        <v/>
      </c>
      <c r="O463" s="8" t="str">
        <f>IFERROR(__xludf.DUMMYFUNCTION("""COMPUTED_VALUE"""),"")</f>
        <v/>
      </c>
      <c r="P463" s="8"/>
      <c r="Q463" s="8"/>
    </row>
    <row r="464">
      <c r="A464" s="8"/>
      <c r="B464" s="25"/>
      <c r="C464" s="385" t="s">
        <v>1426</v>
      </c>
      <c r="D464" s="392"/>
      <c r="E464" s="8"/>
      <c r="F464" s="8"/>
      <c r="G464" s="389"/>
      <c r="H464" s="8" t="b">
        <v>0</v>
      </c>
      <c r="I464" s="388" t="str">
        <f>IFERROR(__xludf.DUMMYFUNCTION("""COMPUTED_VALUE"""),"")</f>
        <v/>
      </c>
      <c r="J464" s="7"/>
      <c r="K464" s="8"/>
      <c r="L464" s="8"/>
      <c r="M464" s="8"/>
      <c r="N464" s="8" t="str">
        <f>IFERROR(__xludf.DUMMYFUNCTION("""COMPUTED_VALUE"""),"")</f>
        <v/>
      </c>
      <c r="O464" s="8" t="str">
        <f>IFERROR(__xludf.DUMMYFUNCTION("""COMPUTED_VALUE"""),"")</f>
        <v/>
      </c>
      <c r="P464" s="8"/>
      <c r="Q464" s="8"/>
    </row>
    <row r="465">
      <c r="A465" s="8"/>
      <c r="B465" s="25"/>
      <c r="C465" s="385" t="s">
        <v>1426</v>
      </c>
      <c r="D465" s="392"/>
      <c r="E465" s="8"/>
      <c r="F465" s="8"/>
      <c r="G465" s="389"/>
      <c r="H465" s="8" t="b">
        <v>0</v>
      </c>
      <c r="I465" s="388" t="str">
        <f>IFERROR(__xludf.DUMMYFUNCTION("""COMPUTED_VALUE"""),"")</f>
        <v/>
      </c>
      <c r="J465" s="7"/>
      <c r="K465" s="8"/>
      <c r="L465" s="8"/>
      <c r="M465" s="8"/>
      <c r="N465" s="8" t="str">
        <f>IFERROR(__xludf.DUMMYFUNCTION("""COMPUTED_VALUE"""),"")</f>
        <v/>
      </c>
      <c r="O465" s="8" t="str">
        <f>IFERROR(__xludf.DUMMYFUNCTION("""COMPUTED_VALUE"""),"")</f>
        <v/>
      </c>
      <c r="P465" s="8"/>
      <c r="Q465" s="8"/>
    </row>
    <row r="466">
      <c r="A466" s="8"/>
      <c r="B466" s="25"/>
      <c r="C466" s="385" t="s">
        <v>1426</v>
      </c>
      <c r="D466" s="392"/>
      <c r="E466" s="8"/>
      <c r="F466" s="8"/>
      <c r="G466" s="389"/>
      <c r="H466" s="8" t="b">
        <v>0</v>
      </c>
      <c r="I466" s="388" t="str">
        <f>IFERROR(__xludf.DUMMYFUNCTION("""COMPUTED_VALUE"""),"")</f>
        <v/>
      </c>
      <c r="J466" s="7"/>
      <c r="K466" s="8"/>
      <c r="L466" s="8"/>
      <c r="M466" s="8"/>
      <c r="N466" s="8" t="str">
        <f>IFERROR(__xludf.DUMMYFUNCTION("""COMPUTED_VALUE"""),"")</f>
        <v/>
      </c>
      <c r="O466" s="8" t="str">
        <f>IFERROR(__xludf.DUMMYFUNCTION("""COMPUTED_VALUE"""),"")</f>
        <v/>
      </c>
      <c r="P466" s="8"/>
      <c r="Q466" s="8"/>
    </row>
    <row r="467">
      <c r="A467" s="8"/>
      <c r="B467" s="25"/>
      <c r="C467" s="385" t="s">
        <v>1426</v>
      </c>
      <c r="D467" s="392"/>
      <c r="E467" s="8"/>
      <c r="F467" s="8"/>
      <c r="G467" s="389"/>
      <c r="H467" s="8" t="b">
        <v>0</v>
      </c>
      <c r="I467" s="388" t="str">
        <f>IFERROR(__xludf.DUMMYFUNCTION("""COMPUTED_VALUE"""),"")</f>
        <v/>
      </c>
      <c r="J467" s="7"/>
      <c r="K467" s="8"/>
      <c r="L467" s="8"/>
      <c r="M467" s="8"/>
      <c r="N467" s="8" t="str">
        <f>IFERROR(__xludf.DUMMYFUNCTION("""COMPUTED_VALUE"""),"")</f>
        <v/>
      </c>
      <c r="O467" s="8" t="str">
        <f>IFERROR(__xludf.DUMMYFUNCTION("""COMPUTED_VALUE"""),"")</f>
        <v/>
      </c>
      <c r="P467" s="8"/>
      <c r="Q467" s="8"/>
    </row>
    <row r="468">
      <c r="A468" s="8"/>
      <c r="B468" s="25"/>
      <c r="C468" s="385" t="s">
        <v>1426</v>
      </c>
      <c r="D468" s="392"/>
      <c r="E468" s="8"/>
      <c r="F468" s="8"/>
      <c r="G468" s="389"/>
      <c r="H468" s="8" t="b">
        <v>0</v>
      </c>
      <c r="I468" s="388" t="str">
        <f>IFERROR(__xludf.DUMMYFUNCTION("""COMPUTED_VALUE"""),"")</f>
        <v/>
      </c>
      <c r="J468" s="7"/>
      <c r="K468" s="8"/>
      <c r="L468" s="8"/>
      <c r="M468" s="8"/>
      <c r="N468" s="8" t="str">
        <f>IFERROR(__xludf.DUMMYFUNCTION("""COMPUTED_VALUE"""),"")</f>
        <v/>
      </c>
      <c r="O468" s="8" t="str">
        <f>IFERROR(__xludf.DUMMYFUNCTION("""COMPUTED_VALUE"""),"")</f>
        <v/>
      </c>
      <c r="P468" s="8"/>
      <c r="Q468" s="8"/>
    </row>
    <row r="469">
      <c r="A469" s="8"/>
      <c r="B469" s="25"/>
      <c r="C469" s="385" t="s">
        <v>1426</v>
      </c>
      <c r="D469" s="392"/>
      <c r="E469" s="8"/>
      <c r="F469" s="8"/>
      <c r="G469" s="389"/>
      <c r="H469" s="8" t="b">
        <v>0</v>
      </c>
      <c r="I469" s="388" t="str">
        <f>IFERROR(__xludf.DUMMYFUNCTION("""COMPUTED_VALUE"""),"")</f>
        <v/>
      </c>
      <c r="J469" s="7"/>
      <c r="K469" s="8"/>
      <c r="L469" s="8"/>
      <c r="M469" s="8"/>
      <c r="N469" s="8" t="str">
        <f>IFERROR(__xludf.DUMMYFUNCTION("""COMPUTED_VALUE"""),"")</f>
        <v/>
      </c>
      <c r="O469" s="8" t="str">
        <f>IFERROR(__xludf.DUMMYFUNCTION("""COMPUTED_VALUE"""),"")</f>
        <v/>
      </c>
      <c r="P469" s="8"/>
      <c r="Q469" s="8"/>
    </row>
    <row r="470">
      <c r="A470" s="8"/>
      <c r="B470" s="25"/>
      <c r="C470" s="385" t="s">
        <v>1426</v>
      </c>
      <c r="D470" s="392"/>
      <c r="E470" s="8"/>
      <c r="F470" s="8"/>
      <c r="G470" s="389"/>
      <c r="H470" s="8" t="b">
        <v>0</v>
      </c>
      <c r="I470" s="388" t="str">
        <f>IFERROR(__xludf.DUMMYFUNCTION("""COMPUTED_VALUE"""),"")</f>
        <v/>
      </c>
      <c r="J470" s="7"/>
      <c r="K470" s="8"/>
      <c r="L470" s="8"/>
      <c r="M470" s="8"/>
      <c r="N470" s="8" t="str">
        <f>IFERROR(__xludf.DUMMYFUNCTION("""COMPUTED_VALUE"""),"")</f>
        <v/>
      </c>
      <c r="O470" s="8" t="str">
        <f>IFERROR(__xludf.DUMMYFUNCTION("""COMPUTED_VALUE"""),"")</f>
        <v/>
      </c>
      <c r="P470" s="8"/>
      <c r="Q470" s="8"/>
    </row>
    <row r="471">
      <c r="A471" s="8"/>
      <c r="B471" s="25"/>
      <c r="C471" s="385" t="s">
        <v>1426</v>
      </c>
      <c r="D471" s="392"/>
      <c r="E471" s="8"/>
      <c r="F471" s="8"/>
      <c r="G471" s="389"/>
      <c r="H471" s="8" t="b">
        <v>0</v>
      </c>
      <c r="I471" s="388" t="str">
        <f>IFERROR(__xludf.DUMMYFUNCTION("""COMPUTED_VALUE"""),"")</f>
        <v/>
      </c>
      <c r="J471" s="7"/>
      <c r="K471" s="8"/>
      <c r="L471" s="8"/>
      <c r="M471" s="8"/>
      <c r="N471" s="8" t="str">
        <f>IFERROR(__xludf.DUMMYFUNCTION("""COMPUTED_VALUE"""),"")</f>
        <v/>
      </c>
      <c r="O471" s="8" t="str">
        <f>IFERROR(__xludf.DUMMYFUNCTION("""COMPUTED_VALUE"""),"")</f>
        <v/>
      </c>
      <c r="P471" s="8"/>
      <c r="Q471" s="8"/>
    </row>
    <row r="472">
      <c r="A472" s="8"/>
      <c r="B472" s="25"/>
      <c r="C472" s="385" t="s">
        <v>1426</v>
      </c>
      <c r="D472" s="392"/>
      <c r="E472" s="8"/>
      <c r="F472" s="8"/>
      <c r="G472" s="389"/>
      <c r="H472" s="8" t="b">
        <v>0</v>
      </c>
      <c r="I472" s="388" t="str">
        <f>IFERROR(__xludf.DUMMYFUNCTION("""COMPUTED_VALUE"""),"")</f>
        <v/>
      </c>
      <c r="J472" s="7"/>
      <c r="K472" s="8"/>
      <c r="L472" s="8"/>
      <c r="M472" s="8"/>
      <c r="N472" s="8" t="str">
        <f>IFERROR(__xludf.DUMMYFUNCTION("""COMPUTED_VALUE"""),"")</f>
        <v/>
      </c>
      <c r="O472" s="8" t="str">
        <f>IFERROR(__xludf.DUMMYFUNCTION("""COMPUTED_VALUE"""),"")</f>
        <v/>
      </c>
      <c r="P472" s="8"/>
      <c r="Q472" s="8"/>
    </row>
    <row r="473">
      <c r="A473" s="8"/>
      <c r="B473" s="25"/>
      <c r="C473" s="385" t="s">
        <v>1426</v>
      </c>
      <c r="D473" s="392"/>
      <c r="E473" s="8"/>
      <c r="F473" s="8"/>
      <c r="G473" s="389"/>
      <c r="H473" s="8" t="b">
        <v>0</v>
      </c>
      <c r="I473" s="388" t="str">
        <f>IFERROR(__xludf.DUMMYFUNCTION("""COMPUTED_VALUE"""),"")</f>
        <v/>
      </c>
      <c r="J473" s="7"/>
      <c r="K473" s="8"/>
      <c r="L473" s="8"/>
      <c r="M473" s="8"/>
      <c r="N473" s="8" t="str">
        <f>IFERROR(__xludf.DUMMYFUNCTION("""COMPUTED_VALUE"""),"")</f>
        <v/>
      </c>
      <c r="O473" s="8" t="str">
        <f>IFERROR(__xludf.DUMMYFUNCTION("""COMPUTED_VALUE"""),"")</f>
        <v/>
      </c>
      <c r="P473" s="8"/>
      <c r="Q473" s="8"/>
    </row>
    <row r="474">
      <c r="A474" s="8"/>
      <c r="B474" s="25"/>
      <c r="C474" s="385" t="s">
        <v>1426</v>
      </c>
      <c r="D474" s="392"/>
      <c r="E474" s="8"/>
      <c r="F474" s="8"/>
      <c r="G474" s="389"/>
      <c r="H474" s="8" t="b">
        <v>0</v>
      </c>
      <c r="I474" s="388" t="str">
        <f>IFERROR(__xludf.DUMMYFUNCTION("""COMPUTED_VALUE"""),"")</f>
        <v/>
      </c>
      <c r="J474" s="7"/>
      <c r="K474" s="8"/>
      <c r="L474" s="8"/>
      <c r="M474" s="8"/>
      <c r="N474" s="8" t="str">
        <f>IFERROR(__xludf.DUMMYFUNCTION("""COMPUTED_VALUE"""),"")</f>
        <v/>
      </c>
      <c r="O474" s="8" t="str">
        <f>IFERROR(__xludf.DUMMYFUNCTION("""COMPUTED_VALUE"""),"")</f>
        <v/>
      </c>
      <c r="P474" s="8"/>
      <c r="Q474" s="8"/>
    </row>
    <row r="475">
      <c r="A475" s="8"/>
      <c r="B475" s="25"/>
      <c r="C475" s="385" t="s">
        <v>1426</v>
      </c>
      <c r="D475" s="392"/>
      <c r="E475" s="8"/>
      <c r="F475" s="8"/>
      <c r="G475" s="389"/>
      <c r="H475" s="8" t="b">
        <v>0</v>
      </c>
      <c r="I475" s="388" t="str">
        <f>IFERROR(__xludf.DUMMYFUNCTION("""COMPUTED_VALUE"""),"")</f>
        <v/>
      </c>
      <c r="J475" s="7"/>
      <c r="K475" s="8"/>
      <c r="L475" s="8"/>
      <c r="M475" s="8"/>
      <c r="N475" s="8" t="str">
        <f>IFERROR(__xludf.DUMMYFUNCTION("""COMPUTED_VALUE"""),"")</f>
        <v/>
      </c>
      <c r="O475" s="8" t="str">
        <f>IFERROR(__xludf.DUMMYFUNCTION("""COMPUTED_VALUE"""),"")</f>
        <v/>
      </c>
      <c r="P475" s="8"/>
      <c r="Q475" s="8"/>
    </row>
    <row r="476">
      <c r="A476" s="8"/>
      <c r="B476" s="25"/>
      <c r="C476" s="385" t="s">
        <v>1426</v>
      </c>
      <c r="D476" s="392"/>
      <c r="E476" s="8"/>
      <c r="F476" s="8"/>
      <c r="G476" s="389"/>
      <c r="H476" s="8" t="b">
        <v>0</v>
      </c>
      <c r="I476" s="388" t="str">
        <f>IFERROR(__xludf.DUMMYFUNCTION("""COMPUTED_VALUE"""),"")</f>
        <v/>
      </c>
      <c r="J476" s="7"/>
      <c r="K476" s="8"/>
      <c r="L476" s="8"/>
      <c r="M476" s="8"/>
      <c r="N476" s="8" t="str">
        <f>IFERROR(__xludf.DUMMYFUNCTION("""COMPUTED_VALUE"""),"")</f>
        <v/>
      </c>
      <c r="O476" s="8" t="str">
        <f>IFERROR(__xludf.DUMMYFUNCTION("""COMPUTED_VALUE"""),"")</f>
        <v/>
      </c>
      <c r="P476" s="8"/>
      <c r="Q476" s="8"/>
    </row>
    <row r="477">
      <c r="A477" s="8"/>
      <c r="B477" s="25"/>
      <c r="C477" s="385" t="s">
        <v>1426</v>
      </c>
      <c r="D477" s="392"/>
      <c r="E477" s="8"/>
      <c r="F477" s="8"/>
      <c r="G477" s="389"/>
      <c r="H477" s="8" t="b">
        <v>0</v>
      </c>
      <c r="I477" s="388" t="str">
        <f>IFERROR(__xludf.DUMMYFUNCTION("""COMPUTED_VALUE"""),"")</f>
        <v/>
      </c>
      <c r="J477" s="7"/>
      <c r="K477" s="8"/>
      <c r="L477" s="8"/>
      <c r="M477" s="8"/>
      <c r="N477" s="8" t="str">
        <f>IFERROR(__xludf.DUMMYFUNCTION("""COMPUTED_VALUE"""),"")</f>
        <v/>
      </c>
      <c r="O477" s="8" t="str">
        <f>IFERROR(__xludf.DUMMYFUNCTION("""COMPUTED_VALUE"""),"")</f>
        <v/>
      </c>
      <c r="P477" s="8"/>
      <c r="Q477" s="8"/>
    </row>
    <row r="478">
      <c r="A478" s="8"/>
      <c r="B478" s="25"/>
      <c r="C478" s="385" t="s">
        <v>1426</v>
      </c>
      <c r="D478" s="392"/>
      <c r="E478" s="8"/>
      <c r="F478" s="8"/>
      <c r="G478" s="389"/>
      <c r="H478" s="8" t="b">
        <v>0</v>
      </c>
      <c r="I478" s="388" t="str">
        <f>IFERROR(__xludf.DUMMYFUNCTION("""COMPUTED_VALUE"""),"")</f>
        <v/>
      </c>
      <c r="J478" s="7"/>
      <c r="K478" s="8"/>
      <c r="L478" s="8"/>
      <c r="M478" s="8"/>
      <c r="N478" s="8" t="str">
        <f>IFERROR(__xludf.DUMMYFUNCTION("""COMPUTED_VALUE"""),"")</f>
        <v/>
      </c>
      <c r="O478" s="8" t="str">
        <f>IFERROR(__xludf.DUMMYFUNCTION("""COMPUTED_VALUE"""),"")</f>
        <v/>
      </c>
      <c r="P478" s="8"/>
      <c r="Q478" s="8"/>
    </row>
    <row r="479">
      <c r="A479" s="8"/>
      <c r="B479" s="25"/>
      <c r="C479" s="385" t="s">
        <v>1426</v>
      </c>
      <c r="D479" s="392"/>
      <c r="E479" s="8"/>
      <c r="F479" s="8"/>
      <c r="G479" s="389"/>
      <c r="H479" s="8" t="b">
        <v>0</v>
      </c>
      <c r="I479" s="388" t="str">
        <f>IFERROR(__xludf.DUMMYFUNCTION("""COMPUTED_VALUE"""),"")</f>
        <v/>
      </c>
      <c r="J479" s="7"/>
      <c r="K479" s="8"/>
      <c r="L479" s="8"/>
      <c r="M479" s="8"/>
      <c r="N479" s="8" t="str">
        <f>IFERROR(__xludf.DUMMYFUNCTION("""COMPUTED_VALUE"""),"")</f>
        <v/>
      </c>
      <c r="O479" s="8" t="str">
        <f>IFERROR(__xludf.DUMMYFUNCTION("""COMPUTED_VALUE"""),"")</f>
        <v/>
      </c>
      <c r="P479" s="8"/>
      <c r="Q479" s="8"/>
    </row>
    <row r="480">
      <c r="A480" s="8"/>
      <c r="B480" s="25"/>
      <c r="C480" s="385" t="s">
        <v>1426</v>
      </c>
      <c r="D480" s="392"/>
      <c r="E480" s="8"/>
      <c r="F480" s="8"/>
      <c r="G480" s="389"/>
      <c r="H480" s="8" t="b">
        <v>0</v>
      </c>
      <c r="I480" s="388" t="str">
        <f>IFERROR(__xludf.DUMMYFUNCTION("""COMPUTED_VALUE"""),"")</f>
        <v/>
      </c>
      <c r="J480" s="7"/>
      <c r="K480" s="8"/>
      <c r="L480" s="8"/>
      <c r="M480" s="8"/>
      <c r="N480" s="8" t="str">
        <f>IFERROR(__xludf.DUMMYFUNCTION("""COMPUTED_VALUE"""),"")</f>
        <v/>
      </c>
      <c r="O480" s="8" t="str">
        <f>IFERROR(__xludf.DUMMYFUNCTION("""COMPUTED_VALUE"""),"")</f>
        <v/>
      </c>
      <c r="P480" s="8"/>
      <c r="Q480" s="8"/>
    </row>
    <row r="481">
      <c r="A481" s="8"/>
      <c r="B481" s="25"/>
      <c r="C481" s="385" t="s">
        <v>1426</v>
      </c>
      <c r="D481" s="392"/>
      <c r="E481" s="8"/>
      <c r="F481" s="8"/>
      <c r="G481" s="389"/>
      <c r="H481" s="8" t="b">
        <v>0</v>
      </c>
      <c r="I481" s="388" t="str">
        <f>IFERROR(__xludf.DUMMYFUNCTION("""COMPUTED_VALUE"""),"")</f>
        <v/>
      </c>
      <c r="J481" s="7"/>
      <c r="K481" s="8"/>
      <c r="L481" s="8"/>
      <c r="M481" s="8"/>
      <c r="N481" s="8" t="str">
        <f>IFERROR(__xludf.DUMMYFUNCTION("""COMPUTED_VALUE"""),"")</f>
        <v/>
      </c>
      <c r="O481" s="8" t="str">
        <f>IFERROR(__xludf.DUMMYFUNCTION("""COMPUTED_VALUE"""),"")</f>
        <v/>
      </c>
      <c r="P481" s="8"/>
      <c r="Q481" s="8"/>
    </row>
    <row r="482">
      <c r="A482" s="8"/>
      <c r="B482" s="25"/>
      <c r="C482" s="385" t="s">
        <v>1426</v>
      </c>
      <c r="D482" s="392"/>
      <c r="E482" s="8"/>
      <c r="F482" s="8"/>
      <c r="G482" s="389"/>
      <c r="H482" s="8" t="b">
        <v>0</v>
      </c>
      <c r="I482" s="388" t="str">
        <f>IFERROR(__xludf.DUMMYFUNCTION("""COMPUTED_VALUE"""),"")</f>
        <v/>
      </c>
      <c r="J482" s="7"/>
      <c r="K482" s="8"/>
      <c r="L482" s="8"/>
      <c r="M482" s="8"/>
      <c r="N482" s="8" t="str">
        <f>IFERROR(__xludf.DUMMYFUNCTION("""COMPUTED_VALUE"""),"")</f>
        <v/>
      </c>
      <c r="O482" s="8" t="str">
        <f>IFERROR(__xludf.DUMMYFUNCTION("""COMPUTED_VALUE"""),"")</f>
        <v/>
      </c>
      <c r="P482" s="8"/>
      <c r="Q482" s="8"/>
    </row>
    <row r="483">
      <c r="A483" s="8"/>
      <c r="B483" s="25"/>
      <c r="C483" s="385" t="s">
        <v>1426</v>
      </c>
      <c r="D483" s="392"/>
      <c r="E483" s="8"/>
      <c r="F483" s="8"/>
      <c r="G483" s="389"/>
      <c r="H483" s="8" t="b">
        <v>0</v>
      </c>
      <c r="I483" s="388" t="str">
        <f>IFERROR(__xludf.DUMMYFUNCTION("""COMPUTED_VALUE"""),"")</f>
        <v/>
      </c>
      <c r="J483" s="7"/>
      <c r="K483" s="8"/>
      <c r="L483" s="8"/>
      <c r="M483" s="8"/>
      <c r="N483" s="8" t="str">
        <f>IFERROR(__xludf.DUMMYFUNCTION("""COMPUTED_VALUE"""),"")</f>
        <v/>
      </c>
      <c r="O483" s="8" t="str">
        <f>IFERROR(__xludf.DUMMYFUNCTION("""COMPUTED_VALUE"""),"")</f>
        <v/>
      </c>
      <c r="P483" s="8"/>
      <c r="Q483" s="8"/>
    </row>
    <row r="484">
      <c r="A484" s="8"/>
      <c r="B484" s="25"/>
      <c r="C484" s="385" t="s">
        <v>1426</v>
      </c>
      <c r="D484" s="392"/>
      <c r="E484" s="8"/>
      <c r="F484" s="8"/>
      <c r="G484" s="389"/>
      <c r="H484" s="8" t="b">
        <v>0</v>
      </c>
      <c r="I484" s="388" t="str">
        <f>IFERROR(__xludf.DUMMYFUNCTION("""COMPUTED_VALUE"""),"")</f>
        <v/>
      </c>
      <c r="J484" s="7"/>
      <c r="K484" s="8"/>
      <c r="L484" s="8"/>
      <c r="M484" s="8"/>
      <c r="N484" s="8" t="str">
        <f>IFERROR(__xludf.DUMMYFUNCTION("""COMPUTED_VALUE"""),"")</f>
        <v/>
      </c>
      <c r="O484" s="8" t="str">
        <f>IFERROR(__xludf.DUMMYFUNCTION("""COMPUTED_VALUE"""),"")</f>
        <v/>
      </c>
      <c r="P484" s="8"/>
      <c r="Q484" s="8"/>
    </row>
    <row r="485">
      <c r="A485" s="8"/>
      <c r="B485" s="25"/>
      <c r="C485" s="385" t="s">
        <v>1426</v>
      </c>
      <c r="D485" s="392"/>
      <c r="E485" s="8"/>
      <c r="F485" s="8"/>
      <c r="G485" s="389"/>
      <c r="H485" s="8" t="b">
        <v>0</v>
      </c>
      <c r="I485" s="388" t="str">
        <f>IFERROR(__xludf.DUMMYFUNCTION("""COMPUTED_VALUE"""),"")</f>
        <v/>
      </c>
      <c r="J485" s="7"/>
      <c r="K485" s="8"/>
      <c r="L485" s="8"/>
      <c r="M485" s="8"/>
      <c r="N485" s="8" t="str">
        <f>IFERROR(__xludf.DUMMYFUNCTION("""COMPUTED_VALUE"""),"")</f>
        <v/>
      </c>
      <c r="O485" s="8" t="str">
        <f>IFERROR(__xludf.DUMMYFUNCTION("""COMPUTED_VALUE"""),"")</f>
        <v/>
      </c>
      <c r="P485" s="8"/>
      <c r="Q485" s="8"/>
    </row>
    <row r="486">
      <c r="A486" s="8"/>
      <c r="B486" s="25"/>
      <c r="C486" s="385" t="s">
        <v>1426</v>
      </c>
      <c r="D486" s="392"/>
      <c r="E486" s="8"/>
      <c r="F486" s="8"/>
      <c r="G486" s="389"/>
      <c r="H486" s="8" t="b">
        <v>0</v>
      </c>
      <c r="I486" s="388" t="str">
        <f>IFERROR(__xludf.DUMMYFUNCTION("""COMPUTED_VALUE"""),"")</f>
        <v/>
      </c>
      <c r="J486" s="7"/>
      <c r="K486" s="8"/>
      <c r="L486" s="8"/>
      <c r="M486" s="8"/>
      <c r="N486" s="8" t="str">
        <f>IFERROR(__xludf.DUMMYFUNCTION("""COMPUTED_VALUE"""),"")</f>
        <v/>
      </c>
      <c r="O486" s="8" t="str">
        <f>IFERROR(__xludf.DUMMYFUNCTION("""COMPUTED_VALUE"""),"")</f>
        <v/>
      </c>
      <c r="P486" s="8"/>
      <c r="Q486" s="8"/>
    </row>
    <row r="487">
      <c r="A487" s="8"/>
      <c r="B487" s="25"/>
      <c r="C487" s="385" t="s">
        <v>1426</v>
      </c>
      <c r="D487" s="392"/>
      <c r="E487" s="8"/>
      <c r="F487" s="8"/>
      <c r="G487" s="389"/>
      <c r="H487" s="8" t="b">
        <v>0</v>
      </c>
      <c r="I487" s="388" t="str">
        <f>IFERROR(__xludf.DUMMYFUNCTION("""COMPUTED_VALUE"""),"")</f>
        <v/>
      </c>
      <c r="J487" s="7"/>
      <c r="K487" s="8"/>
      <c r="L487" s="8"/>
      <c r="M487" s="8"/>
      <c r="N487" s="8" t="str">
        <f>IFERROR(__xludf.DUMMYFUNCTION("""COMPUTED_VALUE"""),"")</f>
        <v/>
      </c>
      <c r="O487" s="8" t="str">
        <f>IFERROR(__xludf.DUMMYFUNCTION("""COMPUTED_VALUE"""),"")</f>
        <v/>
      </c>
      <c r="P487" s="8"/>
      <c r="Q487" s="8"/>
    </row>
    <row r="488">
      <c r="A488" s="8"/>
      <c r="B488" s="25"/>
      <c r="C488" s="385" t="s">
        <v>1426</v>
      </c>
      <c r="D488" s="392"/>
      <c r="E488" s="8"/>
      <c r="F488" s="8"/>
      <c r="G488" s="389"/>
      <c r="H488" s="8" t="b">
        <v>0</v>
      </c>
      <c r="I488" s="388" t="str">
        <f>IFERROR(__xludf.DUMMYFUNCTION("""COMPUTED_VALUE"""),"")</f>
        <v/>
      </c>
      <c r="J488" s="7"/>
      <c r="K488" s="8"/>
      <c r="L488" s="8"/>
      <c r="M488" s="8"/>
      <c r="N488" s="8" t="str">
        <f>IFERROR(__xludf.DUMMYFUNCTION("""COMPUTED_VALUE"""),"")</f>
        <v/>
      </c>
      <c r="O488" s="8" t="str">
        <f>IFERROR(__xludf.DUMMYFUNCTION("""COMPUTED_VALUE"""),"")</f>
        <v/>
      </c>
      <c r="P488" s="8"/>
      <c r="Q488" s="8"/>
    </row>
    <row r="489">
      <c r="A489" s="8"/>
      <c r="B489" s="25"/>
      <c r="C489" s="385" t="s">
        <v>1426</v>
      </c>
      <c r="D489" s="392"/>
      <c r="E489" s="8"/>
      <c r="F489" s="8"/>
      <c r="G489" s="389"/>
      <c r="H489" s="8" t="b">
        <v>0</v>
      </c>
      <c r="I489" s="388" t="str">
        <f>IFERROR(__xludf.DUMMYFUNCTION("""COMPUTED_VALUE"""),"")</f>
        <v/>
      </c>
      <c r="J489" s="7"/>
      <c r="K489" s="8"/>
      <c r="L489" s="8"/>
      <c r="M489" s="8"/>
      <c r="N489" s="8" t="str">
        <f>IFERROR(__xludf.DUMMYFUNCTION("""COMPUTED_VALUE"""),"")</f>
        <v/>
      </c>
      <c r="O489" s="8" t="str">
        <f>IFERROR(__xludf.DUMMYFUNCTION("""COMPUTED_VALUE"""),"")</f>
        <v/>
      </c>
      <c r="P489" s="8"/>
      <c r="Q489" s="8"/>
    </row>
    <row r="490">
      <c r="A490" s="8"/>
      <c r="B490" s="25"/>
      <c r="C490" s="385" t="s">
        <v>1426</v>
      </c>
      <c r="D490" s="392"/>
      <c r="E490" s="8"/>
      <c r="F490" s="8"/>
      <c r="G490" s="389"/>
      <c r="H490" s="8" t="b">
        <v>0</v>
      </c>
      <c r="I490" s="388" t="str">
        <f>IFERROR(__xludf.DUMMYFUNCTION("""COMPUTED_VALUE"""),"")</f>
        <v/>
      </c>
      <c r="J490" s="7"/>
      <c r="K490" s="8"/>
      <c r="L490" s="8"/>
      <c r="M490" s="8"/>
      <c r="N490" s="8" t="str">
        <f>IFERROR(__xludf.DUMMYFUNCTION("""COMPUTED_VALUE"""),"")</f>
        <v/>
      </c>
      <c r="O490" s="8" t="str">
        <f>IFERROR(__xludf.DUMMYFUNCTION("""COMPUTED_VALUE"""),"")</f>
        <v/>
      </c>
      <c r="P490" s="8"/>
      <c r="Q490" s="8"/>
    </row>
    <row r="491">
      <c r="A491" s="8"/>
      <c r="B491" s="25"/>
      <c r="C491" s="385" t="s">
        <v>1426</v>
      </c>
      <c r="D491" s="392"/>
      <c r="E491" s="8"/>
      <c r="F491" s="8"/>
      <c r="G491" s="389"/>
      <c r="H491" s="8" t="b">
        <v>0</v>
      </c>
      <c r="I491" s="388" t="str">
        <f>IFERROR(__xludf.DUMMYFUNCTION("""COMPUTED_VALUE"""),"")</f>
        <v/>
      </c>
      <c r="J491" s="7"/>
      <c r="K491" s="8"/>
      <c r="L491" s="8"/>
      <c r="M491" s="8"/>
      <c r="N491" s="8" t="str">
        <f>IFERROR(__xludf.DUMMYFUNCTION("""COMPUTED_VALUE"""),"")</f>
        <v/>
      </c>
      <c r="O491" s="8" t="str">
        <f>IFERROR(__xludf.DUMMYFUNCTION("""COMPUTED_VALUE"""),"")</f>
        <v/>
      </c>
      <c r="P491" s="8"/>
      <c r="Q491" s="8"/>
    </row>
    <row r="492">
      <c r="A492" s="8"/>
      <c r="B492" s="25"/>
      <c r="C492" s="385" t="s">
        <v>1426</v>
      </c>
      <c r="D492" s="392"/>
      <c r="E492" s="8"/>
      <c r="F492" s="8"/>
      <c r="G492" s="389"/>
      <c r="H492" s="8" t="b">
        <v>0</v>
      </c>
      <c r="I492" s="388" t="str">
        <f>IFERROR(__xludf.DUMMYFUNCTION("""COMPUTED_VALUE"""),"")</f>
        <v/>
      </c>
      <c r="J492" s="7"/>
      <c r="K492" s="8"/>
      <c r="L492" s="8"/>
      <c r="M492" s="8"/>
      <c r="N492" s="8" t="str">
        <f>IFERROR(__xludf.DUMMYFUNCTION("""COMPUTED_VALUE"""),"")</f>
        <v/>
      </c>
      <c r="O492" s="8" t="str">
        <f>IFERROR(__xludf.DUMMYFUNCTION("""COMPUTED_VALUE"""),"")</f>
        <v/>
      </c>
      <c r="P492" s="8"/>
      <c r="Q492" s="8"/>
    </row>
    <row r="493">
      <c r="A493" s="8"/>
      <c r="B493" s="25"/>
      <c r="C493" s="385" t="s">
        <v>1426</v>
      </c>
      <c r="D493" s="392"/>
      <c r="E493" s="8"/>
      <c r="F493" s="8"/>
      <c r="G493" s="389"/>
      <c r="H493" s="8" t="b">
        <v>0</v>
      </c>
      <c r="I493" s="388" t="str">
        <f>IFERROR(__xludf.DUMMYFUNCTION("""COMPUTED_VALUE"""),"")</f>
        <v/>
      </c>
      <c r="J493" s="7"/>
      <c r="K493" s="8"/>
      <c r="L493" s="8"/>
      <c r="M493" s="8"/>
      <c r="N493" s="8" t="str">
        <f>IFERROR(__xludf.DUMMYFUNCTION("""COMPUTED_VALUE"""),"")</f>
        <v/>
      </c>
      <c r="O493" s="8" t="str">
        <f>IFERROR(__xludf.DUMMYFUNCTION("""COMPUTED_VALUE"""),"")</f>
        <v/>
      </c>
      <c r="P493" s="8"/>
      <c r="Q493" s="8"/>
    </row>
    <row r="494">
      <c r="A494" s="8"/>
      <c r="B494" s="25"/>
      <c r="C494" s="385" t="s">
        <v>1426</v>
      </c>
      <c r="D494" s="392"/>
      <c r="E494" s="8"/>
      <c r="F494" s="8"/>
      <c r="G494" s="389"/>
      <c r="H494" s="8" t="b">
        <v>0</v>
      </c>
      <c r="I494" s="388" t="str">
        <f>IFERROR(__xludf.DUMMYFUNCTION("""COMPUTED_VALUE"""),"")</f>
        <v/>
      </c>
      <c r="J494" s="7"/>
      <c r="K494" s="8"/>
      <c r="L494" s="8"/>
      <c r="M494" s="8"/>
      <c r="N494" s="8" t="str">
        <f>IFERROR(__xludf.DUMMYFUNCTION("""COMPUTED_VALUE"""),"")</f>
        <v/>
      </c>
      <c r="O494" s="8" t="str">
        <f>IFERROR(__xludf.DUMMYFUNCTION("""COMPUTED_VALUE"""),"")</f>
        <v/>
      </c>
      <c r="P494" s="8"/>
      <c r="Q494" s="8"/>
    </row>
    <row r="495">
      <c r="A495" s="8"/>
      <c r="B495" s="25"/>
      <c r="C495" s="385" t="s">
        <v>1426</v>
      </c>
      <c r="D495" s="392"/>
      <c r="E495" s="8"/>
      <c r="F495" s="8"/>
      <c r="G495" s="389"/>
      <c r="H495" s="8" t="b">
        <v>0</v>
      </c>
      <c r="I495" s="388" t="str">
        <f>IFERROR(__xludf.DUMMYFUNCTION("""COMPUTED_VALUE"""),"")</f>
        <v/>
      </c>
      <c r="J495" s="7"/>
      <c r="K495" s="8"/>
      <c r="L495" s="8"/>
      <c r="M495" s="8"/>
      <c r="N495" s="8" t="str">
        <f>IFERROR(__xludf.DUMMYFUNCTION("""COMPUTED_VALUE"""),"")</f>
        <v/>
      </c>
      <c r="O495" s="8" t="str">
        <f>IFERROR(__xludf.DUMMYFUNCTION("""COMPUTED_VALUE"""),"")</f>
        <v/>
      </c>
      <c r="P495" s="8"/>
      <c r="Q495" s="8"/>
    </row>
    <row r="496">
      <c r="A496" s="8"/>
      <c r="B496" s="25"/>
      <c r="C496" s="385" t="s">
        <v>1426</v>
      </c>
      <c r="D496" s="392"/>
      <c r="E496" s="8"/>
      <c r="F496" s="8"/>
      <c r="G496" s="389"/>
      <c r="H496" s="8" t="b">
        <v>0</v>
      </c>
      <c r="I496" s="388" t="str">
        <f>IFERROR(__xludf.DUMMYFUNCTION("""COMPUTED_VALUE"""),"")</f>
        <v/>
      </c>
      <c r="J496" s="7"/>
      <c r="K496" s="8"/>
      <c r="L496" s="8"/>
      <c r="M496" s="8"/>
      <c r="N496" s="8" t="str">
        <f>IFERROR(__xludf.DUMMYFUNCTION("""COMPUTED_VALUE"""),"")</f>
        <v/>
      </c>
      <c r="O496" s="8" t="str">
        <f>IFERROR(__xludf.DUMMYFUNCTION("""COMPUTED_VALUE"""),"")</f>
        <v/>
      </c>
      <c r="P496" s="8"/>
      <c r="Q496" s="8"/>
    </row>
    <row r="497">
      <c r="A497" s="8"/>
      <c r="B497" s="25"/>
      <c r="C497" s="385" t="s">
        <v>1426</v>
      </c>
      <c r="D497" s="392"/>
      <c r="E497" s="8"/>
      <c r="F497" s="8"/>
      <c r="G497" s="389"/>
      <c r="H497" s="8" t="b">
        <v>0</v>
      </c>
      <c r="I497" s="388" t="str">
        <f>IFERROR(__xludf.DUMMYFUNCTION("""COMPUTED_VALUE"""),"")</f>
        <v/>
      </c>
      <c r="J497" s="7"/>
      <c r="K497" s="8"/>
      <c r="L497" s="8"/>
      <c r="M497" s="8"/>
      <c r="N497" s="8" t="str">
        <f>IFERROR(__xludf.DUMMYFUNCTION("""COMPUTED_VALUE"""),"")</f>
        <v/>
      </c>
      <c r="O497" s="8" t="str">
        <f>IFERROR(__xludf.DUMMYFUNCTION("""COMPUTED_VALUE"""),"")</f>
        <v/>
      </c>
      <c r="P497" s="8"/>
      <c r="Q497" s="8"/>
    </row>
    <row r="498">
      <c r="A498" s="8"/>
      <c r="B498" s="25"/>
      <c r="C498" s="385" t="s">
        <v>1426</v>
      </c>
      <c r="D498" s="392"/>
      <c r="E498" s="8"/>
      <c r="F498" s="8"/>
      <c r="G498" s="389"/>
      <c r="H498" s="8" t="b">
        <v>0</v>
      </c>
      <c r="I498" s="388" t="str">
        <f>IFERROR(__xludf.DUMMYFUNCTION("""COMPUTED_VALUE"""),"")</f>
        <v/>
      </c>
      <c r="J498" s="7"/>
      <c r="K498" s="8"/>
      <c r="L498" s="8"/>
      <c r="M498" s="8"/>
      <c r="N498" s="8" t="str">
        <f>IFERROR(__xludf.DUMMYFUNCTION("""COMPUTED_VALUE"""),"")</f>
        <v/>
      </c>
      <c r="O498" s="8" t="str">
        <f>IFERROR(__xludf.DUMMYFUNCTION("""COMPUTED_VALUE"""),"")</f>
        <v/>
      </c>
      <c r="P498" s="8"/>
      <c r="Q498" s="8"/>
    </row>
    <row r="499">
      <c r="A499" s="8"/>
      <c r="B499" s="25"/>
      <c r="C499" s="385" t="s">
        <v>1426</v>
      </c>
      <c r="D499" s="392"/>
      <c r="E499" s="8"/>
      <c r="F499" s="8"/>
      <c r="G499" s="389"/>
      <c r="H499" s="8" t="b">
        <v>0</v>
      </c>
      <c r="I499" s="388" t="str">
        <f>IFERROR(__xludf.DUMMYFUNCTION("""COMPUTED_VALUE"""),"")</f>
        <v/>
      </c>
      <c r="J499" s="7"/>
      <c r="K499" s="8"/>
      <c r="L499" s="8"/>
      <c r="M499" s="8"/>
      <c r="N499" s="8" t="str">
        <f>IFERROR(__xludf.DUMMYFUNCTION("""COMPUTED_VALUE"""),"")</f>
        <v/>
      </c>
      <c r="O499" s="8" t="str">
        <f>IFERROR(__xludf.DUMMYFUNCTION("""COMPUTED_VALUE"""),"")</f>
        <v/>
      </c>
      <c r="P499" s="8"/>
      <c r="Q499" s="8"/>
    </row>
    <row r="500">
      <c r="A500" s="8"/>
      <c r="B500" s="25"/>
      <c r="C500" s="385" t="s">
        <v>1426</v>
      </c>
      <c r="D500" s="392"/>
      <c r="E500" s="8"/>
      <c r="F500" s="8"/>
      <c r="G500" s="389"/>
      <c r="H500" s="8" t="b">
        <v>0</v>
      </c>
      <c r="I500" s="388" t="str">
        <f>IFERROR(__xludf.DUMMYFUNCTION("""COMPUTED_VALUE"""),"")</f>
        <v/>
      </c>
      <c r="J500" s="7"/>
      <c r="K500" s="8"/>
      <c r="L500" s="8"/>
      <c r="M500" s="8"/>
      <c r="N500" s="8" t="str">
        <f>IFERROR(__xludf.DUMMYFUNCTION("""COMPUTED_VALUE"""),"")</f>
        <v/>
      </c>
      <c r="O500" s="8" t="str">
        <f>IFERROR(__xludf.DUMMYFUNCTION("""COMPUTED_VALUE"""),"")</f>
        <v/>
      </c>
      <c r="P500" s="8"/>
      <c r="Q500" s="8"/>
    </row>
    <row r="501">
      <c r="A501" s="8"/>
      <c r="B501" s="25"/>
      <c r="C501" s="385" t="s">
        <v>1426</v>
      </c>
      <c r="D501" s="392"/>
      <c r="E501" s="8"/>
      <c r="F501" s="8"/>
      <c r="G501" s="389"/>
      <c r="H501" s="8" t="b">
        <v>0</v>
      </c>
      <c r="I501" s="388" t="str">
        <f>IFERROR(__xludf.DUMMYFUNCTION("""COMPUTED_VALUE"""),"")</f>
        <v/>
      </c>
      <c r="J501" s="7"/>
      <c r="K501" s="8"/>
      <c r="L501" s="8"/>
      <c r="M501" s="8"/>
      <c r="N501" s="8" t="str">
        <f>IFERROR(__xludf.DUMMYFUNCTION("""COMPUTED_VALUE"""),"")</f>
        <v/>
      </c>
      <c r="O501" s="8" t="str">
        <f>IFERROR(__xludf.DUMMYFUNCTION("""COMPUTED_VALUE"""),"")</f>
        <v/>
      </c>
      <c r="P501" s="8"/>
      <c r="Q501" s="8"/>
    </row>
    <row r="502">
      <c r="A502" s="8"/>
      <c r="B502" s="25"/>
      <c r="C502" s="385" t="s">
        <v>1426</v>
      </c>
      <c r="D502" s="392"/>
      <c r="E502" s="8"/>
      <c r="F502" s="8"/>
      <c r="G502" s="389"/>
      <c r="H502" s="8" t="b">
        <v>0</v>
      </c>
      <c r="I502" s="388" t="str">
        <f>IFERROR(__xludf.DUMMYFUNCTION("""COMPUTED_VALUE"""),"")</f>
        <v/>
      </c>
      <c r="J502" s="7"/>
      <c r="K502" s="8"/>
      <c r="L502" s="8"/>
      <c r="M502" s="8"/>
      <c r="N502" s="8" t="str">
        <f>IFERROR(__xludf.DUMMYFUNCTION("""COMPUTED_VALUE"""),"")</f>
        <v/>
      </c>
      <c r="O502" s="8" t="str">
        <f>IFERROR(__xludf.DUMMYFUNCTION("""COMPUTED_VALUE"""),"")</f>
        <v/>
      </c>
      <c r="P502" s="8"/>
      <c r="Q502" s="8"/>
    </row>
    <row r="503">
      <c r="A503" s="8"/>
      <c r="B503" s="25"/>
      <c r="C503" s="385" t="s">
        <v>1426</v>
      </c>
      <c r="D503" s="392"/>
      <c r="E503" s="8"/>
      <c r="F503" s="8"/>
      <c r="G503" s="389"/>
      <c r="H503" s="8" t="b">
        <v>0</v>
      </c>
      <c r="I503" s="388" t="str">
        <f>IFERROR(__xludf.DUMMYFUNCTION("""COMPUTED_VALUE"""),"")</f>
        <v/>
      </c>
      <c r="J503" s="7"/>
      <c r="K503" s="8"/>
      <c r="L503" s="8"/>
      <c r="M503" s="8"/>
      <c r="N503" s="8" t="str">
        <f>IFERROR(__xludf.DUMMYFUNCTION("""COMPUTED_VALUE"""),"")</f>
        <v/>
      </c>
      <c r="O503" s="8" t="str">
        <f>IFERROR(__xludf.DUMMYFUNCTION("""COMPUTED_VALUE"""),"")</f>
        <v/>
      </c>
      <c r="P503" s="8"/>
      <c r="Q503" s="8"/>
    </row>
    <row r="504">
      <c r="A504" s="8"/>
      <c r="B504" s="25"/>
      <c r="C504" s="385" t="s">
        <v>1426</v>
      </c>
      <c r="D504" s="392"/>
      <c r="E504" s="8"/>
      <c r="F504" s="8"/>
      <c r="G504" s="389"/>
      <c r="H504" s="8" t="b">
        <v>0</v>
      </c>
      <c r="I504" s="388" t="str">
        <f>IFERROR(__xludf.DUMMYFUNCTION("""COMPUTED_VALUE"""),"")</f>
        <v/>
      </c>
      <c r="J504" s="7"/>
      <c r="K504" s="8"/>
      <c r="L504" s="8"/>
      <c r="M504" s="8"/>
      <c r="N504" s="8" t="str">
        <f>IFERROR(__xludf.DUMMYFUNCTION("""COMPUTED_VALUE"""),"")</f>
        <v/>
      </c>
      <c r="O504" s="8" t="str">
        <f>IFERROR(__xludf.DUMMYFUNCTION("""COMPUTED_VALUE"""),"")</f>
        <v/>
      </c>
      <c r="P504" s="8"/>
      <c r="Q504" s="8"/>
    </row>
    <row r="505">
      <c r="A505" s="8"/>
      <c r="B505" s="25"/>
      <c r="C505" s="385" t="s">
        <v>1426</v>
      </c>
      <c r="D505" s="392"/>
      <c r="E505" s="8"/>
      <c r="F505" s="8"/>
      <c r="G505" s="389"/>
      <c r="H505" s="8" t="b">
        <v>0</v>
      </c>
      <c r="I505" s="388" t="str">
        <f>IFERROR(__xludf.DUMMYFUNCTION("""COMPUTED_VALUE"""),"")</f>
        <v/>
      </c>
      <c r="J505" s="7"/>
      <c r="K505" s="8"/>
      <c r="L505" s="8"/>
      <c r="M505" s="8"/>
      <c r="N505" s="8" t="str">
        <f>IFERROR(__xludf.DUMMYFUNCTION("""COMPUTED_VALUE"""),"")</f>
        <v/>
      </c>
      <c r="O505" s="8" t="str">
        <f>IFERROR(__xludf.DUMMYFUNCTION("""COMPUTED_VALUE"""),"")</f>
        <v/>
      </c>
      <c r="P505" s="8"/>
      <c r="Q505" s="8"/>
    </row>
    <row r="506">
      <c r="A506" s="8"/>
      <c r="B506" s="25"/>
      <c r="C506" s="385" t="s">
        <v>1426</v>
      </c>
      <c r="D506" s="392"/>
      <c r="E506" s="8"/>
      <c r="F506" s="8"/>
      <c r="G506" s="389"/>
      <c r="H506" s="8" t="b">
        <v>0</v>
      </c>
      <c r="I506" s="388" t="str">
        <f>IFERROR(__xludf.DUMMYFUNCTION("""COMPUTED_VALUE"""),"")</f>
        <v/>
      </c>
      <c r="J506" s="7"/>
      <c r="K506" s="8"/>
      <c r="L506" s="8"/>
      <c r="M506" s="8"/>
      <c r="N506" s="8" t="str">
        <f>IFERROR(__xludf.DUMMYFUNCTION("""COMPUTED_VALUE"""),"")</f>
        <v/>
      </c>
      <c r="O506" s="8" t="str">
        <f>IFERROR(__xludf.DUMMYFUNCTION("""COMPUTED_VALUE"""),"")</f>
        <v/>
      </c>
      <c r="P506" s="8"/>
      <c r="Q506" s="8"/>
    </row>
    <row r="507">
      <c r="A507" s="8"/>
      <c r="B507" s="25"/>
      <c r="C507" s="385" t="s">
        <v>1426</v>
      </c>
      <c r="D507" s="392"/>
      <c r="E507" s="8"/>
      <c r="F507" s="8"/>
      <c r="G507" s="389"/>
      <c r="H507" s="8" t="b">
        <v>0</v>
      </c>
      <c r="I507" s="388" t="str">
        <f>IFERROR(__xludf.DUMMYFUNCTION("""COMPUTED_VALUE"""),"")</f>
        <v/>
      </c>
      <c r="J507" s="7"/>
      <c r="K507" s="8"/>
      <c r="L507" s="8"/>
      <c r="M507" s="8"/>
      <c r="N507" s="8" t="str">
        <f>IFERROR(__xludf.DUMMYFUNCTION("""COMPUTED_VALUE"""),"")</f>
        <v/>
      </c>
      <c r="O507" s="8" t="str">
        <f>IFERROR(__xludf.DUMMYFUNCTION("""COMPUTED_VALUE"""),"")</f>
        <v/>
      </c>
      <c r="P507" s="8"/>
      <c r="Q507" s="8"/>
    </row>
    <row r="508">
      <c r="A508" s="8"/>
      <c r="B508" s="25"/>
      <c r="C508" s="385" t="s">
        <v>1426</v>
      </c>
      <c r="D508" s="392"/>
      <c r="E508" s="8"/>
      <c r="F508" s="8"/>
      <c r="G508" s="389"/>
      <c r="H508" s="8" t="b">
        <v>0</v>
      </c>
      <c r="I508" s="388" t="str">
        <f>IFERROR(__xludf.DUMMYFUNCTION("""COMPUTED_VALUE"""),"")</f>
        <v/>
      </c>
      <c r="J508" s="7"/>
      <c r="K508" s="8"/>
      <c r="L508" s="8"/>
      <c r="M508" s="8"/>
      <c r="N508" s="8" t="str">
        <f>IFERROR(__xludf.DUMMYFUNCTION("""COMPUTED_VALUE"""),"")</f>
        <v/>
      </c>
      <c r="O508" s="8" t="str">
        <f>IFERROR(__xludf.DUMMYFUNCTION("""COMPUTED_VALUE"""),"")</f>
        <v/>
      </c>
      <c r="P508" s="8"/>
      <c r="Q508" s="8"/>
    </row>
    <row r="509">
      <c r="A509" s="8"/>
      <c r="B509" s="25"/>
      <c r="C509" s="385" t="s">
        <v>1426</v>
      </c>
      <c r="D509" s="392"/>
      <c r="E509" s="8"/>
      <c r="F509" s="8"/>
      <c r="G509" s="389"/>
      <c r="H509" s="8" t="b">
        <v>0</v>
      </c>
      <c r="I509" s="388" t="str">
        <f>IFERROR(__xludf.DUMMYFUNCTION("""COMPUTED_VALUE"""),"")</f>
        <v/>
      </c>
      <c r="J509" s="7"/>
      <c r="K509" s="8"/>
      <c r="L509" s="8"/>
      <c r="M509" s="8"/>
      <c r="N509" s="8" t="str">
        <f>IFERROR(__xludf.DUMMYFUNCTION("""COMPUTED_VALUE"""),"")</f>
        <v/>
      </c>
      <c r="O509" s="8" t="str">
        <f>IFERROR(__xludf.DUMMYFUNCTION("""COMPUTED_VALUE"""),"")</f>
        <v/>
      </c>
      <c r="P509" s="8"/>
      <c r="Q509" s="8"/>
    </row>
    <row r="510">
      <c r="A510" s="8"/>
      <c r="B510" s="25"/>
      <c r="C510" s="385" t="s">
        <v>1426</v>
      </c>
      <c r="D510" s="392"/>
      <c r="E510" s="8"/>
      <c r="F510" s="8"/>
      <c r="G510" s="389"/>
      <c r="H510" s="8" t="b">
        <v>0</v>
      </c>
      <c r="I510" s="388" t="str">
        <f>IFERROR(__xludf.DUMMYFUNCTION("""COMPUTED_VALUE"""),"")</f>
        <v/>
      </c>
      <c r="J510" s="7"/>
      <c r="K510" s="8"/>
      <c r="L510" s="8"/>
      <c r="M510" s="8"/>
      <c r="N510" s="8" t="str">
        <f>IFERROR(__xludf.DUMMYFUNCTION("""COMPUTED_VALUE"""),"")</f>
        <v/>
      </c>
      <c r="O510" s="8" t="str">
        <f>IFERROR(__xludf.DUMMYFUNCTION("""COMPUTED_VALUE"""),"")</f>
        <v/>
      </c>
      <c r="P510" s="8"/>
      <c r="Q510" s="8"/>
    </row>
    <row r="511">
      <c r="A511" s="8"/>
      <c r="B511" s="25"/>
      <c r="C511" s="385" t="s">
        <v>1426</v>
      </c>
      <c r="D511" s="392"/>
      <c r="E511" s="8"/>
      <c r="F511" s="8"/>
      <c r="G511" s="389"/>
      <c r="H511" s="8" t="b">
        <v>0</v>
      </c>
      <c r="I511" s="388" t="str">
        <f>IFERROR(__xludf.DUMMYFUNCTION("""COMPUTED_VALUE"""),"")</f>
        <v/>
      </c>
      <c r="J511" s="7"/>
      <c r="K511" s="8"/>
      <c r="L511" s="8"/>
      <c r="M511" s="8"/>
      <c r="N511" s="8" t="str">
        <f>IFERROR(__xludf.DUMMYFUNCTION("""COMPUTED_VALUE"""),"")</f>
        <v/>
      </c>
      <c r="O511" s="8" t="str">
        <f>IFERROR(__xludf.DUMMYFUNCTION("""COMPUTED_VALUE"""),"")</f>
        <v/>
      </c>
      <c r="P511" s="8"/>
      <c r="Q511" s="8"/>
    </row>
    <row r="512">
      <c r="A512" s="8"/>
      <c r="B512" s="25"/>
      <c r="C512" s="385" t="s">
        <v>1426</v>
      </c>
      <c r="D512" s="392"/>
      <c r="E512" s="8"/>
      <c r="F512" s="8"/>
      <c r="G512" s="389"/>
      <c r="H512" s="8" t="b">
        <v>0</v>
      </c>
      <c r="I512" s="388" t="str">
        <f>IFERROR(__xludf.DUMMYFUNCTION("""COMPUTED_VALUE"""),"")</f>
        <v/>
      </c>
      <c r="J512" s="7"/>
      <c r="K512" s="8"/>
      <c r="L512" s="8"/>
      <c r="M512" s="8"/>
      <c r="N512" s="8" t="str">
        <f>IFERROR(__xludf.DUMMYFUNCTION("""COMPUTED_VALUE"""),"")</f>
        <v/>
      </c>
      <c r="O512" s="8" t="str">
        <f>IFERROR(__xludf.DUMMYFUNCTION("""COMPUTED_VALUE"""),"")</f>
        <v/>
      </c>
      <c r="P512" s="8"/>
      <c r="Q512" s="8"/>
    </row>
    <row r="513">
      <c r="A513" s="8"/>
      <c r="B513" s="25"/>
      <c r="C513" s="385" t="s">
        <v>1426</v>
      </c>
      <c r="D513" s="392"/>
      <c r="E513" s="8"/>
      <c r="F513" s="8"/>
      <c r="G513" s="389"/>
      <c r="H513" s="8" t="b">
        <v>0</v>
      </c>
      <c r="I513" s="388" t="str">
        <f>IFERROR(__xludf.DUMMYFUNCTION("""COMPUTED_VALUE"""),"")</f>
        <v/>
      </c>
      <c r="J513" s="7"/>
      <c r="K513" s="8"/>
      <c r="L513" s="8"/>
      <c r="M513" s="8"/>
      <c r="N513" s="8" t="str">
        <f>IFERROR(__xludf.DUMMYFUNCTION("""COMPUTED_VALUE"""),"")</f>
        <v/>
      </c>
      <c r="O513" s="8" t="str">
        <f>IFERROR(__xludf.DUMMYFUNCTION("""COMPUTED_VALUE"""),"")</f>
        <v/>
      </c>
      <c r="P513" s="8"/>
      <c r="Q513" s="8"/>
    </row>
    <row r="514">
      <c r="A514" s="8"/>
      <c r="B514" s="25"/>
      <c r="C514" s="385" t="s">
        <v>1426</v>
      </c>
      <c r="D514" s="392"/>
      <c r="E514" s="8"/>
      <c r="F514" s="8"/>
      <c r="G514" s="389"/>
      <c r="H514" s="8" t="b">
        <v>0</v>
      </c>
      <c r="I514" s="388" t="str">
        <f>IFERROR(__xludf.DUMMYFUNCTION("""COMPUTED_VALUE"""),"")</f>
        <v/>
      </c>
      <c r="J514" s="7"/>
      <c r="K514" s="8"/>
      <c r="L514" s="8"/>
      <c r="M514" s="8"/>
      <c r="N514" s="8" t="str">
        <f>IFERROR(__xludf.DUMMYFUNCTION("""COMPUTED_VALUE"""),"")</f>
        <v/>
      </c>
      <c r="O514" s="8" t="str">
        <f>IFERROR(__xludf.DUMMYFUNCTION("""COMPUTED_VALUE"""),"")</f>
        <v/>
      </c>
      <c r="P514" s="8"/>
      <c r="Q514" s="8"/>
    </row>
    <row r="515">
      <c r="A515" s="8"/>
      <c r="B515" s="25"/>
      <c r="C515" s="385" t="s">
        <v>1426</v>
      </c>
      <c r="D515" s="392"/>
      <c r="E515" s="8"/>
      <c r="F515" s="8"/>
      <c r="G515" s="389"/>
      <c r="H515" s="8" t="b">
        <v>0</v>
      </c>
      <c r="I515" s="388" t="str">
        <f>IFERROR(__xludf.DUMMYFUNCTION("""COMPUTED_VALUE"""),"")</f>
        <v/>
      </c>
      <c r="J515" s="7"/>
      <c r="K515" s="8"/>
      <c r="L515" s="8"/>
      <c r="M515" s="8"/>
      <c r="N515" s="8" t="str">
        <f>IFERROR(__xludf.DUMMYFUNCTION("""COMPUTED_VALUE"""),"")</f>
        <v/>
      </c>
      <c r="O515" s="8" t="str">
        <f>IFERROR(__xludf.DUMMYFUNCTION("""COMPUTED_VALUE"""),"")</f>
        <v/>
      </c>
      <c r="P515" s="8"/>
      <c r="Q515" s="8"/>
    </row>
    <row r="516">
      <c r="A516" s="8"/>
      <c r="B516" s="25"/>
      <c r="C516" s="385" t="s">
        <v>1426</v>
      </c>
      <c r="D516" s="392"/>
      <c r="E516" s="8"/>
      <c r="F516" s="8"/>
      <c r="G516" s="389"/>
      <c r="H516" s="8" t="b">
        <v>0</v>
      </c>
      <c r="I516" s="388" t="str">
        <f>IFERROR(__xludf.DUMMYFUNCTION("""COMPUTED_VALUE"""),"")</f>
        <v/>
      </c>
      <c r="J516" s="7"/>
      <c r="K516" s="8"/>
      <c r="L516" s="8"/>
      <c r="M516" s="8"/>
      <c r="N516" s="8" t="str">
        <f>IFERROR(__xludf.DUMMYFUNCTION("""COMPUTED_VALUE"""),"")</f>
        <v/>
      </c>
      <c r="O516" s="8" t="str">
        <f>IFERROR(__xludf.DUMMYFUNCTION("""COMPUTED_VALUE"""),"")</f>
        <v/>
      </c>
      <c r="P516" s="8"/>
      <c r="Q516" s="8"/>
    </row>
    <row r="517">
      <c r="A517" s="8"/>
      <c r="B517" s="25"/>
      <c r="C517" s="385" t="s">
        <v>1426</v>
      </c>
      <c r="D517" s="392"/>
      <c r="E517" s="8"/>
      <c r="F517" s="8"/>
      <c r="G517" s="389"/>
      <c r="H517" s="8" t="b">
        <v>0</v>
      </c>
      <c r="I517" s="388" t="str">
        <f>IFERROR(__xludf.DUMMYFUNCTION("""COMPUTED_VALUE"""),"")</f>
        <v/>
      </c>
      <c r="J517" s="7"/>
      <c r="K517" s="8"/>
      <c r="L517" s="8"/>
      <c r="M517" s="8"/>
      <c r="N517" s="8" t="str">
        <f>IFERROR(__xludf.DUMMYFUNCTION("""COMPUTED_VALUE"""),"")</f>
        <v/>
      </c>
      <c r="O517" s="8" t="str">
        <f>IFERROR(__xludf.DUMMYFUNCTION("""COMPUTED_VALUE"""),"")</f>
        <v/>
      </c>
      <c r="P517" s="8"/>
      <c r="Q517" s="8"/>
    </row>
    <row r="518">
      <c r="A518" s="8"/>
      <c r="B518" s="25"/>
      <c r="C518" s="385" t="s">
        <v>1426</v>
      </c>
      <c r="D518" s="392"/>
      <c r="E518" s="8"/>
      <c r="F518" s="8"/>
      <c r="G518" s="389"/>
      <c r="H518" s="8" t="b">
        <v>0</v>
      </c>
      <c r="I518" s="388" t="str">
        <f>IFERROR(__xludf.DUMMYFUNCTION("""COMPUTED_VALUE"""),"")</f>
        <v/>
      </c>
      <c r="J518" s="7"/>
      <c r="K518" s="8"/>
      <c r="L518" s="8"/>
      <c r="M518" s="8"/>
      <c r="N518" s="8" t="str">
        <f>IFERROR(__xludf.DUMMYFUNCTION("""COMPUTED_VALUE"""),"")</f>
        <v/>
      </c>
      <c r="O518" s="8" t="str">
        <f>IFERROR(__xludf.DUMMYFUNCTION("""COMPUTED_VALUE"""),"")</f>
        <v/>
      </c>
      <c r="P518" s="8"/>
      <c r="Q518" s="8"/>
    </row>
    <row r="519">
      <c r="A519" s="8"/>
      <c r="B519" s="25"/>
      <c r="C519" s="385" t="s">
        <v>1426</v>
      </c>
      <c r="D519" s="392"/>
      <c r="E519" s="8"/>
      <c r="F519" s="8"/>
      <c r="G519" s="389"/>
      <c r="H519" s="8" t="b">
        <v>0</v>
      </c>
      <c r="I519" s="388" t="str">
        <f>IFERROR(__xludf.DUMMYFUNCTION("""COMPUTED_VALUE"""),"")</f>
        <v/>
      </c>
      <c r="J519" s="7"/>
      <c r="K519" s="8"/>
      <c r="L519" s="8"/>
      <c r="M519" s="8"/>
      <c r="N519" s="8" t="str">
        <f>IFERROR(__xludf.DUMMYFUNCTION("""COMPUTED_VALUE"""),"")</f>
        <v/>
      </c>
      <c r="O519" s="8" t="str">
        <f>IFERROR(__xludf.DUMMYFUNCTION("""COMPUTED_VALUE"""),"")</f>
        <v/>
      </c>
      <c r="P519" s="8"/>
      <c r="Q519" s="8"/>
    </row>
    <row r="520">
      <c r="A520" s="8"/>
      <c r="B520" s="25"/>
      <c r="C520" s="385" t="s">
        <v>1426</v>
      </c>
      <c r="D520" s="392"/>
      <c r="E520" s="8"/>
      <c r="F520" s="8"/>
      <c r="G520" s="389"/>
      <c r="H520" s="8" t="b">
        <v>0</v>
      </c>
      <c r="I520" s="388" t="str">
        <f>IFERROR(__xludf.DUMMYFUNCTION("""COMPUTED_VALUE"""),"")</f>
        <v/>
      </c>
      <c r="J520" s="7"/>
      <c r="K520" s="8"/>
      <c r="L520" s="8"/>
      <c r="M520" s="8"/>
      <c r="N520" s="8" t="str">
        <f>IFERROR(__xludf.DUMMYFUNCTION("""COMPUTED_VALUE"""),"")</f>
        <v/>
      </c>
      <c r="O520" s="8" t="str">
        <f>IFERROR(__xludf.DUMMYFUNCTION("""COMPUTED_VALUE"""),"")</f>
        <v/>
      </c>
      <c r="P520" s="8"/>
      <c r="Q520" s="8"/>
    </row>
    <row r="521">
      <c r="A521" s="8"/>
      <c r="B521" s="25"/>
      <c r="C521" s="385" t="s">
        <v>1426</v>
      </c>
      <c r="D521" s="392"/>
      <c r="E521" s="8"/>
      <c r="F521" s="8"/>
      <c r="G521" s="389"/>
      <c r="H521" s="8" t="b">
        <v>0</v>
      </c>
      <c r="I521" s="388" t="str">
        <f>IFERROR(__xludf.DUMMYFUNCTION("""COMPUTED_VALUE"""),"")</f>
        <v/>
      </c>
      <c r="J521" s="7"/>
      <c r="K521" s="8"/>
      <c r="L521" s="8"/>
      <c r="M521" s="8"/>
      <c r="N521" s="8" t="str">
        <f>IFERROR(__xludf.DUMMYFUNCTION("""COMPUTED_VALUE"""),"")</f>
        <v/>
      </c>
      <c r="O521" s="8" t="str">
        <f>IFERROR(__xludf.DUMMYFUNCTION("""COMPUTED_VALUE"""),"")</f>
        <v/>
      </c>
      <c r="P521" s="8"/>
      <c r="Q521" s="8"/>
    </row>
    <row r="522">
      <c r="A522" s="8"/>
      <c r="B522" s="25"/>
      <c r="C522" s="385" t="s">
        <v>1426</v>
      </c>
      <c r="D522" s="392"/>
      <c r="E522" s="8"/>
      <c r="F522" s="8"/>
      <c r="G522" s="389"/>
      <c r="H522" s="8" t="b">
        <v>0</v>
      </c>
      <c r="I522" s="388" t="str">
        <f>IFERROR(__xludf.DUMMYFUNCTION("""COMPUTED_VALUE"""),"")</f>
        <v/>
      </c>
      <c r="J522" s="7"/>
      <c r="K522" s="8"/>
      <c r="L522" s="8"/>
      <c r="M522" s="8"/>
      <c r="N522" s="8" t="str">
        <f>IFERROR(__xludf.DUMMYFUNCTION("""COMPUTED_VALUE"""),"")</f>
        <v/>
      </c>
      <c r="O522" s="8" t="str">
        <f>IFERROR(__xludf.DUMMYFUNCTION("""COMPUTED_VALUE"""),"")</f>
        <v/>
      </c>
      <c r="P522" s="8"/>
      <c r="Q522" s="8"/>
    </row>
    <row r="523">
      <c r="A523" s="8"/>
      <c r="B523" s="25"/>
      <c r="C523" s="385" t="s">
        <v>1426</v>
      </c>
      <c r="D523" s="392"/>
      <c r="E523" s="8"/>
      <c r="F523" s="8"/>
      <c r="G523" s="389"/>
      <c r="H523" s="8" t="b">
        <v>0</v>
      </c>
      <c r="I523" s="388" t="str">
        <f>IFERROR(__xludf.DUMMYFUNCTION("""COMPUTED_VALUE"""),"")</f>
        <v/>
      </c>
      <c r="J523" s="7"/>
      <c r="K523" s="8"/>
      <c r="L523" s="8"/>
      <c r="M523" s="8"/>
      <c r="N523" s="8" t="str">
        <f>IFERROR(__xludf.DUMMYFUNCTION("""COMPUTED_VALUE"""),"")</f>
        <v/>
      </c>
      <c r="O523" s="8" t="str">
        <f>IFERROR(__xludf.DUMMYFUNCTION("""COMPUTED_VALUE"""),"")</f>
        <v/>
      </c>
      <c r="P523" s="8"/>
      <c r="Q523" s="8"/>
    </row>
    <row r="524">
      <c r="A524" s="8"/>
      <c r="B524" s="25"/>
      <c r="C524" s="385" t="s">
        <v>1426</v>
      </c>
      <c r="D524" s="392"/>
      <c r="E524" s="8"/>
      <c r="F524" s="8"/>
      <c r="G524" s="389"/>
      <c r="H524" s="8" t="b">
        <v>0</v>
      </c>
      <c r="I524" s="388" t="str">
        <f>IFERROR(__xludf.DUMMYFUNCTION("""COMPUTED_VALUE"""),"")</f>
        <v/>
      </c>
      <c r="J524" s="7"/>
      <c r="K524" s="8"/>
      <c r="L524" s="8"/>
      <c r="M524" s="8"/>
      <c r="N524" s="8" t="str">
        <f>IFERROR(__xludf.DUMMYFUNCTION("""COMPUTED_VALUE"""),"")</f>
        <v/>
      </c>
      <c r="O524" s="8" t="str">
        <f>IFERROR(__xludf.DUMMYFUNCTION("""COMPUTED_VALUE"""),"")</f>
        <v/>
      </c>
      <c r="P524" s="8"/>
      <c r="Q524" s="8"/>
    </row>
    <row r="525">
      <c r="A525" s="8"/>
      <c r="B525" s="25"/>
      <c r="C525" s="385" t="s">
        <v>1426</v>
      </c>
      <c r="D525" s="392"/>
      <c r="E525" s="8"/>
      <c r="F525" s="8"/>
      <c r="G525" s="389"/>
      <c r="H525" s="8" t="b">
        <v>0</v>
      </c>
      <c r="I525" s="388" t="str">
        <f>IFERROR(__xludf.DUMMYFUNCTION("""COMPUTED_VALUE"""),"")</f>
        <v/>
      </c>
      <c r="J525" s="7"/>
      <c r="K525" s="8"/>
      <c r="L525" s="8"/>
      <c r="M525" s="8"/>
      <c r="N525" s="8" t="str">
        <f>IFERROR(__xludf.DUMMYFUNCTION("""COMPUTED_VALUE"""),"")</f>
        <v/>
      </c>
      <c r="O525" s="8" t="str">
        <f>IFERROR(__xludf.DUMMYFUNCTION("""COMPUTED_VALUE"""),"")</f>
        <v/>
      </c>
      <c r="P525" s="8"/>
      <c r="Q525" s="8"/>
    </row>
    <row r="526">
      <c r="A526" s="8"/>
      <c r="B526" s="25"/>
      <c r="C526" s="385" t="s">
        <v>1426</v>
      </c>
      <c r="D526" s="392"/>
      <c r="E526" s="8"/>
      <c r="F526" s="8"/>
      <c r="G526" s="389"/>
      <c r="H526" s="8" t="b">
        <v>0</v>
      </c>
      <c r="I526" s="388" t="str">
        <f>IFERROR(__xludf.DUMMYFUNCTION("""COMPUTED_VALUE"""),"")</f>
        <v/>
      </c>
      <c r="J526" s="7"/>
      <c r="K526" s="8"/>
      <c r="L526" s="8"/>
      <c r="M526" s="8"/>
      <c r="N526" s="8" t="str">
        <f>IFERROR(__xludf.DUMMYFUNCTION("""COMPUTED_VALUE"""),"")</f>
        <v/>
      </c>
      <c r="O526" s="8" t="str">
        <f>IFERROR(__xludf.DUMMYFUNCTION("""COMPUTED_VALUE"""),"")</f>
        <v/>
      </c>
      <c r="P526" s="8"/>
      <c r="Q526" s="8"/>
    </row>
    <row r="527">
      <c r="A527" s="8"/>
      <c r="B527" s="25"/>
      <c r="C527" s="385" t="s">
        <v>1426</v>
      </c>
      <c r="D527" s="392"/>
      <c r="E527" s="8"/>
      <c r="F527" s="8"/>
      <c r="G527" s="389"/>
      <c r="H527" s="8" t="b">
        <v>0</v>
      </c>
      <c r="I527" s="388" t="str">
        <f>IFERROR(__xludf.DUMMYFUNCTION("""COMPUTED_VALUE"""),"")</f>
        <v/>
      </c>
      <c r="J527" s="7"/>
      <c r="K527" s="8"/>
      <c r="L527" s="8"/>
      <c r="M527" s="8"/>
      <c r="N527" s="8" t="str">
        <f>IFERROR(__xludf.DUMMYFUNCTION("""COMPUTED_VALUE"""),"")</f>
        <v/>
      </c>
      <c r="O527" s="8" t="str">
        <f>IFERROR(__xludf.DUMMYFUNCTION("""COMPUTED_VALUE"""),"")</f>
        <v/>
      </c>
      <c r="P527" s="8"/>
      <c r="Q527" s="8"/>
    </row>
    <row r="528">
      <c r="A528" s="8"/>
      <c r="B528" s="25"/>
      <c r="C528" s="385" t="s">
        <v>1426</v>
      </c>
      <c r="D528" s="392"/>
      <c r="E528" s="8"/>
      <c r="F528" s="8"/>
      <c r="G528" s="389"/>
      <c r="H528" s="8" t="b">
        <v>0</v>
      </c>
      <c r="I528" s="388" t="str">
        <f>IFERROR(__xludf.DUMMYFUNCTION("""COMPUTED_VALUE"""),"")</f>
        <v/>
      </c>
      <c r="J528" s="7"/>
      <c r="K528" s="8"/>
      <c r="L528" s="8"/>
      <c r="M528" s="8"/>
      <c r="N528" s="8" t="str">
        <f>IFERROR(__xludf.DUMMYFUNCTION("""COMPUTED_VALUE"""),"")</f>
        <v/>
      </c>
      <c r="O528" s="8" t="str">
        <f>IFERROR(__xludf.DUMMYFUNCTION("""COMPUTED_VALUE"""),"")</f>
        <v/>
      </c>
      <c r="P528" s="8"/>
      <c r="Q528" s="8"/>
    </row>
    <row r="529">
      <c r="A529" s="8"/>
      <c r="B529" s="25"/>
      <c r="C529" s="385" t="s">
        <v>1426</v>
      </c>
      <c r="D529" s="392"/>
      <c r="E529" s="8"/>
      <c r="F529" s="8"/>
      <c r="G529" s="389"/>
      <c r="H529" s="8" t="b">
        <v>0</v>
      </c>
      <c r="I529" s="388" t="str">
        <f>IFERROR(__xludf.DUMMYFUNCTION("""COMPUTED_VALUE"""),"")</f>
        <v/>
      </c>
      <c r="J529" s="7"/>
      <c r="K529" s="8"/>
      <c r="L529" s="8"/>
      <c r="M529" s="8"/>
      <c r="N529" s="8" t="str">
        <f>IFERROR(__xludf.DUMMYFUNCTION("""COMPUTED_VALUE"""),"")</f>
        <v/>
      </c>
      <c r="O529" s="8" t="str">
        <f>IFERROR(__xludf.DUMMYFUNCTION("""COMPUTED_VALUE"""),"")</f>
        <v/>
      </c>
      <c r="P529" s="8"/>
      <c r="Q529" s="8"/>
    </row>
    <row r="530">
      <c r="A530" s="8"/>
      <c r="B530" s="25"/>
      <c r="C530" s="385" t="s">
        <v>1426</v>
      </c>
      <c r="D530" s="392"/>
      <c r="E530" s="8"/>
      <c r="F530" s="8"/>
      <c r="G530" s="389"/>
      <c r="H530" s="8" t="b">
        <v>0</v>
      </c>
      <c r="I530" s="388" t="str">
        <f>IFERROR(__xludf.DUMMYFUNCTION("""COMPUTED_VALUE"""),"")</f>
        <v/>
      </c>
      <c r="J530" s="7"/>
      <c r="K530" s="8"/>
      <c r="L530" s="8"/>
      <c r="M530" s="8"/>
      <c r="N530" s="8" t="str">
        <f>IFERROR(__xludf.DUMMYFUNCTION("""COMPUTED_VALUE"""),"")</f>
        <v/>
      </c>
      <c r="O530" s="8" t="str">
        <f>IFERROR(__xludf.DUMMYFUNCTION("""COMPUTED_VALUE"""),"")</f>
        <v/>
      </c>
      <c r="P530" s="8"/>
      <c r="Q530" s="8"/>
    </row>
    <row r="531">
      <c r="A531" s="8"/>
      <c r="B531" s="25"/>
      <c r="C531" s="385" t="s">
        <v>1426</v>
      </c>
      <c r="D531" s="392"/>
      <c r="E531" s="8"/>
      <c r="F531" s="8"/>
      <c r="G531" s="389"/>
      <c r="H531" s="8" t="b">
        <v>0</v>
      </c>
      <c r="I531" s="388" t="str">
        <f>IFERROR(__xludf.DUMMYFUNCTION("""COMPUTED_VALUE"""),"")</f>
        <v/>
      </c>
      <c r="J531" s="7"/>
      <c r="K531" s="8"/>
      <c r="L531" s="8"/>
      <c r="M531" s="8"/>
      <c r="N531" s="8" t="str">
        <f>IFERROR(__xludf.DUMMYFUNCTION("""COMPUTED_VALUE"""),"")</f>
        <v/>
      </c>
      <c r="O531" s="8" t="str">
        <f>IFERROR(__xludf.DUMMYFUNCTION("""COMPUTED_VALUE"""),"")</f>
        <v/>
      </c>
      <c r="P531" s="8"/>
      <c r="Q531" s="8"/>
    </row>
    <row r="532">
      <c r="A532" s="8"/>
      <c r="B532" s="25"/>
      <c r="C532" s="385" t="s">
        <v>1426</v>
      </c>
      <c r="D532" s="392"/>
      <c r="E532" s="8"/>
      <c r="F532" s="8"/>
      <c r="G532" s="389"/>
      <c r="H532" s="8" t="b">
        <v>0</v>
      </c>
      <c r="I532" s="388" t="str">
        <f>IFERROR(__xludf.DUMMYFUNCTION("""COMPUTED_VALUE"""),"")</f>
        <v/>
      </c>
      <c r="J532" s="7"/>
      <c r="K532" s="8"/>
      <c r="L532" s="8"/>
      <c r="M532" s="8"/>
      <c r="N532" s="8" t="str">
        <f>IFERROR(__xludf.DUMMYFUNCTION("""COMPUTED_VALUE"""),"")</f>
        <v/>
      </c>
      <c r="O532" s="8" t="str">
        <f>IFERROR(__xludf.DUMMYFUNCTION("""COMPUTED_VALUE"""),"")</f>
        <v/>
      </c>
      <c r="P532" s="8"/>
      <c r="Q532" s="8"/>
    </row>
    <row r="533">
      <c r="A533" s="8"/>
      <c r="B533" s="25"/>
      <c r="C533" s="385" t="s">
        <v>1426</v>
      </c>
      <c r="D533" s="392"/>
      <c r="E533" s="8"/>
      <c r="F533" s="8"/>
      <c r="G533" s="389"/>
      <c r="H533" s="8" t="b">
        <v>0</v>
      </c>
      <c r="I533" s="388" t="str">
        <f>IFERROR(__xludf.DUMMYFUNCTION("""COMPUTED_VALUE"""),"")</f>
        <v/>
      </c>
      <c r="J533" s="7"/>
      <c r="K533" s="8"/>
      <c r="L533" s="8"/>
      <c r="M533" s="8"/>
      <c r="N533" s="8" t="str">
        <f>IFERROR(__xludf.DUMMYFUNCTION("""COMPUTED_VALUE"""),"")</f>
        <v/>
      </c>
      <c r="O533" s="8" t="str">
        <f>IFERROR(__xludf.DUMMYFUNCTION("""COMPUTED_VALUE"""),"")</f>
        <v/>
      </c>
      <c r="P533" s="8"/>
      <c r="Q533" s="8"/>
    </row>
    <row r="534">
      <c r="A534" s="8"/>
      <c r="B534" s="25"/>
      <c r="C534" s="385" t="s">
        <v>1426</v>
      </c>
      <c r="D534" s="392"/>
      <c r="E534" s="8"/>
      <c r="F534" s="8"/>
      <c r="G534" s="389"/>
      <c r="H534" s="8" t="b">
        <v>0</v>
      </c>
      <c r="I534" s="388" t="str">
        <f>IFERROR(__xludf.DUMMYFUNCTION("""COMPUTED_VALUE"""),"")</f>
        <v/>
      </c>
      <c r="J534" s="7"/>
      <c r="K534" s="8"/>
      <c r="L534" s="8"/>
      <c r="M534" s="8"/>
      <c r="N534" s="8" t="str">
        <f>IFERROR(__xludf.DUMMYFUNCTION("""COMPUTED_VALUE"""),"")</f>
        <v/>
      </c>
      <c r="O534" s="8" t="str">
        <f>IFERROR(__xludf.DUMMYFUNCTION("""COMPUTED_VALUE"""),"")</f>
        <v/>
      </c>
      <c r="P534" s="8"/>
      <c r="Q534" s="8"/>
    </row>
    <row r="535">
      <c r="A535" s="8"/>
      <c r="B535" s="25"/>
      <c r="C535" s="385" t="s">
        <v>1426</v>
      </c>
      <c r="D535" s="392"/>
      <c r="E535" s="8"/>
      <c r="F535" s="8"/>
      <c r="G535" s="389"/>
      <c r="H535" s="8" t="b">
        <v>0</v>
      </c>
      <c r="I535" s="388" t="str">
        <f>IFERROR(__xludf.DUMMYFUNCTION("""COMPUTED_VALUE"""),"")</f>
        <v/>
      </c>
      <c r="J535" s="7"/>
      <c r="K535" s="8"/>
      <c r="L535" s="8"/>
      <c r="M535" s="8"/>
      <c r="N535" s="8" t="str">
        <f>IFERROR(__xludf.DUMMYFUNCTION("""COMPUTED_VALUE"""),"")</f>
        <v/>
      </c>
      <c r="O535" s="8" t="str">
        <f>IFERROR(__xludf.DUMMYFUNCTION("""COMPUTED_VALUE"""),"")</f>
        <v/>
      </c>
      <c r="P535" s="8"/>
      <c r="Q535" s="8"/>
    </row>
    <row r="536">
      <c r="A536" s="8"/>
      <c r="B536" s="25"/>
      <c r="C536" s="385" t="s">
        <v>1426</v>
      </c>
      <c r="D536" s="392"/>
      <c r="E536" s="8"/>
      <c r="F536" s="8"/>
      <c r="G536" s="389"/>
      <c r="H536" s="8" t="b">
        <v>0</v>
      </c>
      <c r="I536" s="388" t="str">
        <f>IFERROR(__xludf.DUMMYFUNCTION("""COMPUTED_VALUE"""),"")</f>
        <v/>
      </c>
      <c r="J536" s="7"/>
      <c r="K536" s="8"/>
      <c r="L536" s="8"/>
      <c r="M536" s="8"/>
      <c r="N536" s="8" t="str">
        <f>IFERROR(__xludf.DUMMYFUNCTION("""COMPUTED_VALUE"""),"")</f>
        <v/>
      </c>
      <c r="O536" s="8" t="str">
        <f>IFERROR(__xludf.DUMMYFUNCTION("""COMPUTED_VALUE"""),"")</f>
        <v/>
      </c>
      <c r="P536" s="8"/>
      <c r="Q536" s="8"/>
    </row>
    <row r="537">
      <c r="A537" s="8"/>
      <c r="B537" s="25"/>
      <c r="C537" s="385" t="s">
        <v>1426</v>
      </c>
      <c r="D537" s="392"/>
      <c r="E537" s="8"/>
      <c r="F537" s="8"/>
      <c r="G537" s="389"/>
      <c r="H537" s="8" t="b">
        <v>0</v>
      </c>
      <c r="I537" s="388" t="str">
        <f>IFERROR(__xludf.DUMMYFUNCTION("""COMPUTED_VALUE"""),"")</f>
        <v/>
      </c>
      <c r="J537" s="7"/>
      <c r="K537" s="8"/>
      <c r="L537" s="8"/>
      <c r="M537" s="8"/>
      <c r="N537" s="8" t="str">
        <f>IFERROR(__xludf.DUMMYFUNCTION("""COMPUTED_VALUE"""),"")</f>
        <v/>
      </c>
      <c r="O537" s="8" t="str">
        <f>IFERROR(__xludf.DUMMYFUNCTION("""COMPUTED_VALUE"""),"")</f>
        <v/>
      </c>
      <c r="P537" s="8"/>
      <c r="Q537" s="8"/>
    </row>
    <row r="538">
      <c r="A538" s="8"/>
      <c r="B538" s="25"/>
      <c r="C538" s="385" t="s">
        <v>1426</v>
      </c>
      <c r="D538" s="392"/>
      <c r="E538" s="8"/>
      <c r="F538" s="8"/>
      <c r="G538" s="389"/>
      <c r="H538" s="8" t="b">
        <v>0</v>
      </c>
      <c r="I538" s="388" t="str">
        <f>IFERROR(__xludf.DUMMYFUNCTION("""COMPUTED_VALUE"""),"")</f>
        <v/>
      </c>
      <c r="J538" s="7"/>
      <c r="K538" s="8"/>
      <c r="L538" s="8"/>
      <c r="M538" s="8"/>
      <c r="N538" s="8" t="str">
        <f>IFERROR(__xludf.DUMMYFUNCTION("""COMPUTED_VALUE"""),"")</f>
        <v/>
      </c>
      <c r="O538" s="8" t="str">
        <f>IFERROR(__xludf.DUMMYFUNCTION("""COMPUTED_VALUE"""),"")</f>
        <v/>
      </c>
      <c r="P538" s="8"/>
      <c r="Q538" s="8"/>
    </row>
    <row r="539">
      <c r="A539" s="8"/>
      <c r="B539" s="25"/>
      <c r="C539" s="385" t="s">
        <v>1426</v>
      </c>
      <c r="D539" s="392"/>
      <c r="E539" s="8"/>
      <c r="F539" s="8"/>
      <c r="G539" s="389"/>
      <c r="H539" s="8" t="b">
        <v>0</v>
      </c>
      <c r="I539" s="388" t="str">
        <f>IFERROR(__xludf.DUMMYFUNCTION("""COMPUTED_VALUE"""),"")</f>
        <v/>
      </c>
      <c r="J539" s="7"/>
      <c r="K539" s="8"/>
      <c r="L539" s="8"/>
      <c r="M539" s="8"/>
      <c r="N539" s="8" t="str">
        <f>IFERROR(__xludf.DUMMYFUNCTION("""COMPUTED_VALUE"""),"")</f>
        <v/>
      </c>
      <c r="O539" s="8" t="str">
        <f>IFERROR(__xludf.DUMMYFUNCTION("""COMPUTED_VALUE"""),"")</f>
        <v/>
      </c>
      <c r="P539" s="8"/>
      <c r="Q539" s="8"/>
    </row>
    <row r="540">
      <c r="A540" s="8"/>
      <c r="B540" s="25"/>
      <c r="C540" s="385" t="s">
        <v>1426</v>
      </c>
      <c r="D540" s="392"/>
      <c r="E540" s="8"/>
      <c r="F540" s="8"/>
      <c r="G540" s="389"/>
      <c r="H540" s="8" t="b">
        <v>0</v>
      </c>
      <c r="I540" s="388" t="str">
        <f>IFERROR(__xludf.DUMMYFUNCTION("""COMPUTED_VALUE"""),"")</f>
        <v/>
      </c>
      <c r="J540" s="7"/>
      <c r="K540" s="8"/>
      <c r="L540" s="8"/>
      <c r="M540" s="8"/>
      <c r="N540" s="8" t="str">
        <f>IFERROR(__xludf.DUMMYFUNCTION("""COMPUTED_VALUE"""),"")</f>
        <v/>
      </c>
      <c r="O540" s="8" t="str">
        <f>IFERROR(__xludf.DUMMYFUNCTION("""COMPUTED_VALUE"""),"")</f>
        <v/>
      </c>
      <c r="P540" s="8"/>
      <c r="Q540" s="8"/>
    </row>
    <row r="541">
      <c r="A541" s="8"/>
      <c r="B541" s="25"/>
      <c r="C541" s="385" t="s">
        <v>1426</v>
      </c>
      <c r="D541" s="392"/>
      <c r="E541" s="8"/>
      <c r="F541" s="8"/>
      <c r="G541" s="389"/>
      <c r="H541" s="8" t="b">
        <v>0</v>
      </c>
      <c r="I541" s="388" t="str">
        <f>IFERROR(__xludf.DUMMYFUNCTION("""COMPUTED_VALUE"""),"")</f>
        <v/>
      </c>
      <c r="J541" s="7"/>
      <c r="K541" s="8"/>
      <c r="L541" s="8"/>
      <c r="M541" s="8"/>
      <c r="N541" s="8" t="str">
        <f>IFERROR(__xludf.DUMMYFUNCTION("""COMPUTED_VALUE"""),"")</f>
        <v/>
      </c>
      <c r="O541" s="8" t="str">
        <f>IFERROR(__xludf.DUMMYFUNCTION("""COMPUTED_VALUE"""),"")</f>
        <v/>
      </c>
      <c r="P541" s="8"/>
      <c r="Q541" s="8"/>
    </row>
    <row r="542">
      <c r="A542" s="8"/>
      <c r="B542" s="25"/>
      <c r="C542" s="385" t="s">
        <v>1426</v>
      </c>
      <c r="D542" s="392"/>
      <c r="E542" s="8"/>
      <c r="F542" s="8"/>
      <c r="G542" s="389"/>
      <c r="H542" s="8" t="b">
        <v>0</v>
      </c>
      <c r="I542" s="388" t="str">
        <f>IFERROR(__xludf.DUMMYFUNCTION("""COMPUTED_VALUE"""),"")</f>
        <v/>
      </c>
      <c r="J542" s="7"/>
      <c r="K542" s="8"/>
      <c r="L542" s="8"/>
      <c r="M542" s="8"/>
      <c r="N542" s="8" t="str">
        <f>IFERROR(__xludf.DUMMYFUNCTION("""COMPUTED_VALUE"""),"")</f>
        <v/>
      </c>
      <c r="O542" s="8" t="str">
        <f>IFERROR(__xludf.DUMMYFUNCTION("""COMPUTED_VALUE"""),"")</f>
        <v/>
      </c>
      <c r="P542" s="8"/>
      <c r="Q542" s="8"/>
    </row>
    <row r="543">
      <c r="A543" s="8"/>
      <c r="B543" s="25"/>
      <c r="C543" s="385" t="s">
        <v>1426</v>
      </c>
      <c r="D543" s="392"/>
      <c r="E543" s="8"/>
      <c r="F543" s="8"/>
      <c r="G543" s="389"/>
      <c r="H543" s="8" t="b">
        <v>0</v>
      </c>
      <c r="I543" s="388" t="str">
        <f>IFERROR(__xludf.DUMMYFUNCTION("""COMPUTED_VALUE"""),"")</f>
        <v/>
      </c>
      <c r="J543" s="7"/>
      <c r="K543" s="8"/>
      <c r="L543" s="8"/>
      <c r="M543" s="8"/>
      <c r="N543" s="8" t="str">
        <f>IFERROR(__xludf.DUMMYFUNCTION("""COMPUTED_VALUE"""),"")</f>
        <v/>
      </c>
      <c r="O543" s="8" t="str">
        <f>IFERROR(__xludf.DUMMYFUNCTION("""COMPUTED_VALUE"""),"")</f>
        <v/>
      </c>
      <c r="P543" s="8"/>
      <c r="Q543" s="8"/>
    </row>
    <row r="544">
      <c r="A544" s="8"/>
      <c r="B544" s="25"/>
      <c r="C544" s="385" t="s">
        <v>1426</v>
      </c>
      <c r="D544" s="392"/>
      <c r="E544" s="8"/>
      <c r="F544" s="8"/>
      <c r="G544" s="389"/>
      <c r="H544" s="8" t="b">
        <v>0</v>
      </c>
      <c r="I544" s="388" t="str">
        <f>IFERROR(__xludf.DUMMYFUNCTION("""COMPUTED_VALUE"""),"")</f>
        <v/>
      </c>
      <c r="J544" s="7"/>
      <c r="K544" s="8"/>
      <c r="L544" s="8"/>
      <c r="M544" s="8"/>
      <c r="N544" s="8" t="str">
        <f>IFERROR(__xludf.DUMMYFUNCTION("""COMPUTED_VALUE"""),"")</f>
        <v/>
      </c>
      <c r="O544" s="8" t="str">
        <f>IFERROR(__xludf.DUMMYFUNCTION("""COMPUTED_VALUE"""),"")</f>
        <v/>
      </c>
      <c r="P544" s="8"/>
      <c r="Q544" s="8"/>
    </row>
    <row r="545">
      <c r="A545" s="8"/>
      <c r="B545" s="25"/>
      <c r="C545" s="385" t="s">
        <v>1426</v>
      </c>
      <c r="D545" s="392"/>
      <c r="E545" s="8"/>
      <c r="F545" s="8"/>
      <c r="G545" s="389"/>
      <c r="H545" s="8" t="b">
        <v>0</v>
      </c>
      <c r="I545" s="388" t="str">
        <f>IFERROR(__xludf.DUMMYFUNCTION("""COMPUTED_VALUE"""),"")</f>
        <v/>
      </c>
      <c r="J545" s="7"/>
      <c r="K545" s="8"/>
      <c r="L545" s="8"/>
      <c r="M545" s="8"/>
      <c r="N545" s="8" t="str">
        <f>IFERROR(__xludf.DUMMYFUNCTION("""COMPUTED_VALUE"""),"")</f>
        <v/>
      </c>
      <c r="O545" s="8" t="str">
        <f>IFERROR(__xludf.DUMMYFUNCTION("""COMPUTED_VALUE"""),"")</f>
        <v/>
      </c>
      <c r="P545" s="8"/>
      <c r="Q545" s="8"/>
    </row>
    <row r="546">
      <c r="A546" s="8"/>
      <c r="B546" s="25"/>
      <c r="C546" s="385" t="s">
        <v>1426</v>
      </c>
      <c r="D546" s="392"/>
      <c r="E546" s="8"/>
      <c r="F546" s="8"/>
      <c r="G546" s="389"/>
      <c r="H546" s="8" t="b">
        <v>0</v>
      </c>
      <c r="I546" s="388" t="str">
        <f>IFERROR(__xludf.DUMMYFUNCTION("""COMPUTED_VALUE"""),"")</f>
        <v/>
      </c>
      <c r="J546" s="7"/>
      <c r="K546" s="8"/>
      <c r="L546" s="8"/>
      <c r="M546" s="8"/>
      <c r="N546" s="8" t="str">
        <f>IFERROR(__xludf.DUMMYFUNCTION("""COMPUTED_VALUE"""),"")</f>
        <v/>
      </c>
      <c r="O546" s="8" t="str">
        <f>IFERROR(__xludf.DUMMYFUNCTION("""COMPUTED_VALUE"""),"")</f>
        <v/>
      </c>
      <c r="P546" s="8"/>
      <c r="Q546" s="8"/>
    </row>
    <row r="547">
      <c r="A547" s="8"/>
      <c r="B547" s="25"/>
      <c r="C547" s="385" t="s">
        <v>1426</v>
      </c>
      <c r="D547" s="392"/>
      <c r="E547" s="8"/>
      <c r="F547" s="8"/>
      <c r="G547" s="389"/>
      <c r="H547" s="8" t="b">
        <v>0</v>
      </c>
      <c r="I547" s="388" t="str">
        <f>IFERROR(__xludf.DUMMYFUNCTION("""COMPUTED_VALUE"""),"")</f>
        <v/>
      </c>
      <c r="J547" s="7"/>
      <c r="K547" s="8"/>
      <c r="L547" s="8"/>
      <c r="M547" s="8"/>
      <c r="N547" s="8" t="str">
        <f>IFERROR(__xludf.DUMMYFUNCTION("""COMPUTED_VALUE"""),"")</f>
        <v/>
      </c>
      <c r="O547" s="8" t="str">
        <f>IFERROR(__xludf.DUMMYFUNCTION("""COMPUTED_VALUE"""),"")</f>
        <v/>
      </c>
      <c r="P547" s="8"/>
      <c r="Q547" s="8"/>
    </row>
    <row r="548">
      <c r="A548" s="8"/>
      <c r="B548" s="25"/>
      <c r="C548" s="385" t="s">
        <v>1426</v>
      </c>
      <c r="D548" s="392"/>
      <c r="E548" s="8"/>
      <c r="F548" s="8"/>
      <c r="G548" s="389"/>
      <c r="H548" s="8" t="b">
        <v>0</v>
      </c>
      <c r="I548" s="388" t="str">
        <f>IFERROR(__xludf.DUMMYFUNCTION("""COMPUTED_VALUE"""),"")</f>
        <v/>
      </c>
      <c r="J548" s="7"/>
      <c r="K548" s="8"/>
      <c r="L548" s="8"/>
      <c r="M548" s="8"/>
      <c r="N548" s="8" t="str">
        <f>IFERROR(__xludf.DUMMYFUNCTION("""COMPUTED_VALUE"""),"")</f>
        <v/>
      </c>
      <c r="O548" s="8" t="str">
        <f>IFERROR(__xludf.DUMMYFUNCTION("""COMPUTED_VALUE"""),"")</f>
        <v/>
      </c>
      <c r="P548" s="8"/>
      <c r="Q548" s="8"/>
    </row>
    <row r="549">
      <c r="A549" s="8"/>
      <c r="B549" s="25"/>
      <c r="C549" s="385" t="s">
        <v>1426</v>
      </c>
      <c r="D549" s="392"/>
      <c r="E549" s="8"/>
      <c r="F549" s="8"/>
      <c r="G549" s="389"/>
      <c r="H549" s="8" t="b">
        <v>0</v>
      </c>
      <c r="I549" s="388" t="str">
        <f>IFERROR(__xludf.DUMMYFUNCTION("""COMPUTED_VALUE"""),"")</f>
        <v/>
      </c>
      <c r="J549" s="7"/>
      <c r="K549" s="8"/>
      <c r="L549" s="8"/>
      <c r="M549" s="8"/>
      <c r="N549" s="8" t="str">
        <f>IFERROR(__xludf.DUMMYFUNCTION("""COMPUTED_VALUE"""),"")</f>
        <v/>
      </c>
      <c r="O549" s="8" t="str">
        <f>IFERROR(__xludf.DUMMYFUNCTION("""COMPUTED_VALUE"""),"")</f>
        <v/>
      </c>
      <c r="P549" s="8"/>
      <c r="Q549" s="8"/>
    </row>
    <row r="550">
      <c r="A550" s="8"/>
      <c r="B550" s="25"/>
      <c r="C550" s="385" t="s">
        <v>1426</v>
      </c>
      <c r="D550" s="392"/>
      <c r="E550" s="8"/>
      <c r="F550" s="8"/>
      <c r="G550" s="389"/>
      <c r="H550" s="8" t="b">
        <v>0</v>
      </c>
      <c r="I550" s="388" t="str">
        <f>IFERROR(__xludf.DUMMYFUNCTION("""COMPUTED_VALUE"""),"")</f>
        <v/>
      </c>
      <c r="J550" s="7"/>
      <c r="K550" s="8"/>
      <c r="L550" s="8"/>
      <c r="M550" s="8"/>
      <c r="N550" s="8" t="str">
        <f>IFERROR(__xludf.DUMMYFUNCTION("""COMPUTED_VALUE"""),"")</f>
        <v/>
      </c>
      <c r="O550" s="8" t="str">
        <f>IFERROR(__xludf.DUMMYFUNCTION("""COMPUTED_VALUE"""),"")</f>
        <v/>
      </c>
      <c r="P550" s="8"/>
      <c r="Q550" s="8"/>
    </row>
    <row r="551">
      <c r="A551" s="8"/>
      <c r="B551" s="25"/>
      <c r="C551" s="385" t="s">
        <v>1426</v>
      </c>
      <c r="D551" s="392"/>
      <c r="E551" s="8"/>
      <c r="F551" s="8"/>
      <c r="G551" s="389"/>
      <c r="H551" s="8" t="b">
        <v>0</v>
      </c>
      <c r="I551" s="388" t="str">
        <f>IFERROR(__xludf.DUMMYFUNCTION("""COMPUTED_VALUE"""),"")</f>
        <v/>
      </c>
      <c r="J551" s="7"/>
      <c r="K551" s="8"/>
      <c r="L551" s="8"/>
      <c r="M551" s="8"/>
      <c r="N551" s="8" t="str">
        <f>IFERROR(__xludf.DUMMYFUNCTION("""COMPUTED_VALUE"""),"")</f>
        <v/>
      </c>
      <c r="O551" s="8" t="str">
        <f>IFERROR(__xludf.DUMMYFUNCTION("""COMPUTED_VALUE"""),"")</f>
        <v/>
      </c>
      <c r="P551" s="8"/>
      <c r="Q551" s="8"/>
    </row>
    <row r="552">
      <c r="A552" s="8"/>
      <c r="B552" s="25"/>
      <c r="C552" s="385" t="s">
        <v>1426</v>
      </c>
      <c r="D552" s="392"/>
      <c r="E552" s="8"/>
      <c r="F552" s="8"/>
      <c r="G552" s="389"/>
      <c r="H552" s="8" t="b">
        <v>0</v>
      </c>
      <c r="I552" s="388" t="str">
        <f>IFERROR(__xludf.DUMMYFUNCTION("""COMPUTED_VALUE"""),"")</f>
        <v/>
      </c>
      <c r="J552" s="7"/>
      <c r="K552" s="8"/>
      <c r="L552" s="8"/>
      <c r="M552" s="8"/>
      <c r="N552" s="8" t="str">
        <f>IFERROR(__xludf.DUMMYFUNCTION("""COMPUTED_VALUE"""),"")</f>
        <v/>
      </c>
      <c r="O552" s="8" t="str">
        <f>IFERROR(__xludf.DUMMYFUNCTION("""COMPUTED_VALUE"""),"")</f>
        <v/>
      </c>
      <c r="P552" s="8"/>
      <c r="Q552" s="8"/>
    </row>
    <row r="553">
      <c r="A553" s="8"/>
      <c r="B553" s="25"/>
      <c r="C553" s="385" t="s">
        <v>1426</v>
      </c>
      <c r="D553" s="392"/>
      <c r="E553" s="8"/>
      <c r="F553" s="8"/>
      <c r="G553" s="389"/>
      <c r="H553" s="8" t="b">
        <v>0</v>
      </c>
      <c r="I553" s="388" t="str">
        <f>IFERROR(__xludf.DUMMYFUNCTION("""COMPUTED_VALUE"""),"")</f>
        <v/>
      </c>
      <c r="J553" s="7"/>
      <c r="K553" s="8"/>
      <c r="L553" s="8"/>
      <c r="M553" s="8"/>
      <c r="N553" s="8" t="str">
        <f>IFERROR(__xludf.DUMMYFUNCTION("""COMPUTED_VALUE"""),"")</f>
        <v/>
      </c>
      <c r="O553" s="8" t="str">
        <f>IFERROR(__xludf.DUMMYFUNCTION("""COMPUTED_VALUE"""),"")</f>
        <v/>
      </c>
      <c r="P553" s="8"/>
      <c r="Q553" s="8"/>
    </row>
    <row r="554">
      <c r="A554" s="8"/>
      <c r="B554" s="25"/>
      <c r="C554" s="385" t="s">
        <v>1426</v>
      </c>
      <c r="D554" s="392"/>
      <c r="E554" s="8"/>
      <c r="F554" s="8"/>
      <c r="G554" s="389"/>
      <c r="H554" s="8" t="b">
        <v>0</v>
      </c>
      <c r="I554" s="388" t="str">
        <f>IFERROR(__xludf.DUMMYFUNCTION("""COMPUTED_VALUE"""),"")</f>
        <v/>
      </c>
      <c r="J554" s="7"/>
      <c r="K554" s="8"/>
      <c r="L554" s="8"/>
      <c r="M554" s="8"/>
      <c r="N554" s="8" t="str">
        <f>IFERROR(__xludf.DUMMYFUNCTION("""COMPUTED_VALUE"""),"")</f>
        <v/>
      </c>
      <c r="O554" s="8" t="str">
        <f>IFERROR(__xludf.DUMMYFUNCTION("""COMPUTED_VALUE"""),"")</f>
        <v/>
      </c>
      <c r="P554" s="8"/>
      <c r="Q554" s="8"/>
    </row>
    <row r="555">
      <c r="A555" s="8"/>
      <c r="B555" s="25"/>
      <c r="C555" s="385" t="s">
        <v>1426</v>
      </c>
      <c r="D555" s="392"/>
      <c r="E555" s="8"/>
      <c r="F555" s="8"/>
      <c r="G555" s="389"/>
      <c r="H555" s="8" t="b">
        <v>0</v>
      </c>
      <c r="I555" s="388" t="str">
        <f>IFERROR(__xludf.DUMMYFUNCTION("""COMPUTED_VALUE"""),"")</f>
        <v/>
      </c>
      <c r="J555" s="7"/>
      <c r="K555" s="8"/>
      <c r="L555" s="8"/>
      <c r="M555" s="8"/>
      <c r="N555" s="8" t="str">
        <f>IFERROR(__xludf.DUMMYFUNCTION("""COMPUTED_VALUE"""),"")</f>
        <v/>
      </c>
      <c r="O555" s="8" t="str">
        <f>IFERROR(__xludf.DUMMYFUNCTION("""COMPUTED_VALUE"""),"")</f>
        <v/>
      </c>
      <c r="P555" s="8"/>
      <c r="Q555" s="8"/>
    </row>
    <row r="556">
      <c r="A556" s="8"/>
      <c r="B556" s="25"/>
      <c r="C556" s="385" t="s">
        <v>1426</v>
      </c>
      <c r="D556" s="392"/>
      <c r="E556" s="8"/>
      <c r="F556" s="8"/>
      <c r="G556" s="389"/>
      <c r="H556" s="8" t="b">
        <v>0</v>
      </c>
      <c r="I556" s="388" t="str">
        <f>IFERROR(__xludf.DUMMYFUNCTION("""COMPUTED_VALUE"""),"")</f>
        <v/>
      </c>
      <c r="J556" s="7"/>
      <c r="K556" s="8"/>
      <c r="L556" s="8"/>
      <c r="M556" s="8"/>
      <c r="N556" s="8" t="str">
        <f>IFERROR(__xludf.DUMMYFUNCTION("""COMPUTED_VALUE"""),"")</f>
        <v/>
      </c>
      <c r="O556" s="8" t="str">
        <f>IFERROR(__xludf.DUMMYFUNCTION("""COMPUTED_VALUE"""),"")</f>
        <v/>
      </c>
      <c r="P556" s="8"/>
      <c r="Q556" s="8"/>
    </row>
    <row r="557">
      <c r="A557" s="8"/>
      <c r="B557" s="25"/>
      <c r="C557" s="385" t="s">
        <v>1426</v>
      </c>
      <c r="D557" s="392"/>
      <c r="E557" s="8"/>
      <c r="F557" s="8"/>
      <c r="G557" s="389"/>
      <c r="H557" s="8" t="b">
        <v>0</v>
      </c>
      <c r="I557" s="388" t="str">
        <f>IFERROR(__xludf.DUMMYFUNCTION("""COMPUTED_VALUE"""),"")</f>
        <v/>
      </c>
      <c r="J557" s="7"/>
      <c r="K557" s="8"/>
      <c r="L557" s="8"/>
      <c r="M557" s="8"/>
      <c r="N557" s="8" t="str">
        <f>IFERROR(__xludf.DUMMYFUNCTION("""COMPUTED_VALUE"""),"")</f>
        <v/>
      </c>
      <c r="O557" s="8" t="str">
        <f>IFERROR(__xludf.DUMMYFUNCTION("""COMPUTED_VALUE"""),"")</f>
        <v/>
      </c>
      <c r="P557" s="8"/>
      <c r="Q557" s="8"/>
    </row>
    <row r="558">
      <c r="A558" s="8"/>
      <c r="B558" s="25"/>
      <c r="C558" s="385" t="s">
        <v>1426</v>
      </c>
      <c r="D558" s="392"/>
      <c r="E558" s="8"/>
      <c r="F558" s="8"/>
      <c r="G558" s="389"/>
      <c r="H558" s="8" t="b">
        <v>0</v>
      </c>
      <c r="I558" s="388" t="str">
        <f>IFERROR(__xludf.DUMMYFUNCTION("""COMPUTED_VALUE"""),"")</f>
        <v/>
      </c>
      <c r="J558" s="7"/>
      <c r="K558" s="8"/>
      <c r="L558" s="8"/>
      <c r="M558" s="8"/>
      <c r="N558" s="8" t="str">
        <f>IFERROR(__xludf.DUMMYFUNCTION("""COMPUTED_VALUE"""),"")</f>
        <v/>
      </c>
      <c r="O558" s="8" t="str">
        <f>IFERROR(__xludf.DUMMYFUNCTION("""COMPUTED_VALUE"""),"")</f>
        <v/>
      </c>
      <c r="P558" s="8"/>
      <c r="Q558" s="8"/>
    </row>
    <row r="559">
      <c r="A559" s="8"/>
      <c r="B559" s="25"/>
      <c r="C559" s="385" t="s">
        <v>1426</v>
      </c>
      <c r="D559" s="392"/>
      <c r="E559" s="8"/>
      <c r="F559" s="8"/>
      <c r="G559" s="389"/>
      <c r="H559" s="8" t="b">
        <v>0</v>
      </c>
      <c r="I559" s="388" t="str">
        <f>IFERROR(__xludf.DUMMYFUNCTION("""COMPUTED_VALUE"""),"")</f>
        <v/>
      </c>
      <c r="J559" s="7"/>
      <c r="K559" s="8"/>
      <c r="L559" s="8"/>
      <c r="M559" s="8"/>
      <c r="N559" s="8" t="str">
        <f>IFERROR(__xludf.DUMMYFUNCTION("""COMPUTED_VALUE"""),"")</f>
        <v/>
      </c>
      <c r="O559" s="8" t="str">
        <f>IFERROR(__xludf.DUMMYFUNCTION("""COMPUTED_VALUE"""),"")</f>
        <v/>
      </c>
      <c r="P559" s="8"/>
      <c r="Q559" s="8"/>
    </row>
    <row r="560">
      <c r="A560" s="8"/>
      <c r="B560" s="25"/>
      <c r="C560" s="385" t="s">
        <v>1426</v>
      </c>
      <c r="D560" s="392"/>
      <c r="E560" s="8"/>
      <c r="F560" s="8"/>
      <c r="G560" s="389"/>
      <c r="H560" s="8" t="b">
        <v>0</v>
      </c>
      <c r="I560" s="388" t="str">
        <f>IFERROR(__xludf.DUMMYFUNCTION("""COMPUTED_VALUE"""),"")</f>
        <v/>
      </c>
      <c r="J560" s="7"/>
      <c r="K560" s="8"/>
      <c r="L560" s="8"/>
      <c r="M560" s="8"/>
      <c r="N560" s="8" t="str">
        <f>IFERROR(__xludf.DUMMYFUNCTION("""COMPUTED_VALUE"""),"")</f>
        <v/>
      </c>
      <c r="O560" s="8" t="str">
        <f>IFERROR(__xludf.DUMMYFUNCTION("""COMPUTED_VALUE"""),"")</f>
        <v/>
      </c>
      <c r="P560" s="8"/>
      <c r="Q560" s="8"/>
    </row>
    <row r="561">
      <c r="A561" s="8"/>
      <c r="B561" s="25"/>
      <c r="C561" s="385" t="s">
        <v>1426</v>
      </c>
      <c r="D561" s="392"/>
      <c r="E561" s="8"/>
      <c r="F561" s="8"/>
      <c r="G561" s="389"/>
      <c r="H561" s="8" t="b">
        <v>0</v>
      </c>
      <c r="I561" s="388" t="str">
        <f>IFERROR(__xludf.DUMMYFUNCTION("""COMPUTED_VALUE"""),"")</f>
        <v/>
      </c>
      <c r="J561" s="7"/>
      <c r="K561" s="8"/>
      <c r="L561" s="8"/>
      <c r="M561" s="8"/>
      <c r="N561" s="8" t="str">
        <f>IFERROR(__xludf.DUMMYFUNCTION("""COMPUTED_VALUE"""),"")</f>
        <v/>
      </c>
      <c r="O561" s="8" t="str">
        <f>IFERROR(__xludf.DUMMYFUNCTION("""COMPUTED_VALUE"""),"")</f>
        <v/>
      </c>
      <c r="P561" s="8"/>
      <c r="Q561" s="8"/>
    </row>
    <row r="562">
      <c r="A562" s="8"/>
      <c r="B562" s="25"/>
      <c r="C562" s="385" t="s">
        <v>1426</v>
      </c>
      <c r="D562" s="392"/>
      <c r="E562" s="8"/>
      <c r="F562" s="8"/>
      <c r="G562" s="389"/>
      <c r="H562" s="8" t="b">
        <v>0</v>
      </c>
      <c r="I562" s="388" t="str">
        <f>IFERROR(__xludf.DUMMYFUNCTION("""COMPUTED_VALUE"""),"")</f>
        <v/>
      </c>
      <c r="J562" s="7"/>
      <c r="K562" s="8"/>
      <c r="L562" s="8"/>
      <c r="M562" s="8"/>
      <c r="N562" s="8" t="str">
        <f>IFERROR(__xludf.DUMMYFUNCTION("""COMPUTED_VALUE"""),"")</f>
        <v/>
      </c>
      <c r="O562" s="8" t="str">
        <f>IFERROR(__xludf.DUMMYFUNCTION("""COMPUTED_VALUE"""),"")</f>
        <v/>
      </c>
      <c r="P562" s="8"/>
      <c r="Q562" s="8"/>
    </row>
    <row r="563">
      <c r="A563" s="8"/>
      <c r="B563" s="25"/>
      <c r="C563" s="385" t="s">
        <v>1426</v>
      </c>
      <c r="D563" s="392"/>
      <c r="E563" s="8"/>
      <c r="F563" s="8"/>
      <c r="G563" s="389"/>
      <c r="H563" s="8" t="b">
        <v>0</v>
      </c>
      <c r="I563" s="388" t="str">
        <f>IFERROR(__xludf.DUMMYFUNCTION("""COMPUTED_VALUE"""),"")</f>
        <v/>
      </c>
      <c r="J563" s="7"/>
      <c r="K563" s="8"/>
      <c r="L563" s="8"/>
      <c r="M563" s="8"/>
      <c r="N563" s="8" t="str">
        <f>IFERROR(__xludf.DUMMYFUNCTION("""COMPUTED_VALUE"""),"")</f>
        <v/>
      </c>
      <c r="O563" s="8" t="str">
        <f>IFERROR(__xludf.DUMMYFUNCTION("""COMPUTED_VALUE"""),"")</f>
        <v/>
      </c>
      <c r="P563" s="8"/>
      <c r="Q563" s="8"/>
    </row>
    <row r="564">
      <c r="A564" s="8"/>
      <c r="B564" s="25"/>
      <c r="C564" s="385" t="s">
        <v>1426</v>
      </c>
      <c r="D564" s="392"/>
      <c r="E564" s="8"/>
      <c r="F564" s="8"/>
      <c r="G564" s="389"/>
      <c r="H564" s="8" t="b">
        <v>0</v>
      </c>
      <c r="I564" s="388" t="str">
        <f>IFERROR(__xludf.DUMMYFUNCTION("""COMPUTED_VALUE"""),"")</f>
        <v/>
      </c>
      <c r="J564" s="7"/>
      <c r="K564" s="8"/>
      <c r="L564" s="8"/>
      <c r="M564" s="8"/>
      <c r="N564" s="8" t="str">
        <f>IFERROR(__xludf.DUMMYFUNCTION("""COMPUTED_VALUE"""),"")</f>
        <v/>
      </c>
      <c r="O564" s="8" t="str">
        <f>IFERROR(__xludf.DUMMYFUNCTION("""COMPUTED_VALUE"""),"")</f>
        <v/>
      </c>
      <c r="P564" s="8"/>
      <c r="Q564" s="8"/>
    </row>
    <row r="565">
      <c r="A565" s="8"/>
      <c r="B565" s="25"/>
      <c r="C565" s="385" t="s">
        <v>1426</v>
      </c>
      <c r="D565" s="392"/>
      <c r="E565" s="8"/>
      <c r="F565" s="8"/>
      <c r="G565" s="389"/>
      <c r="H565" s="8" t="b">
        <v>0</v>
      </c>
      <c r="I565" s="388" t="str">
        <f>IFERROR(__xludf.DUMMYFUNCTION("""COMPUTED_VALUE"""),"")</f>
        <v/>
      </c>
      <c r="J565" s="7"/>
      <c r="K565" s="8"/>
      <c r="L565" s="8"/>
      <c r="M565" s="8"/>
      <c r="N565" s="8" t="str">
        <f>IFERROR(__xludf.DUMMYFUNCTION("""COMPUTED_VALUE"""),"")</f>
        <v/>
      </c>
      <c r="O565" s="8" t="str">
        <f>IFERROR(__xludf.DUMMYFUNCTION("""COMPUTED_VALUE"""),"")</f>
        <v/>
      </c>
      <c r="P565" s="8"/>
      <c r="Q565" s="8"/>
    </row>
    <row r="566">
      <c r="A566" s="8"/>
      <c r="B566" s="25"/>
      <c r="C566" s="385" t="s">
        <v>1426</v>
      </c>
      <c r="D566" s="392"/>
      <c r="E566" s="8"/>
      <c r="F566" s="8"/>
      <c r="G566" s="389"/>
      <c r="H566" s="8" t="b">
        <v>0</v>
      </c>
      <c r="I566" s="388" t="str">
        <f>IFERROR(__xludf.DUMMYFUNCTION("""COMPUTED_VALUE"""),"")</f>
        <v/>
      </c>
      <c r="J566" s="7"/>
      <c r="K566" s="8"/>
      <c r="L566" s="8"/>
      <c r="M566" s="8"/>
      <c r="N566" s="8" t="str">
        <f>IFERROR(__xludf.DUMMYFUNCTION("""COMPUTED_VALUE"""),"")</f>
        <v/>
      </c>
      <c r="O566" s="8" t="str">
        <f>IFERROR(__xludf.DUMMYFUNCTION("""COMPUTED_VALUE"""),"")</f>
        <v/>
      </c>
      <c r="P566" s="8"/>
      <c r="Q566" s="8"/>
    </row>
    <row r="567">
      <c r="A567" s="8"/>
      <c r="B567" s="25"/>
      <c r="C567" s="385" t="s">
        <v>1426</v>
      </c>
      <c r="D567" s="392"/>
      <c r="E567" s="8"/>
      <c r="F567" s="8"/>
      <c r="G567" s="389"/>
      <c r="H567" s="8" t="b">
        <v>0</v>
      </c>
      <c r="I567" s="388" t="str">
        <f>IFERROR(__xludf.DUMMYFUNCTION("""COMPUTED_VALUE"""),"")</f>
        <v/>
      </c>
      <c r="J567" s="7"/>
      <c r="K567" s="8"/>
      <c r="L567" s="8"/>
      <c r="M567" s="8"/>
      <c r="N567" s="8" t="str">
        <f>IFERROR(__xludf.DUMMYFUNCTION("""COMPUTED_VALUE"""),"")</f>
        <v/>
      </c>
      <c r="O567" s="8" t="str">
        <f>IFERROR(__xludf.DUMMYFUNCTION("""COMPUTED_VALUE"""),"")</f>
        <v/>
      </c>
      <c r="P567" s="8"/>
      <c r="Q567" s="8"/>
    </row>
    <row r="568">
      <c r="A568" s="8"/>
      <c r="B568" s="25"/>
      <c r="C568" s="385" t="s">
        <v>1426</v>
      </c>
      <c r="D568" s="392"/>
      <c r="E568" s="8"/>
      <c r="F568" s="8"/>
      <c r="G568" s="389"/>
      <c r="H568" s="8" t="b">
        <v>0</v>
      </c>
      <c r="I568" s="388" t="str">
        <f>IFERROR(__xludf.DUMMYFUNCTION("""COMPUTED_VALUE"""),"")</f>
        <v/>
      </c>
      <c r="J568" s="7"/>
      <c r="K568" s="8"/>
      <c r="L568" s="8"/>
      <c r="M568" s="8"/>
      <c r="N568" s="8" t="str">
        <f>IFERROR(__xludf.DUMMYFUNCTION("""COMPUTED_VALUE"""),"")</f>
        <v/>
      </c>
      <c r="O568" s="8" t="str">
        <f>IFERROR(__xludf.DUMMYFUNCTION("""COMPUTED_VALUE"""),"")</f>
        <v/>
      </c>
      <c r="P568" s="8"/>
      <c r="Q568" s="8"/>
    </row>
    <row r="569">
      <c r="A569" s="8"/>
      <c r="B569" s="25"/>
      <c r="C569" s="385" t="s">
        <v>1426</v>
      </c>
      <c r="D569" s="392"/>
      <c r="E569" s="8"/>
      <c r="F569" s="8"/>
      <c r="G569" s="389"/>
      <c r="H569" s="8" t="b">
        <v>0</v>
      </c>
      <c r="I569" s="388" t="str">
        <f>IFERROR(__xludf.DUMMYFUNCTION("""COMPUTED_VALUE"""),"")</f>
        <v/>
      </c>
      <c r="J569" s="7"/>
      <c r="K569" s="8"/>
      <c r="L569" s="8"/>
      <c r="M569" s="8"/>
      <c r="N569" s="8" t="str">
        <f>IFERROR(__xludf.DUMMYFUNCTION("""COMPUTED_VALUE"""),"")</f>
        <v/>
      </c>
      <c r="O569" s="8" t="str">
        <f>IFERROR(__xludf.DUMMYFUNCTION("""COMPUTED_VALUE"""),"")</f>
        <v/>
      </c>
      <c r="P569" s="8"/>
      <c r="Q569" s="8"/>
    </row>
    <row r="570">
      <c r="A570" s="8"/>
      <c r="B570" s="25"/>
      <c r="C570" s="385" t="s">
        <v>1426</v>
      </c>
      <c r="D570" s="392"/>
      <c r="E570" s="8"/>
      <c r="F570" s="8"/>
      <c r="G570" s="389"/>
      <c r="H570" s="8" t="b">
        <v>0</v>
      </c>
      <c r="I570" s="388" t="str">
        <f>IFERROR(__xludf.DUMMYFUNCTION("""COMPUTED_VALUE"""),"")</f>
        <v/>
      </c>
      <c r="J570" s="7"/>
      <c r="K570" s="8"/>
      <c r="L570" s="8"/>
      <c r="M570" s="8"/>
      <c r="N570" s="8" t="str">
        <f>IFERROR(__xludf.DUMMYFUNCTION("""COMPUTED_VALUE"""),"")</f>
        <v/>
      </c>
      <c r="O570" s="8" t="str">
        <f>IFERROR(__xludf.DUMMYFUNCTION("""COMPUTED_VALUE"""),"")</f>
        <v/>
      </c>
      <c r="P570" s="8"/>
      <c r="Q570" s="8"/>
    </row>
    <row r="571">
      <c r="A571" s="8"/>
      <c r="B571" s="25"/>
      <c r="C571" s="385" t="s">
        <v>1426</v>
      </c>
      <c r="D571" s="392"/>
      <c r="E571" s="8"/>
      <c r="F571" s="8"/>
      <c r="G571" s="389"/>
      <c r="H571" s="8" t="b">
        <v>0</v>
      </c>
      <c r="I571" s="388" t="str">
        <f>IFERROR(__xludf.DUMMYFUNCTION("""COMPUTED_VALUE"""),"")</f>
        <v/>
      </c>
      <c r="J571" s="7"/>
      <c r="K571" s="8"/>
      <c r="L571" s="8"/>
      <c r="M571" s="8"/>
      <c r="N571" s="8" t="str">
        <f>IFERROR(__xludf.DUMMYFUNCTION("""COMPUTED_VALUE"""),"")</f>
        <v/>
      </c>
      <c r="O571" s="8" t="str">
        <f>IFERROR(__xludf.DUMMYFUNCTION("""COMPUTED_VALUE"""),"")</f>
        <v/>
      </c>
      <c r="P571" s="8"/>
      <c r="Q571" s="8"/>
    </row>
    <row r="572">
      <c r="A572" s="8"/>
      <c r="B572" s="25"/>
      <c r="C572" s="385" t="s">
        <v>1426</v>
      </c>
      <c r="D572" s="392"/>
      <c r="E572" s="8"/>
      <c r="F572" s="8"/>
      <c r="G572" s="389"/>
      <c r="H572" s="8" t="b">
        <v>0</v>
      </c>
      <c r="I572" s="388" t="str">
        <f>IFERROR(__xludf.DUMMYFUNCTION("""COMPUTED_VALUE"""),"")</f>
        <v/>
      </c>
      <c r="J572" s="7"/>
      <c r="K572" s="8"/>
      <c r="L572" s="8"/>
      <c r="M572" s="8"/>
      <c r="N572" s="8" t="str">
        <f>IFERROR(__xludf.DUMMYFUNCTION("""COMPUTED_VALUE"""),"")</f>
        <v/>
      </c>
      <c r="O572" s="8" t="str">
        <f>IFERROR(__xludf.DUMMYFUNCTION("""COMPUTED_VALUE"""),"")</f>
        <v/>
      </c>
      <c r="P572" s="8"/>
      <c r="Q572" s="8"/>
    </row>
    <row r="573">
      <c r="A573" s="8"/>
      <c r="B573" s="25"/>
      <c r="C573" s="385" t="s">
        <v>1426</v>
      </c>
      <c r="D573" s="392"/>
      <c r="E573" s="8"/>
      <c r="F573" s="8"/>
      <c r="G573" s="389"/>
      <c r="H573" s="8" t="b">
        <v>0</v>
      </c>
      <c r="I573" s="388" t="str">
        <f>IFERROR(__xludf.DUMMYFUNCTION("""COMPUTED_VALUE"""),"")</f>
        <v/>
      </c>
      <c r="J573" s="7"/>
      <c r="K573" s="8"/>
      <c r="L573" s="8"/>
      <c r="M573" s="8"/>
      <c r="N573" s="8" t="str">
        <f>IFERROR(__xludf.DUMMYFUNCTION("""COMPUTED_VALUE"""),"")</f>
        <v/>
      </c>
      <c r="O573" s="8" t="str">
        <f>IFERROR(__xludf.DUMMYFUNCTION("""COMPUTED_VALUE"""),"")</f>
        <v/>
      </c>
      <c r="P573" s="8"/>
      <c r="Q573" s="8"/>
    </row>
    <row r="574">
      <c r="A574" s="8"/>
      <c r="B574" s="25"/>
      <c r="C574" s="385" t="s">
        <v>1426</v>
      </c>
      <c r="D574" s="392"/>
      <c r="E574" s="8"/>
      <c r="F574" s="8"/>
      <c r="G574" s="389"/>
      <c r="H574" s="8" t="b">
        <v>0</v>
      </c>
      <c r="I574" s="388" t="str">
        <f>IFERROR(__xludf.DUMMYFUNCTION("""COMPUTED_VALUE"""),"")</f>
        <v/>
      </c>
      <c r="J574" s="7"/>
      <c r="K574" s="8"/>
      <c r="L574" s="8"/>
      <c r="M574" s="8"/>
      <c r="N574" s="8" t="str">
        <f>IFERROR(__xludf.DUMMYFUNCTION("""COMPUTED_VALUE"""),"")</f>
        <v/>
      </c>
      <c r="O574" s="8" t="str">
        <f>IFERROR(__xludf.DUMMYFUNCTION("""COMPUTED_VALUE"""),"")</f>
        <v/>
      </c>
      <c r="P574" s="8"/>
      <c r="Q574" s="8"/>
    </row>
    <row r="575">
      <c r="A575" s="8"/>
      <c r="B575" s="25"/>
      <c r="C575" s="385" t="s">
        <v>1426</v>
      </c>
      <c r="D575" s="392"/>
      <c r="E575" s="8"/>
      <c r="F575" s="8"/>
      <c r="G575" s="389"/>
      <c r="H575" s="8" t="b">
        <v>0</v>
      </c>
      <c r="I575" s="388" t="str">
        <f>IFERROR(__xludf.DUMMYFUNCTION("""COMPUTED_VALUE"""),"")</f>
        <v/>
      </c>
      <c r="J575" s="7"/>
      <c r="K575" s="8"/>
      <c r="L575" s="8"/>
      <c r="M575" s="8"/>
      <c r="N575" s="8" t="str">
        <f>IFERROR(__xludf.DUMMYFUNCTION("""COMPUTED_VALUE"""),"")</f>
        <v/>
      </c>
      <c r="O575" s="8" t="str">
        <f>IFERROR(__xludf.DUMMYFUNCTION("""COMPUTED_VALUE"""),"")</f>
        <v/>
      </c>
      <c r="P575" s="8"/>
      <c r="Q575" s="8"/>
    </row>
    <row r="576">
      <c r="A576" s="8"/>
      <c r="B576" s="25"/>
      <c r="C576" s="385" t="s">
        <v>1426</v>
      </c>
      <c r="D576" s="392"/>
      <c r="E576" s="8"/>
      <c r="F576" s="8"/>
      <c r="G576" s="389"/>
      <c r="H576" s="8" t="b">
        <v>0</v>
      </c>
      <c r="I576" s="388" t="str">
        <f>IFERROR(__xludf.DUMMYFUNCTION("""COMPUTED_VALUE"""),"")</f>
        <v/>
      </c>
      <c r="J576" s="7"/>
      <c r="K576" s="8"/>
      <c r="L576" s="8"/>
      <c r="M576" s="8"/>
      <c r="N576" s="8" t="str">
        <f>IFERROR(__xludf.DUMMYFUNCTION("""COMPUTED_VALUE"""),"")</f>
        <v/>
      </c>
      <c r="O576" s="8" t="str">
        <f>IFERROR(__xludf.DUMMYFUNCTION("""COMPUTED_VALUE"""),"")</f>
        <v/>
      </c>
      <c r="P576" s="8"/>
      <c r="Q576" s="8"/>
    </row>
    <row r="577">
      <c r="A577" s="8"/>
      <c r="B577" s="25"/>
      <c r="C577" s="385" t="s">
        <v>1426</v>
      </c>
      <c r="D577" s="392"/>
      <c r="E577" s="8"/>
      <c r="F577" s="8"/>
      <c r="G577" s="389"/>
      <c r="H577" s="8" t="b">
        <v>0</v>
      </c>
      <c r="I577" s="388" t="str">
        <f>IFERROR(__xludf.DUMMYFUNCTION("""COMPUTED_VALUE"""),"")</f>
        <v/>
      </c>
      <c r="J577" s="7"/>
      <c r="K577" s="8"/>
      <c r="L577" s="8"/>
      <c r="M577" s="8"/>
      <c r="N577" s="8" t="str">
        <f>IFERROR(__xludf.DUMMYFUNCTION("""COMPUTED_VALUE"""),"")</f>
        <v/>
      </c>
      <c r="O577" s="8" t="str">
        <f>IFERROR(__xludf.DUMMYFUNCTION("""COMPUTED_VALUE"""),"")</f>
        <v/>
      </c>
      <c r="P577" s="8"/>
      <c r="Q577" s="8"/>
    </row>
    <row r="578">
      <c r="A578" s="8"/>
      <c r="B578" s="25"/>
      <c r="C578" s="385" t="s">
        <v>1426</v>
      </c>
      <c r="D578" s="392"/>
      <c r="E578" s="8"/>
      <c r="F578" s="8"/>
      <c r="G578" s="389"/>
      <c r="H578" s="8" t="b">
        <v>0</v>
      </c>
      <c r="I578" s="388" t="str">
        <f>IFERROR(__xludf.DUMMYFUNCTION("""COMPUTED_VALUE"""),"")</f>
        <v/>
      </c>
      <c r="J578" s="7"/>
      <c r="K578" s="8"/>
      <c r="L578" s="8"/>
      <c r="M578" s="8"/>
      <c r="N578" s="8" t="str">
        <f>IFERROR(__xludf.DUMMYFUNCTION("""COMPUTED_VALUE"""),"")</f>
        <v/>
      </c>
      <c r="O578" s="8" t="str">
        <f>IFERROR(__xludf.DUMMYFUNCTION("""COMPUTED_VALUE"""),"")</f>
        <v/>
      </c>
      <c r="P578" s="8"/>
      <c r="Q578" s="8"/>
    </row>
    <row r="579">
      <c r="A579" s="8"/>
      <c r="B579" s="25"/>
      <c r="C579" s="385" t="s">
        <v>1426</v>
      </c>
      <c r="D579" s="392"/>
      <c r="E579" s="8"/>
      <c r="F579" s="8"/>
      <c r="G579" s="389"/>
      <c r="H579" s="8" t="b">
        <v>0</v>
      </c>
      <c r="I579" s="388" t="str">
        <f>IFERROR(__xludf.DUMMYFUNCTION("""COMPUTED_VALUE"""),"")</f>
        <v/>
      </c>
      <c r="J579" s="7"/>
      <c r="K579" s="8"/>
      <c r="L579" s="8"/>
      <c r="M579" s="8"/>
      <c r="N579" s="8" t="str">
        <f>IFERROR(__xludf.DUMMYFUNCTION("""COMPUTED_VALUE"""),"")</f>
        <v/>
      </c>
      <c r="O579" s="8" t="str">
        <f>IFERROR(__xludf.DUMMYFUNCTION("""COMPUTED_VALUE"""),"")</f>
        <v/>
      </c>
      <c r="P579" s="8"/>
      <c r="Q579" s="8"/>
    </row>
    <row r="580">
      <c r="A580" s="8"/>
      <c r="B580" s="25"/>
      <c r="C580" s="385" t="s">
        <v>1426</v>
      </c>
      <c r="D580" s="392"/>
      <c r="E580" s="8"/>
      <c r="F580" s="8"/>
      <c r="G580" s="389"/>
      <c r="H580" s="8" t="b">
        <v>0</v>
      </c>
      <c r="I580" s="388" t="str">
        <f>IFERROR(__xludf.DUMMYFUNCTION("""COMPUTED_VALUE"""),"")</f>
        <v/>
      </c>
      <c r="J580" s="7"/>
      <c r="K580" s="8"/>
      <c r="L580" s="8"/>
      <c r="M580" s="8"/>
      <c r="N580" s="8" t="str">
        <f>IFERROR(__xludf.DUMMYFUNCTION("""COMPUTED_VALUE"""),"")</f>
        <v/>
      </c>
      <c r="O580" s="8" t="str">
        <f>IFERROR(__xludf.DUMMYFUNCTION("""COMPUTED_VALUE"""),"")</f>
        <v/>
      </c>
      <c r="P580" s="8"/>
      <c r="Q580" s="8"/>
    </row>
    <row r="581">
      <c r="A581" s="8"/>
      <c r="B581" s="25"/>
      <c r="C581" s="385" t="s">
        <v>1426</v>
      </c>
      <c r="D581" s="392"/>
      <c r="E581" s="8"/>
      <c r="F581" s="8"/>
      <c r="G581" s="389"/>
      <c r="H581" s="8" t="b">
        <v>0</v>
      </c>
      <c r="I581" s="388" t="str">
        <f>IFERROR(__xludf.DUMMYFUNCTION("""COMPUTED_VALUE"""),"")</f>
        <v/>
      </c>
      <c r="J581" s="7"/>
      <c r="K581" s="8"/>
      <c r="L581" s="8"/>
      <c r="M581" s="8"/>
      <c r="N581" s="8" t="str">
        <f>IFERROR(__xludf.DUMMYFUNCTION("""COMPUTED_VALUE"""),"")</f>
        <v/>
      </c>
      <c r="O581" s="8" t="str">
        <f>IFERROR(__xludf.DUMMYFUNCTION("""COMPUTED_VALUE"""),"")</f>
        <v/>
      </c>
      <c r="P581" s="8"/>
      <c r="Q581" s="8"/>
    </row>
    <row r="582">
      <c r="A582" s="8"/>
      <c r="B582" s="25"/>
      <c r="C582" s="385" t="s">
        <v>1426</v>
      </c>
      <c r="D582" s="392"/>
      <c r="E582" s="8"/>
      <c r="F582" s="8"/>
      <c r="G582" s="389"/>
      <c r="H582" s="8" t="b">
        <v>0</v>
      </c>
      <c r="I582" s="388" t="str">
        <f>IFERROR(__xludf.DUMMYFUNCTION("""COMPUTED_VALUE"""),"")</f>
        <v/>
      </c>
      <c r="J582" s="7"/>
      <c r="K582" s="8"/>
      <c r="L582" s="8"/>
      <c r="M582" s="8"/>
      <c r="N582" s="8" t="str">
        <f>IFERROR(__xludf.DUMMYFUNCTION("""COMPUTED_VALUE"""),"")</f>
        <v/>
      </c>
      <c r="O582" s="8" t="str">
        <f>IFERROR(__xludf.DUMMYFUNCTION("""COMPUTED_VALUE"""),"")</f>
        <v/>
      </c>
      <c r="P582" s="8"/>
      <c r="Q582" s="8"/>
    </row>
    <row r="583">
      <c r="A583" s="8"/>
      <c r="B583" s="25"/>
      <c r="C583" s="385" t="s">
        <v>1426</v>
      </c>
      <c r="D583" s="392"/>
      <c r="E583" s="8"/>
      <c r="F583" s="8"/>
      <c r="G583" s="389"/>
      <c r="H583" s="8" t="b">
        <v>0</v>
      </c>
      <c r="I583" s="388" t="str">
        <f>IFERROR(__xludf.DUMMYFUNCTION("""COMPUTED_VALUE"""),"")</f>
        <v/>
      </c>
      <c r="J583" s="7"/>
      <c r="K583" s="8"/>
      <c r="L583" s="8"/>
      <c r="M583" s="8"/>
      <c r="N583" s="8" t="str">
        <f>IFERROR(__xludf.DUMMYFUNCTION("""COMPUTED_VALUE"""),"")</f>
        <v/>
      </c>
      <c r="O583" s="8" t="str">
        <f>IFERROR(__xludf.DUMMYFUNCTION("""COMPUTED_VALUE"""),"")</f>
        <v/>
      </c>
      <c r="P583" s="8"/>
      <c r="Q583" s="8"/>
    </row>
    <row r="584">
      <c r="A584" s="8"/>
      <c r="B584" s="25"/>
      <c r="C584" s="385" t="s">
        <v>1426</v>
      </c>
      <c r="D584" s="392"/>
      <c r="E584" s="8"/>
      <c r="F584" s="8"/>
      <c r="G584" s="389"/>
      <c r="H584" s="8" t="b">
        <v>0</v>
      </c>
      <c r="I584" s="388" t="str">
        <f>IFERROR(__xludf.DUMMYFUNCTION("""COMPUTED_VALUE"""),"")</f>
        <v/>
      </c>
      <c r="J584" s="7"/>
      <c r="K584" s="8"/>
      <c r="L584" s="8"/>
      <c r="M584" s="8"/>
      <c r="N584" s="8" t="str">
        <f>IFERROR(__xludf.DUMMYFUNCTION("""COMPUTED_VALUE"""),"")</f>
        <v/>
      </c>
      <c r="O584" s="8" t="str">
        <f>IFERROR(__xludf.DUMMYFUNCTION("""COMPUTED_VALUE"""),"")</f>
        <v/>
      </c>
      <c r="P584" s="8"/>
      <c r="Q584" s="8"/>
    </row>
    <row r="585">
      <c r="A585" s="8"/>
      <c r="B585" s="25"/>
      <c r="C585" s="385" t="s">
        <v>1426</v>
      </c>
      <c r="D585" s="392"/>
      <c r="E585" s="8"/>
      <c r="F585" s="8"/>
      <c r="G585" s="389"/>
      <c r="H585" s="8" t="b">
        <v>0</v>
      </c>
      <c r="I585" s="388" t="str">
        <f>IFERROR(__xludf.DUMMYFUNCTION("""COMPUTED_VALUE"""),"")</f>
        <v/>
      </c>
      <c r="J585" s="7"/>
      <c r="K585" s="8"/>
      <c r="L585" s="8"/>
      <c r="M585" s="8"/>
      <c r="N585" s="8" t="str">
        <f>IFERROR(__xludf.DUMMYFUNCTION("""COMPUTED_VALUE"""),"")</f>
        <v/>
      </c>
      <c r="O585" s="8" t="str">
        <f>IFERROR(__xludf.DUMMYFUNCTION("""COMPUTED_VALUE"""),"")</f>
        <v/>
      </c>
      <c r="P585" s="8"/>
      <c r="Q585" s="8"/>
    </row>
    <row r="586">
      <c r="A586" s="8"/>
      <c r="B586" s="25"/>
      <c r="C586" s="385" t="s">
        <v>1426</v>
      </c>
      <c r="D586" s="392"/>
      <c r="E586" s="8"/>
      <c r="F586" s="8"/>
      <c r="G586" s="389"/>
      <c r="H586" s="8" t="b">
        <v>0</v>
      </c>
      <c r="I586" s="388" t="str">
        <f>IFERROR(__xludf.DUMMYFUNCTION("""COMPUTED_VALUE"""),"")</f>
        <v/>
      </c>
      <c r="J586" s="7"/>
      <c r="K586" s="8"/>
      <c r="L586" s="8"/>
      <c r="M586" s="8"/>
      <c r="N586" s="8" t="str">
        <f>IFERROR(__xludf.DUMMYFUNCTION("""COMPUTED_VALUE"""),"")</f>
        <v/>
      </c>
      <c r="O586" s="8" t="str">
        <f>IFERROR(__xludf.DUMMYFUNCTION("""COMPUTED_VALUE"""),"")</f>
        <v/>
      </c>
      <c r="P586" s="8"/>
      <c r="Q586" s="8"/>
    </row>
    <row r="587">
      <c r="A587" s="8"/>
      <c r="B587" s="25"/>
      <c r="C587" s="385" t="s">
        <v>1426</v>
      </c>
      <c r="D587" s="392"/>
      <c r="E587" s="8"/>
      <c r="F587" s="8"/>
      <c r="G587" s="389"/>
      <c r="H587" s="8" t="b">
        <v>0</v>
      </c>
      <c r="I587" s="388" t="str">
        <f>IFERROR(__xludf.DUMMYFUNCTION("""COMPUTED_VALUE"""),"")</f>
        <v/>
      </c>
      <c r="J587" s="7"/>
      <c r="K587" s="8"/>
      <c r="L587" s="8"/>
      <c r="M587" s="8"/>
      <c r="N587" s="8" t="str">
        <f>IFERROR(__xludf.DUMMYFUNCTION("""COMPUTED_VALUE"""),"")</f>
        <v/>
      </c>
      <c r="O587" s="8" t="str">
        <f>IFERROR(__xludf.DUMMYFUNCTION("""COMPUTED_VALUE"""),"")</f>
        <v/>
      </c>
      <c r="P587" s="8"/>
      <c r="Q587" s="8"/>
    </row>
    <row r="588">
      <c r="A588" s="8"/>
      <c r="B588" s="25"/>
      <c r="C588" s="385" t="s">
        <v>1426</v>
      </c>
      <c r="D588" s="392"/>
      <c r="E588" s="8"/>
      <c r="F588" s="8"/>
      <c r="G588" s="389"/>
      <c r="H588" s="8" t="b">
        <v>0</v>
      </c>
      <c r="I588" s="388" t="str">
        <f>IFERROR(__xludf.DUMMYFUNCTION("""COMPUTED_VALUE"""),"")</f>
        <v/>
      </c>
      <c r="J588" s="7"/>
      <c r="K588" s="8"/>
      <c r="L588" s="8"/>
      <c r="M588" s="8"/>
      <c r="N588" s="8" t="str">
        <f>IFERROR(__xludf.DUMMYFUNCTION("""COMPUTED_VALUE"""),"")</f>
        <v/>
      </c>
      <c r="O588" s="8" t="str">
        <f>IFERROR(__xludf.DUMMYFUNCTION("""COMPUTED_VALUE"""),"")</f>
        <v/>
      </c>
      <c r="P588" s="8"/>
      <c r="Q588" s="8"/>
    </row>
    <row r="589">
      <c r="A589" s="8"/>
      <c r="B589" s="25"/>
      <c r="C589" s="385" t="s">
        <v>1426</v>
      </c>
      <c r="D589" s="392"/>
      <c r="E589" s="8"/>
      <c r="F589" s="8"/>
      <c r="G589" s="389"/>
      <c r="H589" s="8" t="b">
        <v>0</v>
      </c>
      <c r="I589" s="388" t="str">
        <f>IFERROR(__xludf.DUMMYFUNCTION("""COMPUTED_VALUE"""),"")</f>
        <v/>
      </c>
      <c r="J589" s="7"/>
      <c r="K589" s="8"/>
      <c r="L589" s="8"/>
      <c r="M589" s="8"/>
      <c r="N589" s="8" t="str">
        <f>IFERROR(__xludf.DUMMYFUNCTION("""COMPUTED_VALUE"""),"")</f>
        <v/>
      </c>
      <c r="O589" s="8" t="str">
        <f>IFERROR(__xludf.DUMMYFUNCTION("""COMPUTED_VALUE"""),"")</f>
        <v/>
      </c>
      <c r="P589" s="8"/>
      <c r="Q589" s="8"/>
    </row>
    <row r="590">
      <c r="A590" s="8"/>
      <c r="B590" s="25"/>
      <c r="C590" s="385" t="s">
        <v>1426</v>
      </c>
      <c r="D590" s="392"/>
      <c r="E590" s="8"/>
      <c r="F590" s="8"/>
      <c r="G590" s="389"/>
      <c r="H590" s="8" t="b">
        <v>0</v>
      </c>
      <c r="I590" s="388" t="str">
        <f>IFERROR(__xludf.DUMMYFUNCTION("""COMPUTED_VALUE"""),"")</f>
        <v/>
      </c>
      <c r="J590" s="7"/>
      <c r="K590" s="8"/>
      <c r="L590" s="8"/>
      <c r="M590" s="8"/>
      <c r="N590" s="8" t="str">
        <f>IFERROR(__xludf.DUMMYFUNCTION("""COMPUTED_VALUE"""),"")</f>
        <v/>
      </c>
      <c r="O590" s="8" t="str">
        <f>IFERROR(__xludf.DUMMYFUNCTION("""COMPUTED_VALUE"""),"")</f>
        <v/>
      </c>
      <c r="P590" s="8"/>
      <c r="Q590" s="8"/>
    </row>
    <row r="591">
      <c r="A591" s="8"/>
      <c r="B591" s="25"/>
      <c r="C591" s="385" t="s">
        <v>1426</v>
      </c>
      <c r="D591" s="392"/>
      <c r="E591" s="8"/>
      <c r="F591" s="8"/>
      <c r="G591" s="389"/>
      <c r="H591" s="8" t="b">
        <v>0</v>
      </c>
      <c r="I591" s="388" t="str">
        <f>IFERROR(__xludf.DUMMYFUNCTION("""COMPUTED_VALUE"""),"")</f>
        <v/>
      </c>
      <c r="J591" s="7"/>
      <c r="K591" s="8"/>
      <c r="L591" s="8"/>
      <c r="M591" s="8"/>
      <c r="N591" s="8" t="str">
        <f>IFERROR(__xludf.DUMMYFUNCTION("""COMPUTED_VALUE"""),"")</f>
        <v/>
      </c>
      <c r="O591" s="8" t="str">
        <f>IFERROR(__xludf.DUMMYFUNCTION("""COMPUTED_VALUE"""),"")</f>
        <v/>
      </c>
      <c r="P591" s="8"/>
      <c r="Q591" s="8"/>
    </row>
    <row r="592">
      <c r="A592" s="8"/>
      <c r="B592" s="25"/>
      <c r="C592" s="385" t="s">
        <v>1426</v>
      </c>
      <c r="D592" s="392"/>
      <c r="E592" s="8"/>
      <c r="F592" s="8"/>
      <c r="G592" s="389"/>
      <c r="H592" s="8" t="b">
        <v>0</v>
      </c>
      <c r="I592" s="388" t="str">
        <f>IFERROR(__xludf.DUMMYFUNCTION("""COMPUTED_VALUE"""),"")</f>
        <v/>
      </c>
      <c r="J592" s="7"/>
      <c r="K592" s="8"/>
      <c r="L592" s="8"/>
      <c r="M592" s="8"/>
      <c r="N592" s="8" t="str">
        <f>IFERROR(__xludf.DUMMYFUNCTION("""COMPUTED_VALUE"""),"")</f>
        <v/>
      </c>
      <c r="O592" s="8" t="str">
        <f>IFERROR(__xludf.DUMMYFUNCTION("""COMPUTED_VALUE"""),"")</f>
        <v/>
      </c>
      <c r="P592" s="8"/>
      <c r="Q592" s="8"/>
    </row>
    <row r="593">
      <c r="A593" s="8"/>
      <c r="B593" s="25"/>
      <c r="C593" s="385" t="s">
        <v>1426</v>
      </c>
      <c r="D593" s="392"/>
      <c r="E593" s="8"/>
      <c r="F593" s="8"/>
      <c r="G593" s="389"/>
      <c r="H593" s="8" t="b">
        <v>0</v>
      </c>
      <c r="I593" s="388" t="str">
        <f>IFERROR(__xludf.DUMMYFUNCTION("""COMPUTED_VALUE"""),"")</f>
        <v/>
      </c>
      <c r="J593" s="7"/>
      <c r="K593" s="8"/>
      <c r="L593" s="8"/>
      <c r="M593" s="8"/>
      <c r="N593" s="8" t="str">
        <f>IFERROR(__xludf.DUMMYFUNCTION("""COMPUTED_VALUE"""),"")</f>
        <v/>
      </c>
      <c r="O593" s="8" t="str">
        <f>IFERROR(__xludf.DUMMYFUNCTION("""COMPUTED_VALUE"""),"")</f>
        <v/>
      </c>
      <c r="P593" s="8"/>
      <c r="Q593" s="8"/>
    </row>
    <row r="594">
      <c r="A594" s="8"/>
      <c r="B594" s="25"/>
      <c r="C594" s="385" t="s">
        <v>1426</v>
      </c>
      <c r="D594" s="392"/>
      <c r="E594" s="8"/>
      <c r="F594" s="8"/>
      <c r="G594" s="389"/>
      <c r="H594" s="8" t="b">
        <v>0</v>
      </c>
      <c r="I594" s="388" t="str">
        <f>IFERROR(__xludf.DUMMYFUNCTION("""COMPUTED_VALUE"""),"")</f>
        <v/>
      </c>
      <c r="J594" s="7"/>
      <c r="K594" s="8"/>
      <c r="L594" s="8"/>
      <c r="M594" s="8"/>
      <c r="N594" s="8" t="str">
        <f>IFERROR(__xludf.DUMMYFUNCTION("""COMPUTED_VALUE"""),"")</f>
        <v/>
      </c>
      <c r="O594" s="8" t="str">
        <f>IFERROR(__xludf.DUMMYFUNCTION("""COMPUTED_VALUE"""),"")</f>
        <v/>
      </c>
      <c r="P594" s="8"/>
      <c r="Q594" s="8"/>
    </row>
    <row r="595">
      <c r="A595" s="8"/>
      <c r="B595" s="25"/>
      <c r="C595" s="385" t="s">
        <v>1426</v>
      </c>
      <c r="D595" s="392"/>
      <c r="E595" s="8"/>
      <c r="F595" s="8"/>
      <c r="G595" s="389"/>
      <c r="H595" s="8" t="b">
        <v>0</v>
      </c>
      <c r="I595" s="388" t="str">
        <f>IFERROR(__xludf.DUMMYFUNCTION("""COMPUTED_VALUE"""),"")</f>
        <v/>
      </c>
      <c r="J595" s="7"/>
      <c r="K595" s="8"/>
      <c r="L595" s="8"/>
      <c r="M595" s="8"/>
      <c r="N595" s="8" t="str">
        <f>IFERROR(__xludf.DUMMYFUNCTION("""COMPUTED_VALUE"""),"")</f>
        <v/>
      </c>
      <c r="O595" s="8" t="str">
        <f>IFERROR(__xludf.DUMMYFUNCTION("""COMPUTED_VALUE"""),"")</f>
        <v/>
      </c>
      <c r="P595" s="8"/>
      <c r="Q595" s="8"/>
    </row>
    <row r="596">
      <c r="A596" s="8"/>
      <c r="B596" s="25"/>
      <c r="C596" s="385" t="s">
        <v>1426</v>
      </c>
      <c r="D596" s="392"/>
      <c r="E596" s="8"/>
      <c r="F596" s="8"/>
      <c r="G596" s="389"/>
      <c r="H596" s="8" t="b">
        <v>0</v>
      </c>
      <c r="I596" s="388" t="str">
        <f>IFERROR(__xludf.DUMMYFUNCTION("""COMPUTED_VALUE"""),"")</f>
        <v/>
      </c>
      <c r="J596" s="7"/>
      <c r="K596" s="8"/>
      <c r="L596" s="8"/>
      <c r="M596" s="8"/>
      <c r="N596" s="8" t="str">
        <f>IFERROR(__xludf.DUMMYFUNCTION("""COMPUTED_VALUE"""),"")</f>
        <v/>
      </c>
      <c r="O596" s="8" t="str">
        <f>IFERROR(__xludf.DUMMYFUNCTION("""COMPUTED_VALUE"""),"")</f>
        <v/>
      </c>
      <c r="P596" s="8"/>
      <c r="Q596" s="8"/>
    </row>
    <row r="597">
      <c r="A597" s="8"/>
      <c r="B597" s="25"/>
      <c r="C597" s="385" t="s">
        <v>1426</v>
      </c>
      <c r="D597" s="392"/>
      <c r="E597" s="8"/>
      <c r="F597" s="8"/>
      <c r="G597" s="389"/>
      <c r="H597" s="8" t="b">
        <v>0</v>
      </c>
      <c r="I597" s="388" t="str">
        <f>IFERROR(__xludf.DUMMYFUNCTION("""COMPUTED_VALUE"""),"")</f>
        <v/>
      </c>
      <c r="J597" s="7"/>
      <c r="K597" s="8"/>
      <c r="L597" s="8"/>
      <c r="M597" s="8"/>
      <c r="N597" s="8" t="str">
        <f>IFERROR(__xludf.DUMMYFUNCTION("""COMPUTED_VALUE"""),"")</f>
        <v/>
      </c>
      <c r="O597" s="8" t="str">
        <f>IFERROR(__xludf.DUMMYFUNCTION("""COMPUTED_VALUE"""),"")</f>
        <v/>
      </c>
      <c r="P597" s="8"/>
      <c r="Q597" s="8"/>
    </row>
    <row r="598">
      <c r="A598" s="8"/>
      <c r="B598" s="25"/>
      <c r="C598" s="385" t="s">
        <v>1426</v>
      </c>
      <c r="D598" s="392"/>
      <c r="E598" s="8"/>
      <c r="F598" s="8"/>
      <c r="G598" s="389"/>
      <c r="H598" s="8" t="b">
        <v>0</v>
      </c>
      <c r="I598" s="388" t="str">
        <f>IFERROR(__xludf.DUMMYFUNCTION("""COMPUTED_VALUE"""),"")</f>
        <v/>
      </c>
      <c r="J598" s="7"/>
      <c r="K598" s="8"/>
      <c r="L598" s="8"/>
      <c r="M598" s="8"/>
      <c r="N598" s="8" t="str">
        <f>IFERROR(__xludf.DUMMYFUNCTION("""COMPUTED_VALUE"""),"")</f>
        <v/>
      </c>
      <c r="O598" s="8" t="str">
        <f>IFERROR(__xludf.DUMMYFUNCTION("""COMPUTED_VALUE"""),"")</f>
        <v/>
      </c>
      <c r="P598" s="8"/>
      <c r="Q598" s="8"/>
    </row>
    <row r="599">
      <c r="A599" s="8"/>
      <c r="B599" s="25"/>
      <c r="C599" s="385" t="s">
        <v>1426</v>
      </c>
      <c r="D599" s="392"/>
      <c r="E599" s="8"/>
      <c r="F599" s="8"/>
      <c r="G599" s="389"/>
      <c r="H599" s="8" t="b">
        <v>0</v>
      </c>
      <c r="I599" s="388" t="str">
        <f>IFERROR(__xludf.DUMMYFUNCTION("""COMPUTED_VALUE"""),"")</f>
        <v/>
      </c>
      <c r="J599" s="7"/>
      <c r="K599" s="8"/>
      <c r="L599" s="8"/>
      <c r="M599" s="8"/>
      <c r="N599" s="8" t="str">
        <f>IFERROR(__xludf.DUMMYFUNCTION("""COMPUTED_VALUE"""),"")</f>
        <v/>
      </c>
      <c r="O599" s="8" t="str">
        <f>IFERROR(__xludf.DUMMYFUNCTION("""COMPUTED_VALUE"""),"")</f>
        <v/>
      </c>
      <c r="P599" s="8"/>
      <c r="Q599" s="8"/>
    </row>
    <row r="600">
      <c r="A600" s="8"/>
      <c r="B600" s="25"/>
      <c r="C600" s="385" t="s">
        <v>1426</v>
      </c>
      <c r="D600" s="392"/>
      <c r="E600" s="8"/>
      <c r="F600" s="8"/>
      <c r="G600" s="389"/>
      <c r="H600" s="8" t="b">
        <v>0</v>
      </c>
      <c r="I600" s="388" t="str">
        <f>IFERROR(__xludf.DUMMYFUNCTION("""COMPUTED_VALUE"""),"")</f>
        <v/>
      </c>
      <c r="J600" s="7"/>
      <c r="K600" s="8"/>
      <c r="L600" s="8"/>
      <c r="M600" s="8"/>
      <c r="N600" s="8" t="str">
        <f>IFERROR(__xludf.DUMMYFUNCTION("""COMPUTED_VALUE"""),"")</f>
        <v/>
      </c>
      <c r="O600" s="8" t="str">
        <f>IFERROR(__xludf.DUMMYFUNCTION("""COMPUTED_VALUE"""),"")</f>
        <v/>
      </c>
      <c r="P600" s="8"/>
      <c r="Q600" s="8"/>
    </row>
    <row r="601">
      <c r="A601" s="8"/>
      <c r="B601" s="25"/>
      <c r="C601" s="385" t="s">
        <v>1426</v>
      </c>
      <c r="D601" s="392"/>
      <c r="E601" s="8"/>
      <c r="F601" s="8"/>
      <c r="G601" s="389"/>
      <c r="H601" s="8" t="b">
        <v>0</v>
      </c>
      <c r="I601" s="388" t="str">
        <f>IFERROR(__xludf.DUMMYFUNCTION("""COMPUTED_VALUE"""),"")</f>
        <v/>
      </c>
      <c r="J601" s="7"/>
      <c r="K601" s="8"/>
      <c r="L601" s="8"/>
      <c r="M601" s="8"/>
      <c r="N601" s="8" t="str">
        <f>IFERROR(__xludf.DUMMYFUNCTION("""COMPUTED_VALUE"""),"")</f>
        <v/>
      </c>
      <c r="O601" s="8" t="str">
        <f>IFERROR(__xludf.DUMMYFUNCTION("""COMPUTED_VALUE"""),"")</f>
        <v/>
      </c>
      <c r="P601" s="8"/>
      <c r="Q601" s="8"/>
    </row>
    <row r="602">
      <c r="A602" s="8"/>
      <c r="B602" s="25"/>
      <c r="C602" s="385" t="s">
        <v>1426</v>
      </c>
      <c r="D602" s="392"/>
      <c r="E602" s="8"/>
      <c r="F602" s="8"/>
      <c r="G602" s="389"/>
      <c r="H602" s="8" t="b">
        <v>0</v>
      </c>
      <c r="I602" s="388" t="str">
        <f>IFERROR(__xludf.DUMMYFUNCTION("""COMPUTED_VALUE"""),"")</f>
        <v/>
      </c>
      <c r="J602" s="7"/>
      <c r="K602" s="8"/>
      <c r="L602" s="8"/>
      <c r="M602" s="8"/>
      <c r="N602" s="8" t="str">
        <f>IFERROR(__xludf.DUMMYFUNCTION("""COMPUTED_VALUE"""),"")</f>
        <v/>
      </c>
      <c r="O602" s="8" t="str">
        <f>IFERROR(__xludf.DUMMYFUNCTION("""COMPUTED_VALUE"""),"")</f>
        <v/>
      </c>
      <c r="P602" s="8"/>
      <c r="Q602" s="8"/>
    </row>
    <row r="603">
      <c r="A603" s="8"/>
      <c r="B603" s="25"/>
      <c r="C603" s="385" t="s">
        <v>1426</v>
      </c>
      <c r="D603" s="392"/>
      <c r="E603" s="8"/>
      <c r="F603" s="8"/>
      <c r="G603" s="389"/>
      <c r="H603" s="8" t="b">
        <v>0</v>
      </c>
      <c r="I603" s="388" t="str">
        <f>IFERROR(__xludf.DUMMYFUNCTION("""COMPUTED_VALUE"""),"")</f>
        <v/>
      </c>
      <c r="J603" s="7"/>
      <c r="K603" s="8"/>
      <c r="L603" s="8"/>
      <c r="M603" s="8"/>
      <c r="N603" s="8" t="str">
        <f>IFERROR(__xludf.DUMMYFUNCTION("""COMPUTED_VALUE"""),"")</f>
        <v/>
      </c>
      <c r="O603" s="8" t="str">
        <f>IFERROR(__xludf.DUMMYFUNCTION("""COMPUTED_VALUE"""),"")</f>
        <v/>
      </c>
      <c r="P603" s="8"/>
      <c r="Q603" s="8"/>
    </row>
    <row r="604">
      <c r="A604" s="8"/>
      <c r="B604" s="25"/>
      <c r="C604" s="385" t="s">
        <v>1426</v>
      </c>
      <c r="D604" s="392"/>
      <c r="E604" s="8"/>
      <c r="F604" s="8"/>
      <c r="G604" s="389"/>
      <c r="H604" s="8" t="b">
        <v>0</v>
      </c>
      <c r="I604" s="388" t="str">
        <f>IFERROR(__xludf.DUMMYFUNCTION("""COMPUTED_VALUE"""),"")</f>
        <v/>
      </c>
      <c r="J604" s="7"/>
      <c r="K604" s="8"/>
      <c r="L604" s="8"/>
      <c r="M604" s="8"/>
      <c r="N604" s="8" t="str">
        <f>IFERROR(__xludf.DUMMYFUNCTION("""COMPUTED_VALUE"""),"")</f>
        <v/>
      </c>
      <c r="O604" s="8" t="str">
        <f>IFERROR(__xludf.DUMMYFUNCTION("""COMPUTED_VALUE"""),"")</f>
        <v/>
      </c>
      <c r="P604" s="8"/>
      <c r="Q604" s="8"/>
    </row>
    <row r="605">
      <c r="A605" s="8"/>
      <c r="B605" s="25"/>
      <c r="C605" s="385" t="s">
        <v>1426</v>
      </c>
      <c r="D605" s="392"/>
      <c r="E605" s="8"/>
      <c r="F605" s="8"/>
      <c r="G605" s="389"/>
      <c r="H605" s="8" t="b">
        <v>0</v>
      </c>
      <c r="I605" s="388" t="str">
        <f>IFERROR(__xludf.DUMMYFUNCTION("""COMPUTED_VALUE"""),"")</f>
        <v/>
      </c>
      <c r="J605" s="7"/>
      <c r="K605" s="8"/>
      <c r="L605" s="8"/>
      <c r="M605" s="8"/>
      <c r="N605" s="8" t="str">
        <f>IFERROR(__xludf.DUMMYFUNCTION("""COMPUTED_VALUE"""),"")</f>
        <v/>
      </c>
      <c r="O605" s="8" t="str">
        <f>IFERROR(__xludf.DUMMYFUNCTION("""COMPUTED_VALUE"""),"")</f>
        <v/>
      </c>
      <c r="P605" s="8"/>
      <c r="Q605" s="8"/>
    </row>
    <row r="606">
      <c r="A606" s="8"/>
      <c r="B606" s="25"/>
      <c r="C606" s="385" t="s">
        <v>1426</v>
      </c>
      <c r="D606" s="392"/>
      <c r="E606" s="8"/>
      <c r="F606" s="8"/>
      <c r="G606" s="389"/>
      <c r="H606" s="8" t="b">
        <v>0</v>
      </c>
      <c r="I606" s="388" t="str">
        <f>IFERROR(__xludf.DUMMYFUNCTION("""COMPUTED_VALUE"""),"")</f>
        <v/>
      </c>
      <c r="J606" s="7"/>
      <c r="K606" s="8"/>
      <c r="L606" s="8"/>
      <c r="M606" s="8"/>
      <c r="N606" s="8" t="str">
        <f>IFERROR(__xludf.DUMMYFUNCTION("""COMPUTED_VALUE"""),"")</f>
        <v/>
      </c>
      <c r="O606" s="8" t="str">
        <f>IFERROR(__xludf.DUMMYFUNCTION("""COMPUTED_VALUE"""),"")</f>
        <v/>
      </c>
      <c r="P606" s="8"/>
      <c r="Q606" s="8"/>
    </row>
    <row r="607">
      <c r="A607" s="8"/>
      <c r="B607" s="25"/>
      <c r="C607" s="385" t="s">
        <v>1426</v>
      </c>
      <c r="D607" s="392"/>
      <c r="E607" s="8"/>
      <c r="F607" s="8"/>
      <c r="G607" s="389"/>
      <c r="H607" s="8" t="b">
        <v>0</v>
      </c>
      <c r="I607" s="388" t="str">
        <f>IFERROR(__xludf.DUMMYFUNCTION("""COMPUTED_VALUE"""),"")</f>
        <v/>
      </c>
      <c r="J607" s="7"/>
      <c r="K607" s="8"/>
      <c r="L607" s="8"/>
      <c r="M607" s="8"/>
      <c r="N607" s="8" t="str">
        <f>IFERROR(__xludf.DUMMYFUNCTION("""COMPUTED_VALUE"""),"")</f>
        <v/>
      </c>
      <c r="O607" s="8" t="str">
        <f>IFERROR(__xludf.DUMMYFUNCTION("""COMPUTED_VALUE"""),"")</f>
        <v/>
      </c>
      <c r="P607" s="8"/>
      <c r="Q607" s="8"/>
    </row>
    <row r="608">
      <c r="A608" s="8"/>
      <c r="B608" s="25"/>
      <c r="C608" s="385" t="s">
        <v>1426</v>
      </c>
      <c r="D608" s="392"/>
      <c r="E608" s="8"/>
      <c r="F608" s="8"/>
      <c r="G608" s="389"/>
      <c r="H608" s="8" t="b">
        <v>0</v>
      </c>
      <c r="I608" s="388" t="str">
        <f>IFERROR(__xludf.DUMMYFUNCTION("""COMPUTED_VALUE"""),"")</f>
        <v/>
      </c>
      <c r="J608" s="7"/>
      <c r="K608" s="8"/>
      <c r="L608" s="8"/>
      <c r="M608" s="8"/>
      <c r="N608" s="8" t="str">
        <f>IFERROR(__xludf.DUMMYFUNCTION("""COMPUTED_VALUE"""),"")</f>
        <v/>
      </c>
      <c r="O608" s="8" t="str">
        <f>IFERROR(__xludf.DUMMYFUNCTION("""COMPUTED_VALUE"""),"")</f>
        <v/>
      </c>
      <c r="P608" s="8"/>
      <c r="Q608" s="8"/>
    </row>
    <row r="609">
      <c r="A609" s="8"/>
      <c r="B609" s="25"/>
      <c r="C609" s="385" t="s">
        <v>1426</v>
      </c>
      <c r="D609" s="392"/>
      <c r="E609" s="8"/>
      <c r="F609" s="8"/>
      <c r="G609" s="389"/>
      <c r="H609" s="8" t="b">
        <v>0</v>
      </c>
      <c r="I609" s="388" t="str">
        <f>IFERROR(__xludf.DUMMYFUNCTION("""COMPUTED_VALUE"""),"")</f>
        <v/>
      </c>
      <c r="J609" s="7"/>
      <c r="K609" s="8"/>
      <c r="L609" s="8"/>
      <c r="M609" s="8"/>
      <c r="N609" s="8" t="str">
        <f>IFERROR(__xludf.DUMMYFUNCTION("""COMPUTED_VALUE"""),"")</f>
        <v/>
      </c>
      <c r="O609" s="8" t="str">
        <f>IFERROR(__xludf.DUMMYFUNCTION("""COMPUTED_VALUE"""),"")</f>
        <v/>
      </c>
      <c r="P609" s="8"/>
      <c r="Q609" s="8"/>
    </row>
    <row r="610">
      <c r="A610" s="8"/>
      <c r="B610" s="25"/>
      <c r="C610" s="385" t="s">
        <v>1426</v>
      </c>
      <c r="D610" s="392"/>
      <c r="E610" s="8"/>
      <c r="F610" s="8"/>
      <c r="G610" s="389"/>
      <c r="H610" s="8" t="b">
        <v>0</v>
      </c>
      <c r="I610" s="388" t="str">
        <f>IFERROR(__xludf.DUMMYFUNCTION("""COMPUTED_VALUE"""),"")</f>
        <v/>
      </c>
      <c r="J610" s="7"/>
      <c r="K610" s="8"/>
      <c r="L610" s="8"/>
      <c r="M610" s="8"/>
      <c r="N610" s="8" t="str">
        <f>IFERROR(__xludf.DUMMYFUNCTION("""COMPUTED_VALUE"""),"")</f>
        <v/>
      </c>
      <c r="O610" s="8" t="str">
        <f>IFERROR(__xludf.DUMMYFUNCTION("""COMPUTED_VALUE"""),"")</f>
        <v/>
      </c>
      <c r="P610" s="8"/>
      <c r="Q610" s="8"/>
    </row>
    <row r="611">
      <c r="A611" s="8"/>
      <c r="B611" s="25"/>
      <c r="C611" s="385" t="s">
        <v>1426</v>
      </c>
      <c r="D611" s="392"/>
      <c r="E611" s="8"/>
      <c r="F611" s="8"/>
      <c r="G611" s="389"/>
      <c r="H611" s="8" t="b">
        <v>0</v>
      </c>
      <c r="I611" s="388" t="str">
        <f>IFERROR(__xludf.DUMMYFUNCTION("""COMPUTED_VALUE"""),"")</f>
        <v/>
      </c>
      <c r="J611" s="7"/>
      <c r="K611" s="8"/>
      <c r="L611" s="8"/>
      <c r="M611" s="8"/>
      <c r="N611" s="8" t="str">
        <f>IFERROR(__xludf.DUMMYFUNCTION("""COMPUTED_VALUE"""),"")</f>
        <v/>
      </c>
      <c r="O611" s="8" t="str">
        <f>IFERROR(__xludf.DUMMYFUNCTION("""COMPUTED_VALUE"""),"")</f>
        <v/>
      </c>
      <c r="P611" s="8"/>
      <c r="Q611" s="8"/>
    </row>
    <row r="612">
      <c r="A612" s="8"/>
      <c r="B612" s="25"/>
      <c r="C612" s="385" t="s">
        <v>1426</v>
      </c>
      <c r="D612" s="392"/>
      <c r="E612" s="8"/>
      <c r="F612" s="8"/>
      <c r="G612" s="389"/>
      <c r="H612" s="8" t="b">
        <v>0</v>
      </c>
      <c r="I612" s="388" t="str">
        <f>IFERROR(__xludf.DUMMYFUNCTION("""COMPUTED_VALUE"""),"")</f>
        <v/>
      </c>
      <c r="J612" s="7"/>
      <c r="K612" s="8"/>
      <c r="L612" s="8"/>
      <c r="M612" s="8"/>
      <c r="N612" s="8" t="str">
        <f>IFERROR(__xludf.DUMMYFUNCTION("""COMPUTED_VALUE"""),"")</f>
        <v/>
      </c>
      <c r="O612" s="8" t="str">
        <f>IFERROR(__xludf.DUMMYFUNCTION("""COMPUTED_VALUE"""),"")</f>
        <v/>
      </c>
      <c r="P612" s="8"/>
      <c r="Q612" s="8"/>
    </row>
    <row r="613">
      <c r="A613" s="8"/>
      <c r="B613" s="25"/>
      <c r="C613" s="385" t="s">
        <v>1426</v>
      </c>
      <c r="D613" s="392"/>
      <c r="E613" s="8"/>
      <c r="F613" s="8"/>
      <c r="G613" s="389"/>
      <c r="H613" s="8" t="b">
        <v>0</v>
      </c>
      <c r="I613" s="388" t="str">
        <f>IFERROR(__xludf.DUMMYFUNCTION("""COMPUTED_VALUE"""),"")</f>
        <v/>
      </c>
      <c r="J613" s="7"/>
      <c r="K613" s="8"/>
      <c r="L613" s="8"/>
      <c r="M613" s="8"/>
      <c r="N613" s="8" t="str">
        <f>IFERROR(__xludf.DUMMYFUNCTION("""COMPUTED_VALUE"""),"")</f>
        <v/>
      </c>
      <c r="O613" s="8" t="str">
        <f>IFERROR(__xludf.DUMMYFUNCTION("""COMPUTED_VALUE"""),"")</f>
        <v/>
      </c>
      <c r="P613" s="8"/>
      <c r="Q613" s="8"/>
    </row>
    <row r="614">
      <c r="A614" s="8"/>
      <c r="B614" s="25"/>
      <c r="C614" s="385" t="s">
        <v>1426</v>
      </c>
      <c r="D614" s="392"/>
      <c r="E614" s="8"/>
      <c r="F614" s="8"/>
      <c r="G614" s="389"/>
      <c r="H614" s="8" t="b">
        <v>0</v>
      </c>
      <c r="I614" s="388" t="str">
        <f>IFERROR(__xludf.DUMMYFUNCTION("""COMPUTED_VALUE"""),"")</f>
        <v/>
      </c>
      <c r="J614" s="7"/>
      <c r="K614" s="8"/>
      <c r="L614" s="8"/>
      <c r="M614" s="8"/>
      <c r="N614" s="8" t="str">
        <f>IFERROR(__xludf.DUMMYFUNCTION("""COMPUTED_VALUE"""),"")</f>
        <v/>
      </c>
      <c r="O614" s="8" t="str">
        <f>IFERROR(__xludf.DUMMYFUNCTION("""COMPUTED_VALUE"""),"")</f>
        <v/>
      </c>
      <c r="P614" s="8"/>
      <c r="Q614" s="8"/>
    </row>
    <row r="615">
      <c r="A615" s="8"/>
      <c r="B615" s="25"/>
      <c r="C615" s="385" t="s">
        <v>1426</v>
      </c>
      <c r="D615" s="392"/>
      <c r="E615" s="8"/>
      <c r="F615" s="8"/>
      <c r="G615" s="389"/>
      <c r="H615" s="8" t="b">
        <v>0</v>
      </c>
      <c r="I615" s="388" t="str">
        <f>IFERROR(__xludf.DUMMYFUNCTION("""COMPUTED_VALUE"""),"")</f>
        <v/>
      </c>
      <c r="J615" s="7"/>
      <c r="K615" s="8"/>
      <c r="L615" s="8"/>
      <c r="M615" s="8"/>
      <c r="N615" s="8" t="str">
        <f>IFERROR(__xludf.DUMMYFUNCTION("""COMPUTED_VALUE"""),"")</f>
        <v/>
      </c>
      <c r="O615" s="8" t="str">
        <f>IFERROR(__xludf.DUMMYFUNCTION("""COMPUTED_VALUE"""),"")</f>
        <v/>
      </c>
      <c r="P615" s="8"/>
      <c r="Q615" s="8"/>
    </row>
    <row r="616">
      <c r="A616" s="8"/>
      <c r="B616" s="25"/>
      <c r="C616" s="385" t="s">
        <v>1426</v>
      </c>
      <c r="D616" s="392"/>
      <c r="E616" s="8"/>
      <c r="F616" s="8"/>
      <c r="G616" s="389"/>
      <c r="H616" s="8" t="b">
        <v>0</v>
      </c>
      <c r="I616" s="388" t="str">
        <f>IFERROR(__xludf.DUMMYFUNCTION("""COMPUTED_VALUE"""),"")</f>
        <v/>
      </c>
      <c r="J616" s="7"/>
      <c r="K616" s="8"/>
      <c r="L616" s="8"/>
      <c r="M616" s="8"/>
      <c r="N616" s="8" t="str">
        <f>IFERROR(__xludf.DUMMYFUNCTION("""COMPUTED_VALUE"""),"")</f>
        <v/>
      </c>
      <c r="O616" s="8" t="str">
        <f>IFERROR(__xludf.DUMMYFUNCTION("""COMPUTED_VALUE"""),"")</f>
        <v/>
      </c>
      <c r="P616" s="8"/>
      <c r="Q616" s="8"/>
    </row>
    <row r="617">
      <c r="A617" s="8"/>
      <c r="B617" s="25"/>
      <c r="C617" s="385" t="s">
        <v>1426</v>
      </c>
      <c r="D617" s="392"/>
      <c r="E617" s="8"/>
      <c r="F617" s="8"/>
      <c r="G617" s="389"/>
      <c r="H617" s="8" t="b">
        <v>0</v>
      </c>
      <c r="I617" s="388" t="str">
        <f>IFERROR(__xludf.DUMMYFUNCTION("""COMPUTED_VALUE"""),"")</f>
        <v/>
      </c>
      <c r="J617" s="7"/>
      <c r="K617" s="8"/>
      <c r="L617" s="8"/>
      <c r="M617" s="8"/>
      <c r="N617" s="8" t="str">
        <f>IFERROR(__xludf.DUMMYFUNCTION("""COMPUTED_VALUE"""),"")</f>
        <v/>
      </c>
      <c r="O617" s="8" t="str">
        <f>IFERROR(__xludf.DUMMYFUNCTION("""COMPUTED_VALUE"""),"")</f>
        <v/>
      </c>
      <c r="P617" s="8"/>
      <c r="Q617" s="8"/>
    </row>
    <row r="618">
      <c r="A618" s="8"/>
      <c r="B618" s="25"/>
      <c r="C618" s="385" t="s">
        <v>1426</v>
      </c>
      <c r="D618" s="392"/>
      <c r="E618" s="8"/>
      <c r="F618" s="8"/>
      <c r="G618" s="389"/>
      <c r="H618" s="8" t="b">
        <v>0</v>
      </c>
      <c r="I618" s="388" t="str">
        <f>IFERROR(__xludf.DUMMYFUNCTION("""COMPUTED_VALUE"""),"")</f>
        <v/>
      </c>
      <c r="J618" s="7"/>
      <c r="K618" s="8"/>
      <c r="L618" s="8"/>
      <c r="M618" s="8"/>
      <c r="N618" s="8" t="str">
        <f>IFERROR(__xludf.DUMMYFUNCTION("""COMPUTED_VALUE"""),"")</f>
        <v/>
      </c>
      <c r="O618" s="8" t="str">
        <f>IFERROR(__xludf.DUMMYFUNCTION("""COMPUTED_VALUE"""),"")</f>
        <v/>
      </c>
      <c r="P618" s="8"/>
      <c r="Q618" s="8"/>
    </row>
    <row r="619">
      <c r="A619" s="8"/>
      <c r="B619" s="25"/>
      <c r="C619" s="385" t="s">
        <v>1426</v>
      </c>
      <c r="D619" s="392"/>
      <c r="E619" s="8"/>
      <c r="F619" s="8"/>
      <c r="G619" s="389"/>
      <c r="H619" s="8" t="b">
        <v>0</v>
      </c>
      <c r="I619" s="388" t="str">
        <f>IFERROR(__xludf.DUMMYFUNCTION("""COMPUTED_VALUE"""),"")</f>
        <v/>
      </c>
      <c r="J619" s="7"/>
      <c r="K619" s="8"/>
      <c r="L619" s="8"/>
      <c r="M619" s="8"/>
      <c r="N619" s="8" t="str">
        <f>IFERROR(__xludf.DUMMYFUNCTION("""COMPUTED_VALUE"""),"")</f>
        <v/>
      </c>
      <c r="O619" s="8" t="str">
        <f>IFERROR(__xludf.DUMMYFUNCTION("""COMPUTED_VALUE"""),"")</f>
        <v/>
      </c>
      <c r="P619" s="8"/>
      <c r="Q619" s="8"/>
    </row>
    <row r="620">
      <c r="A620" s="8"/>
      <c r="B620" s="25"/>
      <c r="C620" s="385" t="s">
        <v>1426</v>
      </c>
      <c r="D620" s="392"/>
      <c r="E620" s="8"/>
      <c r="F620" s="8"/>
      <c r="G620" s="389"/>
      <c r="H620" s="8" t="b">
        <v>0</v>
      </c>
      <c r="I620" s="388" t="str">
        <f>IFERROR(__xludf.DUMMYFUNCTION("""COMPUTED_VALUE"""),"")</f>
        <v/>
      </c>
      <c r="J620" s="7"/>
      <c r="K620" s="8"/>
      <c r="L620" s="8"/>
      <c r="M620" s="8"/>
      <c r="N620" s="8" t="str">
        <f>IFERROR(__xludf.DUMMYFUNCTION("""COMPUTED_VALUE"""),"")</f>
        <v/>
      </c>
      <c r="O620" s="8" t="str">
        <f>IFERROR(__xludf.DUMMYFUNCTION("""COMPUTED_VALUE"""),"")</f>
        <v/>
      </c>
      <c r="P620" s="8"/>
      <c r="Q620" s="8"/>
    </row>
    <row r="621">
      <c r="A621" s="8"/>
      <c r="B621" s="25"/>
      <c r="C621" s="385" t="s">
        <v>1426</v>
      </c>
      <c r="D621" s="392"/>
      <c r="E621" s="8"/>
      <c r="F621" s="8"/>
      <c r="G621" s="389"/>
      <c r="H621" s="8" t="b">
        <v>0</v>
      </c>
      <c r="I621" s="388" t="str">
        <f>IFERROR(__xludf.DUMMYFUNCTION("""COMPUTED_VALUE"""),"")</f>
        <v/>
      </c>
      <c r="J621" s="7"/>
      <c r="K621" s="8"/>
      <c r="L621" s="8"/>
      <c r="M621" s="8"/>
      <c r="N621" s="8" t="str">
        <f>IFERROR(__xludf.DUMMYFUNCTION("""COMPUTED_VALUE"""),"")</f>
        <v/>
      </c>
      <c r="O621" s="8" t="str">
        <f>IFERROR(__xludf.DUMMYFUNCTION("""COMPUTED_VALUE"""),"")</f>
        <v/>
      </c>
      <c r="P621" s="8"/>
      <c r="Q621" s="8"/>
    </row>
    <row r="622">
      <c r="A622" s="8"/>
      <c r="B622" s="25"/>
      <c r="C622" s="385" t="s">
        <v>1426</v>
      </c>
      <c r="D622" s="392"/>
      <c r="E622" s="8"/>
      <c r="F622" s="8"/>
      <c r="G622" s="389"/>
      <c r="H622" s="8" t="b">
        <v>0</v>
      </c>
      <c r="I622" s="388" t="str">
        <f>IFERROR(__xludf.DUMMYFUNCTION("""COMPUTED_VALUE"""),"")</f>
        <v/>
      </c>
      <c r="J622" s="7"/>
      <c r="K622" s="8"/>
      <c r="L622" s="8"/>
      <c r="M622" s="8"/>
      <c r="N622" s="8" t="str">
        <f>IFERROR(__xludf.DUMMYFUNCTION("""COMPUTED_VALUE"""),"")</f>
        <v/>
      </c>
      <c r="O622" s="8" t="str">
        <f>IFERROR(__xludf.DUMMYFUNCTION("""COMPUTED_VALUE"""),"")</f>
        <v/>
      </c>
      <c r="P622" s="8"/>
      <c r="Q622" s="8"/>
    </row>
    <row r="623">
      <c r="A623" s="8"/>
      <c r="B623" s="25"/>
      <c r="C623" s="385" t="s">
        <v>1426</v>
      </c>
      <c r="D623" s="392"/>
      <c r="E623" s="8"/>
      <c r="F623" s="8"/>
      <c r="G623" s="389"/>
      <c r="H623" s="8" t="b">
        <v>0</v>
      </c>
      <c r="I623" s="388" t="str">
        <f>IFERROR(__xludf.DUMMYFUNCTION("""COMPUTED_VALUE"""),"")</f>
        <v/>
      </c>
      <c r="J623" s="7"/>
      <c r="K623" s="8"/>
      <c r="L623" s="8"/>
      <c r="M623" s="8"/>
      <c r="N623" s="8" t="str">
        <f>IFERROR(__xludf.DUMMYFUNCTION("""COMPUTED_VALUE"""),"")</f>
        <v/>
      </c>
      <c r="O623" s="8" t="str">
        <f>IFERROR(__xludf.DUMMYFUNCTION("""COMPUTED_VALUE"""),"")</f>
        <v/>
      </c>
      <c r="P623" s="8"/>
      <c r="Q623" s="8"/>
    </row>
    <row r="624">
      <c r="A624" s="8"/>
      <c r="B624" s="25"/>
      <c r="C624" s="385" t="s">
        <v>1426</v>
      </c>
      <c r="D624" s="392"/>
      <c r="E624" s="8"/>
      <c r="F624" s="8"/>
      <c r="G624" s="389"/>
      <c r="H624" s="8" t="b">
        <v>0</v>
      </c>
      <c r="I624" s="388" t="str">
        <f>IFERROR(__xludf.DUMMYFUNCTION("""COMPUTED_VALUE"""),"")</f>
        <v/>
      </c>
      <c r="J624" s="7"/>
      <c r="K624" s="8"/>
      <c r="L624" s="8"/>
      <c r="M624" s="8"/>
      <c r="N624" s="8" t="str">
        <f>IFERROR(__xludf.DUMMYFUNCTION("""COMPUTED_VALUE"""),"")</f>
        <v/>
      </c>
      <c r="O624" s="8" t="str">
        <f>IFERROR(__xludf.DUMMYFUNCTION("""COMPUTED_VALUE"""),"")</f>
        <v/>
      </c>
      <c r="P624" s="8"/>
      <c r="Q624" s="8"/>
    </row>
    <row r="625">
      <c r="A625" s="8"/>
      <c r="B625" s="25"/>
      <c r="C625" s="385" t="s">
        <v>1426</v>
      </c>
      <c r="D625" s="392"/>
      <c r="E625" s="8"/>
      <c r="F625" s="8"/>
      <c r="G625" s="389"/>
      <c r="H625" s="8" t="b">
        <v>0</v>
      </c>
      <c r="I625" s="388" t="str">
        <f>IFERROR(__xludf.DUMMYFUNCTION("""COMPUTED_VALUE"""),"")</f>
        <v/>
      </c>
      <c r="J625" s="7"/>
      <c r="K625" s="8"/>
      <c r="L625" s="8"/>
      <c r="M625" s="8"/>
      <c r="N625" s="8" t="str">
        <f>IFERROR(__xludf.DUMMYFUNCTION("""COMPUTED_VALUE"""),"")</f>
        <v/>
      </c>
      <c r="O625" s="8" t="str">
        <f>IFERROR(__xludf.DUMMYFUNCTION("""COMPUTED_VALUE"""),"")</f>
        <v/>
      </c>
      <c r="P625" s="8"/>
      <c r="Q625" s="8"/>
    </row>
    <row r="626">
      <c r="A626" s="8"/>
      <c r="B626" s="25"/>
      <c r="C626" s="385" t="s">
        <v>1426</v>
      </c>
      <c r="D626" s="392"/>
      <c r="E626" s="8"/>
      <c r="F626" s="8"/>
      <c r="G626" s="389"/>
      <c r="H626" s="8" t="b">
        <v>0</v>
      </c>
      <c r="I626" s="388" t="str">
        <f>IFERROR(__xludf.DUMMYFUNCTION("""COMPUTED_VALUE"""),"")</f>
        <v/>
      </c>
      <c r="J626" s="7"/>
      <c r="K626" s="8"/>
      <c r="L626" s="8"/>
      <c r="M626" s="8"/>
      <c r="N626" s="8" t="str">
        <f>IFERROR(__xludf.DUMMYFUNCTION("""COMPUTED_VALUE"""),"")</f>
        <v/>
      </c>
      <c r="O626" s="8" t="str">
        <f>IFERROR(__xludf.DUMMYFUNCTION("""COMPUTED_VALUE"""),"")</f>
        <v/>
      </c>
      <c r="P626" s="8"/>
      <c r="Q626" s="8"/>
    </row>
    <row r="627">
      <c r="A627" s="8"/>
      <c r="B627" s="25"/>
      <c r="C627" s="385" t="s">
        <v>1426</v>
      </c>
      <c r="D627" s="392"/>
      <c r="E627" s="8"/>
      <c r="F627" s="8"/>
      <c r="G627" s="389"/>
      <c r="H627" s="8" t="b">
        <v>0</v>
      </c>
      <c r="I627" s="388" t="str">
        <f>IFERROR(__xludf.DUMMYFUNCTION("""COMPUTED_VALUE"""),"")</f>
        <v/>
      </c>
      <c r="J627" s="7"/>
      <c r="K627" s="8"/>
      <c r="L627" s="8"/>
      <c r="M627" s="8"/>
      <c r="N627" s="8" t="str">
        <f>IFERROR(__xludf.DUMMYFUNCTION("""COMPUTED_VALUE"""),"")</f>
        <v/>
      </c>
      <c r="O627" s="8" t="str">
        <f>IFERROR(__xludf.DUMMYFUNCTION("""COMPUTED_VALUE"""),"")</f>
        <v/>
      </c>
      <c r="P627" s="8"/>
      <c r="Q627" s="8"/>
    </row>
    <row r="628">
      <c r="A628" s="8"/>
      <c r="B628" s="25"/>
      <c r="C628" s="385" t="s">
        <v>1426</v>
      </c>
      <c r="D628" s="392"/>
      <c r="E628" s="8"/>
      <c r="F628" s="8"/>
      <c r="G628" s="389"/>
      <c r="H628" s="8" t="b">
        <v>0</v>
      </c>
      <c r="I628" s="388" t="str">
        <f>IFERROR(__xludf.DUMMYFUNCTION("""COMPUTED_VALUE"""),"")</f>
        <v/>
      </c>
      <c r="J628" s="7"/>
      <c r="K628" s="8"/>
      <c r="L628" s="8"/>
      <c r="M628" s="8"/>
      <c r="N628" s="8" t="str">
        <f>IFERROR(__xludf.DUMMYFUNCTION("""COMPUTED_VALUE"""),"")</f>
        <v/>
      </c>
      <c r="O628" s="8" t="str">
        <f>IFERROR(__xludf.DUMMYFUNCTION("""COMPUTED_VALUE"""),"")</f>
        <v/>
      </c>
      <c r="P628" s="8"/>
      <c r="Q628" s="8"/>
    </row>
    <row r="629">
      <c r="A629" s="8"/>
      <c r="B629" s="25"/>
      <c r="C629" s="385" t="s">
        <v>1426</v>
      </c>
      <c r="D629" s="392"/>
      <c r="E629" s="8"/>
      <c r="F629" s="8"/>
      <c r="G629" s="389"/>
      <c r="H629" s="8" t="b">
        <v>0</v>
      </c>
      <c r="I629" s="388" t="str">
        <f>IFERROR(__xludf.DUMMYFUNCTION("""COMPUTED_VALUE"""),"")</f>
        <v/>
      </c>
      <c r="J629" s="7"/>
      <c r="K629" s="8"/>
      <c r="L629" s="8"/>
      <c r="M629" s="8"/>
      <c r="N629" s="8" t="str">
        <f>IFERROR(__xludf.DUMMYFUNCTION("""COMPUTED_VALUE"""),"")</f>
        <v/>
      </c>
      <c r="O629" s="8" t="str">
        <f>IFERROR(__xludf.DUMMYFUNCTION("""COMPUTED_VALUE"""),"")</f>
        <v/>
      </c>
      <c r="P629" s="8"/>
      <c r="Q629" s="8"/>
    </row>
    <row r="630">
      <c r="A630" s="8"/>
      <c r="B630" s="25"/>
      <c r="C630" s="385" t="s">
        <v>1426</v>
      </c>
      <c r="D630" s="392"/>
      <c r="E630" s="8"/>
      <c r="F630" s="8"/>
      <c r="G630" s="389"/>
      <c r="H630" s="8" t="b">
        <v>0</v>
      </c>
      <c r="I630" s="388" t="str">
        <f>IFERROR(__xludf.DUMMYFUNCTION("""COMPUTED_VALUE"""),"")</f>
        <v/>
      </c>
      <c r="J630" s="7"/>
      <c r="K630" s="8"/>
      <c r="L630" s="8"/>
      <c r="M630" s="8"/>
      <c r="N630" s="8" t="str">
        <f>IFERROR(__xludf.DUMMYFUNCTION("""COMPUTED_VALUE"""),"")</f>
        <v/>
      </c>
      <c r="O630" s="8" t="str">
        <f>IFERROR(__xludf.DUMMYFUNCTION("""COMPUTED_VALUE"""),"")</f>
        <v/>
      </c>
      <c r="P630" s="8"/>
      <c r="Q630" s="8"/>
    </row>
    <row r="631">
      <c r="A631" s="8"/>
      <c r="B631" s="25"/>
      <c r="C631" s="385" t="s">
        <v>1426</v>
      </c>
      <c r="D631" s="392"/>
      <c r="E631" s="8"/>
      <c r="F631" s="8"/>
      <c r="G631" s="389"/>
      <c r="H631" s="8" t="b">
        <v>0</v>
      </c>
      <c r="I631" s="388" t="str">
        <f>IFERROR(__xludf.DUMMYFUNCTION("""COMPUTED_VALUE"""),"")</f>
        <v/>
      </c>
      <c r="J631" s="7"/>
      <c r="K631" s="8"/>
      <c r="L631" s="8"/>
      <c r="M631" s="8"/>
      <c r="N631" s="8" t="str">
        <f>IFERROR(__xludf.DUMMYFUNCTION("""COMPUTED_VALUE"""),"")</f>
        <v/>
      </c>
      <c r="O631" s="8" t="str">
        <f>IFERROR(__xludf.DUMMYFUNCTION("""COMPUTED_VALUE"""),"")</f>
        <v/>
      </c>
      <c r="P631" s="8"/>
      <c r="Q631" s="8"/>
    </row>
    <row r="632">
      <c r="A632" s="8"/>
      <c r="B632" s="25"/>
      <c r="C632" s="385" t="s">
        <v>1426</v>
      </c>
      <c r="D632" s="392"/>
      <c r="E632" s="8"/>
      <c r="F632" s="8"/>
      <c r="G632" s="389"/>
      <c r="H632" s="8" t="b">
        <v>0</v>
      </c>
      <c r="I632" s="388" t="str">
        <f>IFERROR(__xludf.DUMMYFUNCTION("""COMPUTED_VALUE"""),"")</f>
        <v/>
      </c>
      <c r="J632" s="7"/>
      <c r="K632" s="8"/>
      <c r="L632" s="8"/>
      <c r="M632" s="8"/>
      <c r="N632" s="8" t="str">
        <f>IFERROR(__xludf.DUMMYFUNCTION("""COMPUTED_VALUE"""),"")</f>
        <v/>
      </c>
      <c r="O632" s="8" t="str">
        <f>IFERROR(__xludf.DUMMYFUNCTION("""COMPUTED_VALUE"""),"")</f>
        <v/>
      </c>
      <c r="P632" s="8"/>
      <c r="Q632" s="8"/>
    </row>
    <row r="633">
      <c r="A633" s="8"/>
      <c r="B633" s="25"/>
      <c r="C633" s="385" t="s">
        <v>1426</v>
      </c>
      <c r="D633" s="392"/>
      <c r="E633" s="8"/>
      <c r="F633" s="8"/>
      <c r="G633" s="389"/>
      <c r="H633" s="8" t="b">
        <v>0</v>
      </c>
      <c r="I633" s="388" t="str">
        <f>IFERROR(__xludf.DUMMYFUNCTION("""COMPUTED_VALUE"""),"")</f>
        <v/>
      </c>
      <c r="J633" s="7"/>
      <c r="K633" s="8"/>
      <c r="L633" s="8"/>
      <c r="M633" s="8"/>
      <c r="N633" s="8" t="str">
        <f>IFERROR(__xludf.DUMMYFUNCTION("""COMPUTED_VALUE"""),"")</f>
        <v/>
      </c>
      <c r="O633" s="8" t="str">
        <f>IFERROR(__xludf.DUMMYFUNCTION("""COMPUTED_VALUE"""),"")</f>
        <v/>
      </c>
      <c r="P633" s="8"/>
      <c r="Q633" s="8"/>
    </row>
    <row r="634">
      <c r="A634" s="8"/>
      <c r="B634" s="25"/>
      <c r="C634" s="385" t="s">
        <v>1426</v>
      </c>
      <c r="D634" s="392"/>
      <c r="E634" s="8"/>
      <c r="F634" s="8"/>
      <c r="G634" s="389"/>
      <c r="H634" s="8" t="b">
        <v>0</v>
      </c>
      <c r="I634" s="388" t="str">
        <f>IFERROR(__xludf.DUMMYFUNCTION("""COMPUTED_VALUE"""),"")</f>
        <v/>
      </c>
      <c r="J634" s="7"/>
      <c r="K634" s="8"/>
      <c r="L634" s="8"/>
      <c r="M634" s="8"/>
      <c r="N634" s="8" t="str">
        <f>IFERROR(__xludf.DUMMYFUNCTION("""COMPUTED_VALUE"""),"")</f>
        <v/>
      </c>
      <c r="O634" s="8" t="str">
        <f>IFERROR(__xludf.DUMMYFUNCTION("""COMPUTED_VALUE"""),"")</f>
        <v/>
      </c>
      <c r="P634" s="8"/>
      <c r="Q634" s="8"/>
    </row>
    <row r="635">
      <c r="A635" s="8"/>
      <c r="B635" s="25"/>
      <c r="C635" s="385" t="s">
        <v>1426</v>
      </c>
      <c r="D635" s="392"/>
      <c r="E635" s="8"/>
      <c r="F635" s="8"/>
      <c r="G635" s="389"/>
      <c r="H635" s="8" t="b">
        <v>0</v>
      </c>
      <c r="I635" s="388" t="str">
        <f>IFERROR(__xludf.DUMMYFUNCTION("""COMPUTED_VALUE"""),"")</f>
        <v/>
      </c>
      <c r="J635" s="7"/>
      <c r="K635" s="8"/>
      <c r="L635" s="8"/>
      <c r="M635" s="8"/>
      <c r="N635" s="8" t="str">
        <f>IFERROR(__xludf.DUMMYFUNCTION("""COMPUTED_VALUE"""),"")</f>
        <v/>
      </c>
      <c r="O635" s="8" t="str">
        <f>IFERROR(__xludf.DUMMYFUNCTION("""COMPUTED_VALUE"""),"")</f>
        <v/>
      </c>
      <c r="P635" s="8"/>
      <c r="Q635" s="8"/>
    </row>
    <row r="636">
      <c r="A636" s="8"/>
      <c r="B636" s="25"/>
      <c r="C636" s="385" t="s">
        <v>1426</v>
      </c>
      <c r="D636" s="392"/>
      <c r="E636" s="8"/>
      <c r="F636" s="8"/>
      <c r="G636" s="389"/>
      <c r="H636" s="8" t="b">
        <v>0</v>
      </c>
      <c r="I636" s="388" t="str">
        <f>IFERROR(__xludf.DUMMYFUNCTION("""COMPUTED_VALUE"""),"")</f>
        <v/>
      </c>
      <c r="J636" s="7"/>
      <c r="K636" s="8"/>
      <c r="L636" s="8"/>
      <c r="M636" s="8"/>
      <c r="N636" s="8" t="str">
        <f>IFERROR(__xludf.DUMMYFUNCTION("""COMPUTED_VALUE"""),"")</f>
        <v/>
      </c>
      <c r="O636" s="8" t="str">
        <f>IFERROR(__xludf.DUMMYFUNCTION("""COMPUTED_VALUE"""),"")</f>
        <v/>
      </c>
      <c r="P636" s="8"/>
      <c r="Q636" s="8"/>
    </row>
    <row r="637">
      <c r="A637" s="8"/>
      <c r="B637" s="25"/>
      <c r="C637" s="385" t="s">
        <v>1426</v>
      </c>
      <c r="D637" s="392"/>
      <c r="E637" s="8"/>
      <c r="F637" s="8"/>
      <c r="G637" s="389"/>
      <c r="H637" s="8" t="b">
        <v>0</v>
      </c>
      <c r="I637" s="388" t="str">
        <f>IFERROR(__xludf.DUMMYFUNCTION("""COMPUTED_VALUE"""),"")</f>
        <v/>
      </c>
      <c r="J637" s="7"/>
      <c r="K637" s="8"/>
      <c r="L637" s="8"/>
      <c r="M637" s="8"/>
      <c r="N637" s="8" t="str">
        <f>IFERROR(__xludf.DUMMYFUNCTION("""COMPUTED_VALUE"""),"")</f>
        <v/>
      </c>
      <c r="O637" s="8" t="str">
        <f>IFERROR(__xludf.DUMMYFUNCTION("""COMPUTED_VALUE"""),"")</f>
        <v/>
      </c>
      <c r="P637" s="8"/>
      <c r="Q637" s="8"/>
    </row>
    <row r="638">
      <c r="A638" s="8"/>
      <c r="B638" s="25"/>
      <c r="C638" s="385" t="s">
        <v>1426</v>
      </c>
      <c r="D638" s="392"/>
      <c r="E638" s="8"/>
      <c r="F638" s="8"/>
      <c r="G638" s="389"/>
      <c r="H638" s="8" t="b">
        <v>0</v>
      </c>
      <c r="I638" s="388" t="str">
        <f>IFERROR(__xludf.DUMMYFUNCTION("""COMPUTED_VALUE"""),"")</f>
        <v/>
      </c>
      <c r="J638" s="7"/>
      <c r="K638" s="8"/>
      <c r="L638" s="8"/>
      <c r="M638" s="8"/>
      <c r="N638" s="8" t="str">
        <f>IFERROR(__xludf.DUMMYFUNCTION("""COMPUTED_VALUE"""),"")</f>
        <v/>
      </c>
      <c r="O638" s="8" t="str">
        <f>IFERROR(__xludf.DUMMYFUNCTION("""COMPUTED_VALUE"""),"")</f>
        <v/>
      </c>
      <c r="P638" s="8"/>
      <c r="Q638" s="8"/>
    </row>
    <row r="639">
      <c r="A639" s="8"/>
      <c r="B639" s="25"/>
      <c r="C639" s="385" t="s">
        <v>1426</v>
      </c>
      <c r="D639" s="392"/>
      <c r="E639" s="8"/>
      <c r="F639" s="8"/>
      <c r="G639" s="389"/>
      <c r="H639" s="8" t="b">
        <v>0</v>
      </c>
      <c r="I639" s="388" t="str">
        <f>IFERROR(__xludf.DUMMYFUNCTION("""COMPUTED_VALUE"""),"")</f>
        <v/>
      </c>
      <c r="J639" s="7"/>
      <c r="K639" s="8"/>
      <c r="L639" s="8"/>
      <c r="M639" s="8"/>
      <c r="N639" s="8" t="str">
        <f>IFERROR(__xludf.DUMMYFUNCTION("""COMPUTED_VALUE"""),"")</f>
        <v/>
      </c>
      <c r="O639" s="8" t="str">
        <f>IFERROR(__xludf.DUMMYFUNCTION("""COMPUTED_VALUE"""),"")</f>
        <v/>
      </c>
      <c r="P639" s="8"/>
      <c r="Q639" s="8"/>
    </row>
    <row r="640">
      <c r="A640" s="8"/>
      <c r="B640" s="25"/>
      <c r="C640" s="385" t="s">
        <v>1426</v>
      </c>
      <c r="D640" s="392"/>
      <c r="E640" s="8"/>
      <c r="F640" s="8"/>
      <c r="G640" s="389"/>
      <c r="H640" s="8" t="b">
        <v>0</v>
      </c>
      <c r="I640" s="388" t="str">
        <f>IFERROR(__xludf.DUMMYFUNCTION("""COMPUTED_VALUE"""),"")</f>
        <v/>
      </c>
      <c r="J640" s="7"/>
      <c r="K640" s="8"/>
      <c r="L640" s="8"/>
      <c r="M640" s="8"/>
      <c r="N640" s="8" t="str">
        <f>IFERROR(__xludf.DUMMYFUNCTION("""COMPUTED_VALUE"""),"")</f>
        <v/>
      </c>
      <c r="O640" s="8" t="str">
        <f>IFERROR(__xludf.DUMMYFUNCTION("""COMPUTED_VALUE"""),"")</f>
        <v/>
      </c>
      <c r="P640" s="8"/>
      <c r="Q640" s="8"/>
    </row>
    <row r="641">
      <c r="A641" s="8"/>
      <c r="B641" s="25"/>
      <c r="C641" s="385" t="s">
        <v>1426</v>
      </c>
      <c r="D641" s="392"/>
      <c r="E641" s="8"/>
      <c r="F641" s="8"/>
      <c r="G641" s="389"/>
      <c r="H641" s="8" t="b">
        <v>0</v>
      </c>
      <c r="I641" s="388" t="str">
        <f>IFERROR(__xludf.DUMMYFUNCTION("""COMPUTED_VALUE"""),"")</f>
        <v/>
      </c>
      <c r="J641" s="7"/>
      <c r="K641" s="8"/>
      <c r="L641" s="8"/>
      <c r="M641" s="8"/>
      <c r="N641" s="8" t="str">
        <f>IFERROR(__xludf.DUMMYFUNCTION("""COMPUTED_VALUE"""),"")</f>
        <v/>
      </c>
      <c r="O641" s="8" t="str">
        <f>IFERROR(__xludf.DUMMYFUNCTION("""COMPUTED_VALUE"""),"")</f>
        <v/>
      </c>
      <c r="P641" s="8"/>
      <c r="Q641" s="8"/>
    </row>
    <row r="642">
      <c r="A642" s="8"/>
      <c r="B642" s="25"/>
      <c r="C642" s="385" t="s">
        <v>1426</v>
      </c>
      <c r="D642" s="392"/>
      <c r="E642" s="8"/>
      <c r="F642" s="8"/>
      <c r="G642" s="389"/>
      <c r="H642" s="8" t="b">
        <v>0</v>
      </c>
      <c r="I642" s="388" t="str">
        <f>IFERROR(__xludf.DUMMYFUNCTION("""COMPUTED_VALUE"""),"")</f>
        <v/>
      </c>
      <c r="J642" s="7"/>
      <c r="K642" s="8"/>
      <c r="L642" s="8"/>
      <c r="M642" s="8"/>
      <c r="N642" s="8" t="str">
        <f>IFERROR(__xludf.DUMMYFUNCTION("""COMPUTED_VALUE"""),"")</f>
        <v/>
      </c>
      <c r="O642" s="8" t="str">
        <f>IFERROR(__xludf.DUMMYFUNCTION("""COMPUTED_VALUE"""),"")</f>
        <v/>
      </c>
      <c r="P642" s="8"/>
      <c r="Q642" s="8"/>
    </row>
    <row r="643">
      <c r="A643" s="8"/>
      <c r="B643" s="25"/>
      <c r="C643" s="385" t="s">
        <v>1426</v>
      </c>
      <c r="D643" s="392"/>
      <c r="E643" s="8"/>
      <c r="F643" s="8"/>
      <c r="G643" s="389"/>
      <c r="H643" s="8" t="b">
        <v>0</v>
      </c>
      <c r="I643" s="388" t="str">
        <f>IFERROR(__xludf.DUMMYFUNCTION("""COMPUTED_VALUE"""),"")</f>
        <v/>
      </c>
      <c r="J643" s="7"/>
      <c r="K643" s="8"/>
      <c r="L643" s="8"/>
      <c r="M643" s="8"/>
      <c r="N643" s="8" t="str">
        <f>IFERROR(__xludf.DUMMYFUNCTION("""COMPUTED_VALUE"""),"")</f>
        <v/>
      </c>
      <c r="O643" s="8" t="str">
        <f>IFERROR(__xludf.DUMMYFUNCTION("""COMPUTED_VALUE"""),"")</f>
        <v/>
      </c>
      <c r="P643" s="8"/>
      <c r="Q643" s="8"/>
    </row>
    <row r="644">
      <c r="A644" s="8"/>
      <c r="B644" s="25"/>
      <c r="C644" s="385" t="s">
        <v>1426</v>
      </c>
      <c r="D644" s="392"/>
      <c r="E644" s="8"/>
      <c r="F644" s="8"/>
      <c r="G644" s="389"/>
      <c r="H644" s="8" t="b">
        <v>0</v>
      </c>
      <c r="I644" s="388" t="str">
        <f>IFERROR(__xludf.DUMMYFUNCTION("""COMPUTED_VALUE"""),"")</f>
        <v/>
      </c>
      <c r="J644" s="7"/>
      <c r="K644" s="8"/>
      <c r="L644" s="8"/>
      <c r="M644" s="8"/>
      <c r="N644" s="8" t="str">
        <f>IFERROR(__xludf.DUMMYFUNCTION("""COMPUTED_VALUE"""),"")</f>
        <v/>
      </c>
      <c r="O644" s="8" t="str">
        <f>IFERROR(__xludf.DUMMYFUNCTION("""COMPUTED_VALUE"""),"")</f>
        <v/>
      </c>
      <c r="P644" s="8"/>
      <c r="Q644" s="8"/>
    </row>
    <row r="645">
      <c r="A645" s="8"/>
      <c r="B645" s="25"/>
      <c r="C645" s="385" t="s">
        <v>1426</v>
      </c>
      <c r="D645" s="392"/>
      <c r="E645" s="8"/>
      <c r="F645" s="8"/>
      <c r="G645" s="389"/>
      <c r="H645" s="8" t="b">
        <v>0</v>
      </c>
      <c r="I645" s="388" t="str">
        <f>IFERROR(__xludf.DUMMYFUNCTION("""COMPUTED_VALUE"""),"")</f>
        <v/>
      </c>
      <c r="J645" s="7"/>
      <c r="K645" s="8"/>
      <c r="L645" s="8"/>
      <c r="M645" s="8"/>
      <c r="N645" s="8" t="str">
        <f>IFERROR(__xludf.DUMMYFUNCTION("""COMPUTED_VALUE"""),"")</f>
        <v/>
      </c>
      <c r="O645" s="8" t="str">
        <f>IFERROR(__xludf.DUMMYFUNCTION("""COMPUTED_VALUE"""),"")</f>
        <v/>
      </c>
      <c r="P645" s="8"/>
      <c r="Q645" s="8"/>
    </row>
    <row r="646">
      <c r="A646" s="8"/>
      <c r="B646" s="25"/>
      <c r="C646" s="385" t="s">
        <v>1426</v>
      </c>
      <c r="D646" s="392"/>
      <c r="E646" s="8"/>
      <c r="F646" s="8"/>
      <c r="G646" s="389"/>
      <c r="H646" s="8" t="b">
        <v>0</v>
      </c>
      <c r="I646" s="388" t="str">
        <f>IFERROR(__xludf.DUMMYFUNCTION("""COMPUTED_VALUE"""),"")</f>
        <v/>
      </c>
      <c r="J646" s="7"/>
      <c r="K646" s="8"/>
      <c r="L646" s="8"/>
      <c r="M646" s="8"/>
      <c r="N646" s="8" t="str">
        <f>IFERROR(__xludf.DUMMYFUNCTION("""COMPUTED_VALUE"""),"")</f>
        <v/>
      </c>
      <c r="O646" s="8" t="str">
        <f>IFERROR(__xludf.DUMMYFUNCTION("""COMPUTED_VALUE"""),"")</f>
        <v/>
      </c>
      <c r="P646" s="8"/>
      <c r="Q646" s="8"/>
    </row>
    <row r="647">
      <c r="A647" s="8"/>
      <c r="B647" s="25"/>
      <c r="C647" s="385" t="s">
        <v>1426</v>
      </c>
      <c r="D647" s="392"/>
      <c r="E647" s="8"/>
      <c r="F647" s="8"/>
      <c r="G647" s="389"/>
      <c r="H647" s="8" t="b">
        <v>0</v>
      </c>
      <c r="I647" s="388" t="str">
        <f>IFERROR(__xludf.DUMMYFUNCTION("""COMPUTED_VALUE"""),"")</f>
        <v/>
      </c>
      <c r="J647" s="7"/>
      <c r="K647" s="8"/>
      <c r="L647" s="8"/>
      <c r="M647" s="8"/>
      <c r="N647" s="8" t="str">
        <f>IFERROR(__xludf.DUMMYFUNCTION("""COMPUTED_VALUE"""),"")</f>
        <v/>
      </c>
      <c r="O647" s="8" t="str">
        <f>IFERROR(__xludf.DUMMYFUNCTION("""COMPUTED_VALUE"""),"")</f>
        <v/>
      </c>
      <c r="P647" s="8"/>
      <c r="Q647" s="8"/>
    </row>
    <row r="648">
      <c r="A648" s="8"/>
      <c r="B648" s="25"/>
      <c r="C648" s="385" t="s">
        <v>1426</v>
      </c>
      <c r="D648" s="392"/>
      <c r="E648" s="8"/>
      <c r="F648" s="8"/>
      <c r="G648" s="389"/>
      <c r="H648" s="8" t="b">
        <v>0</v>
      </c>
      <c r="I648" s="388" t="str">
        <f>IFERROR(__xludf.DUMMYFUNCTION("""COMPUTED_VALUE"""),"")</f>
        <v/>
      </c>
      <c r="J648" s="7"/>
      <c r="K648" s="8"/>
      <c r="L648" s="8"/>
      <c r="M648" s="8"/>
      <c r="N648" s="8" t="str">
        <f>IFERROR(__xludf.DUMMYFUNCTION("""COMPUTED_VALUE"""),"")</f>
        <v/>
      </c>
      <c r="O648" s="8" t="str">
        <f>IFERROR(__xludf.DUMMYFUNCTION("""COMPUTED_VALUE"""),"")</f>
        <v/>
      </c>
      <c r="P648" s="8"/>
      <c r="Q648" s="8"/>
    </row>
    <row r="649">
      <c r="A649" s="8"/>
      <c r="B649" s="25"/>
      <c r="C649" s="385" t="s">
        <v>1426</v>
      </c>
      <c r="D649" s="392"/>
      <c r="E649" s="8"/>
      <c r="F649" s="8"/>
      <c r="G649" s="389"/>
      <c r="H649" s="8" t="b">
        <v>0</v>
      </c>
      <c r="I649" s="388" t="str">
        <f>IFERROR(__xludf.DUMMYFUNCTION("""COMPUTED_VALUE"""),"")</f>
        <v/>
      </c>
      <c r="J649" s="7"/>
      <c r="K649" s="8"/>
      <c r="L649" s="8"/>
      <c r="M649" s="8"/>
      <c r="N649" s="8" t="str">
        <f>IFERROR(__xludf.DUMMYFUNCTION("""COMPUTED_VALUE"""),"")</f>
        <v/>
      </c>
      <c r="O649" s="8" t="str">
        <f>IFERROR(__xludf.DUMMYFUNCTION("""COMPUTED_VALUE"""),"")</f>
        <v/>
      </c>
      <c r="P649" s="8"/>
      <c r="Q649" s="8"/>
    </row>
    <row r="650">
      <c r="A650" s="8"/>
      <c r="B650" s="25"/>
      <c r="C650" s="385" t="s">
        <v>1426</v>
      </c>
      <c r="D650" s="392"/>
      <c r="E650" s="8"/>
      <c r="F650" s="8"/>
      <c r="G650" s="389"/>
      <c r="H650" s="8" t="b">
        <v>0</v>
      </c>
      <c r="I650" s="388" t="str">
        <f>IFERROR(__xludf.DUMMYFUNCTION("""COMPUTED_VALUE"""),"")</f>
        <v/>
      </c>
      <c r="J650" s="7"/>
      <c r="K650" s="8"/>
      <c r="L650" s="8"/>
      <c r="M650" s="8"/>
      <c r="N650" s="8" t="str">
        <f>IFERROR(__xludf.DUMMYFUNCTION("""COMPUTED_VALUE"""),"")</f>
        <v/>
      </c>
      <c r="O650" s="8" t="str">
        <f>IFERROR(__xludf.DUMMYFUNCTION("""COMPUTED_VALUE"""),"")</f>
        <v/>
      </c>
      <c r="P650" s="8"/>
      <c r="Q650" s="8"/>
    </row>
    <row r="651">
      <c r="A651" s="8"/>
      <c r="B651" s="25"/>
      <c r="C651" s="385" t="s">
        <v>1426</v>
      </c>
      <c r="D651" s="392"/>
      <c r="E651" s="8"/>
      <c r="F651" s="8"/>
      <c r="G651" s="389"/>
      <c r="H651" s="8" t="b">
        <v>0</v>
      </c>
      <c r="I651" s="388" t="str">
        <f>IFERROR(__xludf.DUMMYFUNCTION("""COMPUTED_VALUE"""),"")</f>
        <v/>
      </c>
      <c r="J651" s="7"/>
      <c r="K651" s="8"/>
      <c r="L651" s="8"/>
      <c r="M651" s="8"/>
      <c r="N651" s="8" t="str">
        <f>IFERROR(__xludf.DUMMYFUNCTION("""COMPUTED_VALUE"""),"")</f>
        <v/>
      </c>
      <c r="O651" s="8" t="str">
        <f>IFERROR(__xludf.DUMMYFUNCTION("""COMPUTED_VALUE"""),"")</f>
        <v/>
      </c>
      <c r="P651" s="8"/>
      <c r="Q651" s="8"/>
    </row>
    <row r="652">
      <c r="A652" s="8"/>
      <c r="B652" s="25"/>
      <c r="C652" s="385" t="s">
        <v>1426</v>
      </c>
      <c r="D652" s="392"/>
      <c r="E652" s="8"/>
      <c r="F652" s="8"/>
      <c r="G652" s="389"/>
      <c r="H652" s="8" t="b">
        <v>0</v>
      </c>
      <c r="I652" s="388" t="str">
        <f>IFERROR(__xludf.DUMMYFUNCTION("""COMPUTED_VALUE"""),"")</f>
        <v/>
      </c>
      <c r="J652" s="7"/>
      <c r="K652" s="8"/>
      <c r="L652" s="8"/>
      <c r="M652" s="8"/>
      <c r="N652" s="8" t="str">
        <f>IFERROR(__xludf.DUMMYFUNCTION("""COMPUTED_VALUE"""),"")</f>
        <v/>
      </c>
      <c r="O652" s="8" t="str">
        <f>IFERROR(__xludf.DUMMYFUNCTION("""COMPUTED_VALUE"""),"")</f>
        <v/>
      </c>
      <c r="P652" s="8"/>
      <c r="Q652" s="8"/>
    </row>
    <row r="653">
      <c r="A653" s="8"/>
      <c r="B653" s="25"/>
      <c r="C653" s="385" t="s">
        <v>1426</v>
      </c>
      <c r="D653" s="392"/>
      <c r="E653" s="8"/>
      <c r="F653" s="8"/>
      <c r="G653" s="389"/>
      <c r="H653" s="8" t="b">
        <v>0</v>
      </c>
      <c r="I653" s="388" t="str">
        <f>IFERROR(__xludf.DUMMYFUNCTION("""COMPUTED_VALUE"""),"")</f>
        <v/>
      </c>
      <c r="J653" s="7"/>
      <c r="K653" s="8"/>
      <c r="L653" s="8"/>
      <c r="M653" s="8"/>
      <c r="N653" s="8" t="str">
        <f>IFERROR(__xludf.DUMMYFUNCTION("""COMPUTED_VALUE"""),"")</f>
        <v/>
      </c>
      <c r="O653" s="8" t="str">
        <f>IFERROR(__xludf.DUMMYFUNCTION("""COMPUTED_VALUE"""),"")</f>
        <v/>
      </c>
      <c r="P653" s="8"/>
      <c r="Q653" s="8"/>
    </row>
    <row r="654">
      <c r="A654" s="8"/>
      <c r="B654" s="25"/>
      <c r="C654" s="385" t="s">
        <v>1426</v>
      </c>
      <c r="D654" s="392"/>
      <c r="E654" s="8"/>
      <c r="F654" s="8"/>
      <c r="G654" s="389"/>
      <c r="H654" s="8" t="b">
        <v>0</v>
      </c>
      <c r="I654" s="388" t="str">
        <f>IFERROR(__xludf.DUMMYFUNCTION("""COMPUTED_VALUE"""),"")</f>
        <v/>
      </c>
      <c r="J654" s="7"/>
      <c r="K654" s="8"/>
      <c r="L654" s="8"/>
      <c r="M654" s="8"/>
      <c r="N654" s="8" t="str">
        <f>IFERROR(__xludf.DUMMYFUNCTION("""COMPUTED_VALUE"""),"")</f>
        <v/>
      </c>
      <c r="O654" s="8" t="str">
        <f>IFERROR(__xludf.DUMMYFUNCTION("""COMPUTED_VALUE"""),"")</f>
        <v/>
      </c>
      <c r="P654" s="8"/>
      <c r="Q654" s="8"/>
    </row>
    <row r="655">
      <c r="A655" s="8"/>
      <c r="B655" s="25"/>
      <c r="C655" s="385" t="s">
        <v>1426</v>
      </c>
      <c r="D655" s="392"/>
      <c r="E655" s="8"/>
      <c r="F655" s="8"/>
      <c r="G655" s="389"/>
      <c r="H655" s="8" t="b">
        <v>0</v>
      </c>
      <c r="I655" s="388" t="str">
        <f>IFERROR(__xludf.DUMMYFUNCTION("""COMPUTED_VALUE"""),"")</f>
        <v/>
      </c>
      <c r="J655" s="7"/>
      <c r="K655" s="8"/>
      <c r="L655" s="8"/>
      <c r="M655" s="8"/>
      <c r="N655" s="8" t="str">
        <f>IFERROR(__xludf.DUMMYFUNCTION("""COMPUTED_VALUE"""),"")</f>
        <v/>
      </c>
      <c r="O655" s="8" t="str">
        <f>IFERROR(__xludf.DUMMYFUNCTION("""COMPUTED_VALUE"""),"")</f>
        <v/>
      </c>
      <c r="P655" s="8"/>
      <c r="Q655" s="8"/>
    </row>
    <row r="656">
      <c r="A656" s="8"/>
      <c r="B656" s="25"/>
      <c r="C656" s="385" t="s">
        <v>1426</v>
      </c>
      <c r="D656" s="392"/>
      <c r="E656" s="8"/>
      <c r="F656" s="8"/>
      <c r="G656" s="389"/>
      <c r="H656" s="8" t="b">
        <v>0</v>
      </c>
      <c r="I656" s="388" t="str">
        <f>IFERROR(__xludf.DUMMYFUNCTION("""COMPUTED_VALUE"""),"")</f>
        <v/>
      </c>
      <c r="J656" s="7"/>
      <c r="K656" s="8"/>
      <c r="L656" s="8"/>
      <c r="M656" s="8"/>
      <c r="N656" s="8" t="str">
        <f>IFERROR(__xludf.DUMMYFUNCTION("""COMPUTED_VALUE"""),"")</f>
        <v/>
      </c>
      <c r="O656" s="8" t="str">
        <f>IFERROR(__xludf.DUMMYFUNCTION("""COMPUTED_VALUE"""),"")</f>
        <v/>
      </c>
      <c r="P656" s="8"/>
      <c r="Q656" s="8"/>
    </row>
    <row r="657">
      <c r="A657" s="8"/>
      <c r="B657" s="25"/>
      <c r="C657" s="385" t="s">
        <v>1426</v>
      </c>
      <c r="D657" s="392"/>
      <c r="E657" s="8"/>
      <c r="F657" s="8"/>
      <c r="G657" s="389"/>
      <c r="H657" s="8" t="b">
        <v>0</v>
      </c>
      <c r="I657" s="388" t="str">
        <f>IFERROR(__xludf.DUMMYFUNCTION("""COMPUTED_VALUE"""),"")</f>
        <v/>
      </c>
      <c r="J657" s="7"/>
      <c r="K657" s="8"/>
      <c r="L657" s="8"/>
      <c r="M657" s="8"/>
      <c r="N657" s="8" t="str">
        <f>IFERROR(__xludf.DUMMYFUNCTION("""COMPUTED_VALUE"""),"")</f>
        <v/>
      </c>
      <c r="O657" s="8" t="str">
        <f>IFERROR(__xludf.DUMMYFUNCTION("""COMPUTED_VALUE"""),"")</f>
        <v/>
      </c>
      <c r="P657" s="8"/>
      <c r="Q657" s="8"/>
    </row>
    <row r="658">
      <c r="A658" s="8"/>
      <c r="B658" s="25"/>
      <c r="C658" s="385" t="s">
        <v>1426</v>
      </c>
      <c r="D658" s="392"/>
      <c r="E658" s="8"/>
      <c r="F658" s="8"/>
      <c r="G658" s="389"/>
      <c r="H658" s="8" t="b">
        <v>0</v>
      </c>
      <c r="I658" s="388" t="str">
        <f>IFERROR(__xludf.DUMMYFUNCTION("""COMPUTED_VALUE"""),"")</f>
        <v/>
      </c>
      <c r="J658" s="7"/>
      <c r="K658" s="8"/>
      <c r="L658" s="8"/>
      <c r="M658" s="8"/>
      <c r="N658" s="8" t="str">
        <f>IFERROR(__xludf.DUMMYFUNCTION("""COMPUTED_VALUE"""),"")</f>
        <v/>
      </c>
      <c r="O658" s="8" t="str">
        <f>IFERROR(__xludf.DUMMYFUNCTION("""COMPUTED_VALUE"""),"")</f>
        <v/>
      </c>
      <c r="P658" s="8"/>
      <c r="Q658" s="8"/>
    </row>
    <row r="659">
      <c r="A659" s="8"/>
      <c r="B659" s="25"/>
      <c r="C659" s="385" t="s">
        <v>1426</v>
      </c>
      <c r="D659" s="392"/>
      <c r="E659" s="8"/>
      <c r="F659" s="8"/>
      <c r="G659" s="389"/>
      <c r="H659" s="8" t="b">
        <v>0</v>
      </c>
      <c r="I659" s="388" t="str">
        <f>IFERROR(__xludf.DUMMYFUNCTION("""COMPUTED_VALUE"""),"")</f>
        <v/>
      </c>
      <c r="J659" s="7"/>
      <c r="K659" s="8"/>
      <c r="L659" s="8"/>
      <c r="M659" s="8"/>
      <c r="N659" s="8" t="str">
        <f>IFERROR(__xludf.DUMMYFUNCTION("""COMPUTED_VALUE"""),"")</f>
        <v/>
      </c>
      <c r="O659" s="8" t="str">
        <f>IFERROR(__xludf.DUMMYFUNCTION("""COMPUTED_VALUE"""),"")</f>
        <v/>
      </c>
      <c r="P659" s="8"/>
      <c r="Q659" s="8"/>
    </row>
    <row r="660">
      <c r="A660" s="8"/>
      <c r="B660" s="25"/>
      <c r="C660" s="385" t="s">
        <v>1426</v>
      </c>
      <c r="D660" s="392"/>
      <c r="E660" s="8"/>
      <c r="F660" s="8"/>
      <c r="G660" s="389"/>
      <c r="H660" s="8" t="b">
        <v>0</v>
      </c>
      <c r="I660" s="388" t="str">
        <f>IFERROR(__xludf.DUMMYFUNCTION("""COMPUTED_VALUE"""),"")</f>
        <v/>
      </c>
      <c r="J660" s="7"/>
      <c r="K660" s="8"/>
      <c r="L660" s="8"/>
      <c r="M660" s="8"/>
      <c r="N660" s="8" t="str">
        <f>IFERROR(__xludf.DUMMYFUNCTION("""COMPUTED_VALUE"""),"")</f>
        <v/>
      </c>
      <c r="O660" s="8" t="str">
        <f>IFERROR(__xludf.DUMMYFUNCTION("""COMPUTED_VALUE"""),"")</f>
        <v/>
      </c>
      <c r="P660" s="8"/>
      <c r="Q660" s="8"/>
    </row>
    <row r="661">
      <c r="A661" s="8"/>
      <c r="B661" s="25"/>
      <c r="C661" s="385" t="s">
        <v>1426</v>
      </c>
      <c r="D661" s="392"/>
      <c r="E661" s="8"/>
      <c r="F661" s="8"/>
      <c r="G661" s="389"/>
      <c r="H661" s="8" t="b">
        <v>0</v>
      </c>
      <c r="I661" s="388" t="str">
        <f>IFERROR(__xludf.DUMMYFUNCTION("""COMPUTED_VALUE"""),"")</f>
        <v/>
      </c>
      <c r="J661" s="7"/>
      <c r="K661" s="8"/>
      <c r="L661" s="8"/>
      <c r="M661" s="8"/>
      <c r="N661" s="8" t="str">
        <f>IFERROR(__xludf.DUMMYFUNCTION("""COMPUTED_VALUE"""),"")</f>
        <v/>
      </c>
      <c r="O661" s="8" t="str">
        <f>IFERROR(__xludf.DUMMYFUNCTION("""COMPUTED_VALUE"""),"")</f>
        <v/>
      </c>
      <c r="P661" s="8"/>
      <c r="Q661" s="8"/>
    </row>
    <row r="662">
      <c r="A662" s="8"/>
      <c r="B662" s="25"/>
      <c r="C662" s="385" t="s">
        <v>1426</v>
      </c>
      <c r="D662" s="392"/>
      <c r="E662" s="8"/>
      <c r="F662" s="8"/>
      <c r="G662" s="389"/>
      <c r="H662" s="8" t="b">
        <v>0</v>
      </c>
      <c r="I662" s="388" t="str">
        <f>IFERROR(__xludf.DUMMYFUNCTION("""COMPUTED_VALUE"""),"")</f>
        <v/>
      </c>
      <c r="J662" s="7"/>
      <c r="K662" s="8"/>
      <c r="L662" s="8"/>
      <c r="M662" s="8"/>
      <c r="N662" s="8" t="str">
        <f>IFERROR(__xludf.DUMMYFUNCTION("""COMPUTED_VALUE"""),"")</f>
        <v/>
      </c>
      <c r="O662" s="8" t="str">
        <f>IFERROR(__xludf.DUMMYFUNCTION("""COMPUTED_VALUE"""),"")</f>
        <v/>
      </c>
      <c r="P662" s="8"/>
      <c r="Q662" s="8"/>
    </row>
    <row r="663">
      <c r="A663" s="8"/>
      <c r="B663" s="25"/>
      <c r="C663" s="385" t="s">
        <v>1426</v>
      </c>
      <c r="D663" s="392"/>
      <c r="E663" s="8"/>
      <c r="F663" s="8"/>
      <c r="G663" s="389"/>
      <c r="H663" s="8" t="b">
        <v>0</v>
      </c>
      <c r="I663" s="388" t="str">
        <f>IFERROR(__xludf.DUMMYFUNCTION("""COMPUTED_VALUE"""),"")</f>
        <v/>
      </c>
      <c r="J663" s="7"/>
      <c r="K663" s="8"/>
      <c r="L663" s="8"/>
      <c r="M663" s="8"/>
      <c r="N663" s="8" t="str">
        <f>IFERROR(__xludf.DUMMYFUNCTION("""COMPUTED_VALUE"""),"")</f>
        <v/>
      </c>
      <c r="O663" s="8" t="str">
        <f>IFERROR(__xludf.DUMMYFUNCTION("""COMPUTED_VALUE"""),"")</f>
        <v/>
      </c>
      <c r="P663" s="8"/>
      <c r="Q663" s="8"/>
    </row>
    <row r="664">
      <c r="A664" s="8"/>
      <c r="B664" s="25"/>
      <c r="C664" s="385" t="s">
        <v>1426</v>
      </c>
      <c r="D664" s="392"/>
      <c r="E664" s="8"/>
      <c r="F664" s="8"/>
      <c r="G664" s="389"/>
      <c r="H664" s="8" t="b">
        <v>0</v>
      </c>
      <c r="I664" s="388" t="str">
        <f>IFERROR(__xludf.DUMMYFUNCTION("""COMPUTED_VALUE"""),"")</f>
        <v/>
      </c>
      <c r="J664" s="7"/>
      <c r="K664" s="8"/>
      <c r="L664" s="8"/>
      <c r="M664" s="8"/>
      <c r="N664" s="8" t="str">
        <f>IFERROR(__xludf.DUMMYFUNCTION("""COMPUTED_VALUE"""),"")</f>
        <v/>
      </c>
      <c r="O664" s="8" t="str">
        <f>IFERROR(__xludf.DUMMYFUNCTION("""COMPUTED_VALUE"""),"")</f>
        <v/>
      </c>
      <c r="P664" s="8"/>
      <c r="Q664" s="8"/>
    </row>
    <row r="665">
      <c r="A665" s="8"/>
      <c r="B665" s="25"/>
      <c r="C665" s="385" t="s">
        <v>1426</v>
      </c>
      <c r="D665" s="392"/>
      <c r="E665" s="8"/>
      <c r="F665" s="8"/>
      <c r="G665" s="389"/>
      <c r="H665" s="8" t="b">
        <v>0</v>
      </c>
      <c r="I665" s="388" t="str">
        <f>IFERROR(__xludf.DUMMYFUNCTION("""COMPUTED_VALUE"""),"")</f>
        <v/>
      </c>
      <c r="J665" s="7"/>
      <c r="K665" s="8"/>
      <c r="L665" s="8"/>
      <c r="M665" s="8"/>
      <c r="N665" s="8" t="str">
        <f>IFERROR(__xludf.DUMMYFUNCTION("""COMPUTED_VALUE"""),"")</f>
        <v/>
      </c>
      <c r="O665" s="8" t="str">
        <f>IFERROR(__xludf.DUMMYFUNCTION("""COMPUTED_VALUE"""),"")</f>
        <v/>
      </c>
      <c r="P665" s="8"/>
      <c r="Q665" s="8"/>
    </row>
    <row r="666">
      <c r="A666" s="8"/>
      <c r="B666" s="25"/>
      <c r="C666" s="385" t="s">
        <v>1426</v>
      </c>
      <c r="D666" s="392"/>
      <c r="E666" s="8"/>
      <c r="F666" s="8"/>
      <c r="G666" s="389"/>
      <c r="H666" s="8" t="b">
        <v>0</v>
      </c>
      <c r="I666" s="388" t="str">
        <f>IFERROR(__xludf.DUMMYFUNCTION("""COMPUTED_VALUE"""),"")</f>
        <v/>
      </c>
      <c r="J666" s="7"/>
      <c r="K666" s="8"/>
      <c r="L666" s="8"/>
      <c r="M666" s="8"/>
      <c r="N666" s="8" t="str">
        <f>IFERROR(__xludf.DUMMYFUNCTION("""COMPUTED_VALUE"""),"")</f>
        <v/>
      </c>
      <c r="O666" s="8" t="str">
        <f>IFERROR(__xludf.DUMMYFUNCTION("""COMPUTED_VALUE"""),"")</f>
        <v/>
      </c>
      <c r="P666" s="8"/>
      <c r="Q666" s="8"/>
    </row>
    <row r="667">
      <c r="A667" s="8"/>
      <c r="B667" s="25"/>
      <c r="C667" s="385" t="s">
        <v>1426</v>
      </c>
      <c r="D667" s="392"/>
      <c r="E667" s="8"/>
      <c r="F667" s="8"/>
      <c r="G667" s="389"/>
      <c r="H667" s="8" t="b">
        <v>0</v>
      </c>
      <c r="I667" s="388" t="str">
        <f>IFERROR(__xludf.DUMMYFUNCTION("""COMPUTED_VALUE"""),"")</f>
        <v/>
      </c>
      <c r="J667" s="7"/>
      <c r="K667" s="8"/>
      <c r="L667" s="8"/>
      <c r="M667" s="8"/>
      <c r="N667" s="8" t="str">
        <f>IFERROR(__xludf.DUMMYFUNCTION("""COMPUTED_VALUE"""),"")</f>
        <v/>
      </c>
      <c r="O667" s="8" t="str">
        <f>IFERROR(__xludf.DUMMYFUNCTION("""COMPUTED_VALUE"""),"")</f>
        <v/>
      </c>
      <c r="P667" s="8"/>
      <c r="Q667" s="8"/>
    </row>
    <row r="668">
      <c r="A668" s="8"/>
      <c r="B668" s="25"/>
      <c r="C668" s="385" t="s">
        <v>1426</v>
      </c>
      <c r="D668" s="392"/>
      <c r="E668" s="8"/>
      <c r="F668" s="8"/>
      <c r="G668" s="389"/>
      <c r="H668" s="8" t="b">
        <v>0</v>
      </c>
      <c r="I668" s="388" t="str">
        <f>IFERROR(__xludf.DUMMYFUNCTION("""COMPUTED_VALUE"""),"")</f>
        <v/>
      </c>
      <c r="J668" s="7"/>
      <c r="K668" s="8"/>
      <c r="L668" s="8"/>
      <c r="M668" s="8"/>
      <c r="N668" s="8" t="str">
        <f>IFERROR(__xludf.DUMMYFUNCTION("""COMPUTED_VALUE"""),"")</f>
        <v/>
      </c>
      <c r="O668" s="8" t="str">
        <f>IFERROR(__xludf.DUMMYFUNCTION("""COMPUTED_VALUE"""),"")</f>
        <v/>
      </c>
      <c r="P668" s="8"/>
      <c r="Q668" s="8"/>
    </row>
    <row r="669">
      <c r="A669" s="8"/>
      <c r="B669" s="25"/>
      <c r="C669" s="385" t="s">
        <v>1426</v>
      </c>
      <c r="D669" s="392"/>
      <c r="E669" s="8"/>
      <c r="F669" s="8"/>
      <c r="G669" s="389"/>
      <c r="H669" s="8" t="b">
        <v>0</v>
      </c>
      <c r="I669" s="388" t="str">
        <f>IFERROR(__xludf.DUMMYFUNCTION("""COMPUTED_VALUE"""),"")</f>
        <v/>
      </c>
      <c r="J669" s="7"/>
      <c r="K669" s="8"/>
      <c r="L669" s="8"/>
      <c r="M669" s="8"/>
      <c r="N669" s="8" t="str">
        <f>IFERROR(__xludf.DUMMYFUNCTION("""COMPUTED_VALUE"""),"")</f>
        <v/>
      </c>
      <c r="O669" s="8" t="str">
        <f>IFERROR(__xludf.DUMMYFUNCTION("""COMPUTED_VALUE"""),"")</f>
        <v/>
      </c>
      <c r="P669" s="8"/>
      <c r="Q669" s="8"/>
    </row>
    <row r="670">
      <c r="A670" s="8"/>
      <c r="B670" s="25"/>
      <c r="C670" s="385" t="s">
        <v>1426</v>
      </c>
      <c r="D670" s="392"/>
      <c r="E670" s="8"/>
      <c r="F670" s="8"/>
      <c r="G670" s="389"/>
      <c r="H670" s="8" t="b">
        <v>0</v>
      </c>
      <c r="I670" s="388" t="str">
        <f>IFERROR(__xludf.DUMMYFUNCTION("""COMPUTED_VALUE"""),"")</f>
        <v/>
      </c>
      <c r="J670" s="7"/>
      <c r="K670" s="8"/>
      <c r="L670" s="8"/>
      <c r="M670" s="8"/>
      <c r="N670" s="8" t="str">
        <f>IFERROR(__xludf.DUMMYFUNCTION("""COMPUTED_VALUE"""),"")</f>
        <v/>
      </c>
      <c r="O670" s="8" t="str">
        <f>IFERROR(__xludf.DUMMYFUNCTION("""COMPUTED_VALUE"""),"")</f>
        <v/>
      </c>
      <c r="P670" s="8"/>
      <c r="Q670" s="8"/>
    </row>
    <row r="671">
      <c r="A671" s="8"/>
      <c r="B671" s="25"/>
      <c r="C671" s="385" t="s">
        <v>1426</v>
      </c>
      <c r="D671" s="392"/>
      <c r="E671" s="8"/>
      <c r="F671" s="8"/>
      <c r="G671" s="389"/>
      <c r="H671" s="8" t="b">
        <v>0</v>
      </c>
      <c r="I671" s="388" t="str">
        <f>IFERROR(__xludf.DUMMYFUNCTION("""COMPUTED_VALUE"""),"")</f>
        <v/>
      </c>
      <c r="J671" s="7"/>
      <c r="K671" s="8"/>
      <c r="L671" s="8"/>
      <c r="M671" s="8"/>
      <c r="N671" s="8" t="str">
        <f>IFERROR(__xludf.DUMMYFUNCTION("""COMPUTED_VALUE"""),"")</f>
        <v/>
      </c>
      <c r="O671" s="8" t="str">
        <f>IFERROR(__xludf.DUMMYFUNCTION("""COMPUTED_VALUE"""),"")</f>
        <v/>
      </c>
      <c r="P671" s="8"/>
      <c r="Q671" s="8"/>
    </row>
    <row r="672">
      <c r="A672" s="8"/>
      <c r="B672" s="25"/>
      <c r="C672" s="385" t="s">
        <v>1426</v>
      </c>
      <c r="D672" s="392"/>
      <c r="E672" s="8"/>
      <c r="F672" s="8"/>
      <c r="G672" s="389"/>
      <c r="H672" s="8" t="b">
        <v>0</v>
      </c>
      <c r="I672" s="388" t="str">
        <f>IFERROR(__xludf.DUMMYFUNCTION("""COMPUTED_VALUE"""),"")</f>
        <v/>
      </c>
      <c r="J672" s="7"/>
      <c r="K672" s="8"/>
      <c r="L672" s="8"/>
      <c r="M672" s="8"/>
      <c r="N672" s="8" t="str">
        <f>IFERROR(__xludf.DUMMYFUNCTION("""COMPUTED_VALUE"""),"")</f>
        <v/>
      </c>
      <c r="O672" s="8" t="str">
        <f>IFERROR(__xludf.DUMMYFUNCTION("""COMPUTED_VALUE"""),"")</f>
        <v/>
      </c>
      <c r="P672" s="8"/>
      <c r="Q672" s="8"/>
    </row>
    <row r="673">
      <c r="A673" s="8"/>
      <c r="B673" s="25"/>
      <c r="C673" s="385" t="s">
        <v>1426</v>
      </c>
      <c r="D673" s="392"/>
      <c r="E673" s="8"/>
      <c r="F673" s="8"/>
      <c r="G673" s="389"/>
      <c r="H673" s="8" t="b">
        <v>0</v>
      </c>
      <c r="I673" s="388" t="str">
        <f>IFERROR(__xludf.DUMMYFUNCTION("""COMPUTED_VALUE"""),"")</f>
        <v/>
      </c>
      <c r="J673" s="7"/>
      <c r="K673" s="8"/>
      <c r="L673" s="8"/>
      <c r="M673" s="8"/>
      <c r="N673" s="8" t="str">
        <f>IFERROR(__xludf.DUMMYFUNCTION("""COMPUTED_VALUE"""),"")</f>
        <v/>
      </c>
      <c r="O673" s="8" t="str">
        <f>IFERROR(__xludf.DUMMYFUNCTION("""COMPUTED_VALUE"""),"")</f>
        <v/>
      </c>
      <c r="P673" s="8"/>
      <c r="Q673" s="8"/>
    </row>
    <row r="674">
      <c r="A674" s="8"/>
      <c r="B674" s="25"/>
      <c r="C674" s="385" t="s">
        <v>1426</v>
      </c>
      <c r="D674" s="392"/>
      <c r="E674" s="8"/>
      <c r="F674" s="8"/>
      <c r="G674" s="389"/>
      <c r="H674" s="8" t="b">
        <v>0</v>
      </c>
      <c r="I674" s="388" t="str">
        <f>IFERROR(__xludf.DUMMYFUNCTION("""COMPUTED_VALUE"""),"")</f>
        <v/>
      </c>
      <c r="J674" s="7"/>
      <c r="K674" s="8"/>
      <c r="L674" s="8"/>
      <c r="M674" s="8"/>
      <c r="N674" s="8" t="str">
        <f>IFERROR(__xludf.DUMMYFUNCTION("""COMPUTED_VALUE"""),"")</f>
        <v/>
      </c>
      <c r="O674" s="8" t="str">
        <f>IFERROR(__xludf.DUMMYFUNCTION("""COMPUTED_VALUE"""),"")</f>
        <v/>
      </c>
      <c r="P674" s="8"/>
      <c r="Q674" s="8"/>
    </row>
    <row r="675">
      <c r="A675" s="8"/>
      <c r="B675" s="25"/>
      <c r="C675" s="385" t="s">
        <v>1426</v>
      </c>
      <c r="D675" s="392"/>
      <c r="E675" s="8"/>
      <c r="F675" s="8"/>
      <c r="G675" s="389"/>
      <c r="H675" s="8" t="b">
        <v>0</v>
      </c>
      <c r="I675" s="388" t="str">
        <f>IFERROR(__xludf.DUMMYFUNCTION("""COMPUTED_VALUE"""),"")</f>
        <v/>
      </c>
      <c r="J675" s="7"/>
      <c r="K675" s="8"/>
      <c r="L675" s="8"/>
      <c r="M675" s="8"/>
      <c r="N675" s="8" t="str">
        <f>IFERROR(__xludf.DUMMYFUNCTION("""COMPUTED_VALUE"""),"")</f>
        <v/>
      </c>
      <c r="O675" s="8" t="str">
        <f>IFERROR(__xludf.DUMMYFUNCTION("""COMPUTED_VALUE"""),"")</f>
        <v/>
      </c>
      <c r="P675" s="8"/>
      <c r="Q675" s="8"/>
    </row>
    <row r="676">
      <c r="A676" s="8"/>
      <c r="B676" s="25"/>
      <c r="C676" s="385" t="s">
        <v>1426</v>
      </c>
      <c r="D676" s="392"/>
      <c r="E676" s="8"/>
      <c r="F676" s="8"/>
      <c r="G676" s="389"/>
      <c r="H676" s="8" t="b">
        <v>0</v>
      </c>
      <c r="I676" s="388" t="str">
        <f>IFERROR(__xludf.DUMMYFUNCTION("""COMPUTED_VALUE"""),"")</f>
        <v/>
      </c>
      <c r="J676" s="7"/>
      <c r="K676" s="8"/>
      <c r="L676" s="8"/>
      <c r="M676" s="8"/>
      <c r="N676" s="8" t="str">
        <f>IFERROR(__xludf.DUMMYFUNCTION("""COMPUTED_VALUE"""),"")</f>
        <v/>
      </c>
      <c r="O676" s="8" t="str">
        <f>IFERROR(__xludf.DUMMYFUNCTION("""COMPUTED_VALUE"""),"")</f>
        <v/>
      </c>
      <c r="P676" s="8"/>
      <c r="Q676" s="8"/>
    </row>
    <row r="677">
      <c r="A677" s="8"/>
      <c r="B677" s="25"/>
      <c r="C677" s="385" t="s">
        <v>1426</v>
      </c>
      <c r="D677" s="392"/>
      <c r="E677" s="8"/>
      <c r="F677" s="8"/>
      <c r="G677" s="389"/>
      <c r="H677" s="8" t="b">
        <v>0</v>
      </c>
      <c r="I677" s="388" t="str">
        <f>IFERROR(__xludf.DUMMYFUNCTION("""COMPUTED_VALUE"""),"")</f>
        <v/>
      </c>
      <c r="J677" s="7"/>
      <c r="K677" s="8"/>
      <c r="L677" s="8"/>
      <c r="M677" s="8"/>
      <c r="N677" s="8" t="str">
        <f>IFERROR(__xludf.DUMMYFUNCTION("""COMPUTED_VALUE"""),"")</f>
        <v/>
      </c>
      <c r="O677" s="8" t="str">
        <f>IFERROR(__xludf.DUMMYFUNCTION("""COMPUTED_VALUE"""),"")</f>
        <v/>
      </c>
      <c r="P677" s="8"/>
      <c r="Q677" s="8"/>
    </row>
    <row r="678">
      <c r="A678" s="8"/>
      <c r="B678" s="25"/>
      <c r="C678" s="385" t="s">
        <v>1426</v>
      </c>
      <c r="D678" s="392"/>
      <c r="E678" s="8"/>
      <c r="F678" s="8"/>
      <c r="G678" s="389"/>
      <c r="H678" s="8" t="b">
        <v>0</v>
      </c>
      <c r="I678" s="388" t="str">
        <f>IFERROR(__xludf.DUMMYFUNCTION("""COMPUTED_VALUE"""),"")</f>
        <v/>
      </c>
      <c r="J678" s="7"/>
      <c r="K678" s="8"/>
      <c r="L678" s="8"/>
      <c r="M678" s="8"/>
      <c r="N678" s="8" t="str">
        <f>IFERROR(__xludf.DUMMYFUNCTION("""COMPUTED_VALUE"""),"")</f>
        <v/>
      </c>
      <c r="O678" s="8" t="str">
        <f>IFERROR(__xludf.DUMMYFUNCTION("""COMPUTED_VALUE"""),"")</f>
        <v/>
      </c>
      <c r="P678" s="8"/>
      <c r="Q678" s="8"/>
    </row>
    <row r="679">
      <c r="A679" s="8"/>
      <c r="B679" s="25"/>
      <c r="C679" s="385" t="s">
        <v>1426</v>
      </c>
      <c r="D679" s="392"/>
      <c r="E679" s="8"/>
      <c r="F679" s="8"/>
      <c r="G679" s="389"/>
      <c r="H679" s="8" t="b">
        <v>0</v>
      </c>
      <c r="I679" s="388" t="str">
        <f>IFERROR(__xludf.DUMMYFUNCTION("""COMPUTED_VALUE"""),"")</f>
        <v/>
      </c>
      <c r="J679" s="7"/>
      <c r="K679" s="8"/>
      <c r="L679" s="8"/>
      <c r="M679" s="8"/>
      <c r="N679" s="8" t="str">
        <f>IFERROR(__xludf.DUMMYFUNCTION("""COMPUTED_VALUE"""),"")</f>
        <v/>
      </c>
      <c r="O679" s="8" t="str">
        <f>IFERROR(__xludf.DUMMYFUNCTION("""COMPUTED_VALUE"""),"")</f>
        <v/>
      </c>
      <c r="P679" s="8"/>
      <c r="Q679" s="8"/>
    </row>
    <row r="680">
      <c r="A680" s="8"/>
      <c r="B680" s="25"/>
      <c r="C680" s="385" t="s">
        <v>1426</v>
      </c>
      <c r="D680" s="392"/>
      <c r="E680" s="8"/>
      <c r="F680" s="8"/>
      <c r="G680" s="389"/>
      <c r="H680" s="8" t="b">
        <v>0</v>
      </c>
      <c r="I680" s="388" t="str">
        <f>IFERROR(__xludf.DUMMYFUNCTION("""COMPUTED_VALUE"""),"")</f>
        <v/>
      </c>
      <c r="J680" s="7"/>
      <c r="K680" s="8"/>
      <c r="L680" s="8"/>
      <c r="M680" s="8"/>
      <c r="N680" s="8" t="str">
        <f>IFERROR(__xludf.DUMMYFUNCTION("""COMPUTED_VALUE"""),"")</f>
        <v/>
      </c>
      <c r="O680" s="8" t="str">
        <f>IFERROR(__xludf.DUMMYFUNCTION("""COMPUTED_VALUE"""),"")</f>
        <v/>
      </c>
      <c r="P680" s="8"/>
      <c r="Q680" s="8"/>
    </row>
    <row r="681">
      <c r="A681" s="8"/>
      <c r="B681" s="25"/>
      <c r="C681" s="385" t="s">
        <v>1426</v>
      </c>
      <c r="D681" s="392"/>
      <c r="E681" s="8"/>
      <c r="F681" s="8"/>
      <c r="G681" s="389"/>
      <c r="H681" s="8" t="b">
        <v>0</v>
      </c>
      <c r="I681" s="388" t="str">
        <f>IFERROR(__xludf.DUMMYFUNCTION("""COMPUTED_VALUE"""),"")</f>
        <v/>
      </c>
      <c r="J681" s="7"/>
      <c r="K681" s="8"/>
      <c r="L681" s="8"/>
      <c r="M681" s="8"/>
      <c r="N681" s="8" t="str">
        <f>IFERROR(__xludf.DUMMYFUNCTION("""COMPUTED_VALUE"""),"")</f>
        <v/>
      </c>
      <c r="O681" s="8" t="str">
        <f>IFERROR(__xludf.DUMMYFUNCTION("""COMPUTED_VALUE"""),"")</f>
        <v/>
      </c>
      <c r="P681" s="8"/>
      <c r="Q681" s="8"/>
    </row>
    <row r="682">
      <c r="A682" s="8"/>
      <c r="B682" s="25"/>
      <c r="C682" s="385" t="s">
        <v>1426</v>
      </c>
      <c r="D682" s="392"/>
      <c r="E682" s="8"/>
      <c r="F682" s="8"/>
      <c r="G682" s="389"/>
      <c r="H682" s="8" t="b">
        <v>0</v>
      </c>
      <c r="I682" s="388" t="str">
        <f>IFERROR(__xludf.DUMMYFUNCTION("""COMPUTED_VALUE"""),"")</f>
        <v/>
      </c>
      <c r="J682" s="7"/>
      <c r="K682" s="8"/>
      <c r="L682" s="8"/>
      <c r="M682" s="8"/>
      <c r="N682" s="8" t="str">
        <f>IFERROR(__xludf.DUMMYFUNCTION("""COMPUTED_VALUE"""),"")</f>
        <v/>
      </c>
      <c r="O682" s="8" t="str">
        <f>IFERROR(__xludf.DUMMYFUNCTION("""COMPUTED_VALUE"""),"")</f>
        <v/>
      </c>
      <c r="P682" s="8"/>
      <c r="Q682" s="8"/>
    </row>
    <row r="683">
      <c r="A683" s="8"/>
      <c r="B683" s="25"/>
      <c r="C683" s="385" t="s">
        <v>1426</v>
      </c>
      <c r="D683" s="392"/>
      <c r="E683" s="8"/>
      <c r="F683" s="8"/>
      <c r="G683" s="389"/>
      <c r="H683" s="8" t="b">
        <v>0</v>
      </c>
      <c r="I683" s="388" t="str">
        <f>IFERROR(__xludf.DUMMYFUNCTION("""COMPUTED_VALUE"""),"")</f>
        <v/>
      </c>
      <c r="J683" s="7"/>
      <c r="K683" s="8"/>
      <c r="L683" s="8"/>
      <c r="M683" s="8"/>
      <c r="N683" s="8" t="str">
        <f>IFERROR(__xludf.DUMMYFUNCTION("""COMPUTED_VALUE"""),"")</f>
        <v/>
      </c>
      <c r="O683" s="8" t="str">
        <f>IFERROR(__xludf.DUMMYFUNCTION("""COMPUTED_VALUE"""),"")</f>
        <v/>
      </c>
      <c r="P683" s="8"/>
      <c r="Q683" s="8"/>
    </row>
    <row r="684">
      <c r="A684" s="8"/>
      <c r="B684" s="25"/>
      <c r="C684" s="385" t="s">
        <v>1426</v>
      </c>
      <c r="D684" s="392"/>
      <c r="E684" s="8"/>
      <c r="F684" s="8"/>
      <c r="G684" s="389"/>
      <c r="H684" s="8" t="b">
        <v>0</v>
      </c>
      <c r="I684" s="388" t="str">
        <f>IFERROR(__xludf.DUMMYFUNCTION("""COMPUTED_VALUE"""),"")</f>
        <v/>
      </c>
      <c r="J684" s="7"/>
      <c r="K684" s="8"/>
      <c r="L684" s="8"/>
      <c r="M684" s="8"/>
      <c r="N684" s="8" t="str">
        <f>IFERROR(__xludf.DUMMYFUNCTION("""COMPUTED_VALUE"""),"")</f>
        <v/>
      </c>
      <c r="O684" s="8" t="str">
        <f>IFERROR(__xludf.DUMMYFUNCTION("""COMPUTED_VALUE"""),"")</f>
        <v/>
      </c>
      <c r="P684" s="8"/>
      <c r="Q684" s="8"/>
    </row>
    <row r="685">
      <c r="A685" s="8"/>
      <c r="B685" s="25"/>
      <c r="C685" s="385" t="s">
        <v>1426</v>
      </c>
      <c r="D685" s="392"/>
      <c r="E685" s="8"/>
      <c r="F685" s="8"/>
      <c r="G685" s="389"/>
      <c r="H685" s="8" t="b">
        <v>0</v>
      </c>
      <c r="I685" s="388" t="str">
        <f>IFERROR(__xludf.DUMMYFUNCTION("""COMPUTED_VALUE"""),"")</f>
        <v/>
      </c>
      <c r="J685" s="7"/>
      <c r="K685" s="8"/>
      <c r="L685" s="8"/>
      <c r="M685" s="8"/>
      <c r="N685" s="8" t="str">
        <f>IFERROR(__xludf.DUMMYFUNCTION("""COMPUTED_VALUE"""),"")</f>
        <v/>
      </c>
      <c r="O685" s="8" t="str">
        <f>IFERROR(__xludf.DUMMYFUNCTION("""COMPUTED_VALUE"""),"")</f>
        <v/>
      </c>
      <c r="P685" s="8"/>
      <c r="Q685" s="8"/>
    </row>
    <row r="686">
      <c r="A686" s="8"/>
      <c r="B686" s="25"/>
      <c r="C686" s="385" t="s">
        <v>1426</v>
      </c>
      <c r="D686" s="392"/>
      <c r="E686" s="8"/>
      <c r="F686" s="8"/>
      <c r="G686" s="389"/>
      <c r="H686" s="8" t="b">
        <v>0</v>
      </c>
      <c r="I686" s="388" t="str">
        <f>IFERROR(__xludf.DUMMYFUNCTION("""COMPUTED_VALUE"""),"")</f>
        <v/>
      </c>
      <c r="J686" s="7"/>
      <c r="K686" s="8"/>
      <c r="L686" s="8"/>
      <c r="M686" s="8"/>
      <c r="N686" s="8" t="str">
        <f>IFERROR(__xludf.DUMMYFUNCTION("""COMPUTED_VALUE"""),"")</f>
        <v/>
      </c>
      <c r="O686" s="8" t="str">
        <f>IFERROR(__xludf.DUMMYFUNCTION("""COMPUTED_VALUE"""),"")</f>
        <v/>
      </c>
      <c r="P686" s="8"/>
      <c r="Q686" s="8"/>
    </row>
    <row r="687">
      <c r="A687" s="8"/>
      <c r="B687" s="25"/>
      <c r="C687" s="385" t="s">
        <v>1426</v>
      </c>
      <c r="D687" s="392"/>
      <c r="E687" s="8"/>
      <c r="F687" s="8"/>
      <c r="G687" s="389"/>
      <c r="H687" s="8" t="b">
        <v>0</v>
      </c>
      <c r="I687" s="388" t="str">
        <f>IFERROR(__xludf.DUMMYFUNCTION("""COMPUTED_VALUE"""),"")</f>
        <v/>
      </c>
      <c r="J687" s="7"/>
      <c r="K687" s="8"/>
      <c r="L687" s="8"/>
      <c r="M687" s="8"/>
      <c r="N687" s="8" t="str">
        <f>IFERROR(__xludf.DUMMYFUNCTION("""COMPUTED_VALUE"""),"")</f>
        <v/>
      </c>
      <c r="O687" s="8" t="str">
        <f>IFERROR(__xludf.DUMMYFUNCTION("""COMPUTED_VALUE"""),"")</f>
        <v/>
      </c>
      <c r="P687" s="8"/>
      <c r="Q687" s="8"/>
    </row>
    <row r="688">
      <c r="A688" s="8"/>
      <c r="B688" s="25"/>
      <c r="C688" s="385" t="s">
        <v>1426</v>
      </c>
      <c r="D688" s="392"/>
      <c r="E688" s="8"/>
      <c r="F688" s="8"/>
      <c r="G688" s="389"/>
      <c r="H688" s="8" t="b">
        <v>0</v>
      </c>
      <c r="I688" s="388" t="str">
        <f>IFERROR(__xludf.DUMMYFUNCTION("""COMPUTED_VALUE"""),"")</f>
        <v/>
      </c>
      <c r="J688" s="7"/>
      <c r="K688" s="8"/>
      <c r="L688" s="8"/>
      <c r="M688" s="8"/>
      <c r="N688" s="8" t="str">
        <f>IFERROR(__xludf.DUMMYFUNCTION("""COMPUTED_VALUE"""),"")</f>
        <v/>
      </c>
      <c r="O688" s="8" t="str">
        <f>IFERROR(__xludf.DUMMYFUNCTION("""COMPUTED_VALUE"""),"")</f>
        <v/>
      </c>
      <c r="P688" s="8"/>
      <c r="Q688" s="8"/>
    </row>
    <row r="689">
      <c r="A689" s="8"/>
      <c r="B689" s="25"/>
      <c r="C689" s="385" t="s">
        <v>1426</v>
      </c>
      <c r="D689" s="392"/>
      <c r="E689" s="8"/>
      <c r="F689" s="8"/>
      <c r="G689" s="389"/>
      <c r="H689" s="8" t="b">
        <v>0</v>
      </c>
      <c r="I689" s="388" t="str">
        <f>IFERROR(__xludf.DUMMYFUNCTION("""COMPUTED_VALUE"""),"")</f>
        <v/>
      </c>
      <c r="J689" s="7"/>
      <c r="K689" s="8"/>
      <c r="L689" s="8"/>
      <c r="M689" s="8"/>
      <c r="N689" s="8" t="str">
        <f>IFERROR(__xludf.DUMMYFUNCTION("""COMPUTED_VALUE"""),"")</f>
        <v/>
      </c>
      <c r="O689" s="8" t="str">
        <f>IFERROR(__xludf.DUMMYFUNCTION("""COMPUTED_VALUE"""),"")</f>
        <v/>
      </c>
      <c r="P689" s="8"/>
      <c r="Q689" s="8"/>
    </row>
    <row r="690">
      <c r="A690" s="8"/>
      <c r="B690" s="25"/>
      <c r="C690" s="385" t="s">
        <v>1426</v>
      </c>
      <c r="D690" s="392"/>
      <c r="E690" s="8"/>
      <c r="F690" s="8"/>
      <c r="G690" s="389"/>
      <c r="H690" s="8" t="b">
        <v>0</v>
      </c>
      <c r="I690" s="388" t="str">
        <f>IFERROR(__xludf.DUMMYFUNCTION("""COMPUTED_VALUE"""),"")</f>
        <v/>
      </c>
      <c r="J690" s="7"/>
      <c r="K690" s="8"/>
      <c r="L690" s="8"/>
      <c r="M690" s="8"/>
      <c r="N690" s="8" t="str">
        <f>IFERROR(__xludf.DUMMYFUNCTION("""COMPUTED_VALUE"""),"")</f>
        <v/>
      </c>
      <c r="O690" s="8" t="str">
        <f>IFERROR(__xludf.DUMMYFUNCTION("""COMPUTED_VALUE"""),"")</f>
        <v/>
      </c>
      <c r="P690" s="8"/>
      <c r="Q690" s="8"/>
    </row>
    <row r="691">
      <c r="A691" s="8"/>
      <c r="B691" s="25"/>
      <c r="C691" s="385" t="s">
        <v>1426</v>
      </c>
      <c r="D691" s="392"/>
      <c r="E691" s="8"/>
      <c r="F691" s="8"/>
      <c r="G691" s="389"/>
      <c r="H691" s="8" t="b">
        <v>0</v>
      </c>
      <c r="I691" s="388" t="str">
        <f>IFERROR(__xludf.DUMMYFUNCTION("""COMPUTED_VALUE"""),"")</f>
        <v/>
      </c>
      <c r="J691" s="7"/>
      <c r="K691" s="8"/>
      <c r="L691" s="8"/>
      <c r="M691" s="8"/>
      <c r="N691" s="8" t="str">
        <f>IFERROR(__xludf.DUMMYFUNCTION("""COMPUTED_VALUE"""),"")</f>
        <v/>
      </c>
      <c r="O691" s="8" t="str">
        <f>IFERROR(__xludf.DUMMYFUNCTION("""COMPUTED_VALUE"""),"")</f>
        <v/>
      </c>
      <c r="P691" s="8"/>
      <c r="Q691" s="8"/>
    </row>
    <row r="692">
      <c r="A692" s="8"/>
      <c r="B692" s="25"/>
      <c r="C692" s="385" t="s">
        <v>1426</v>
      </c>
      <c r="D692" s="392"/>
      <c r="E692" s="8"/>
      <c r="F692" s="8"/>
      <c r="G692" s="389"/>
      <c r="H692" s="8" t="b">
        <v>0</v>
      </c>
      <c r="I692" s="388" t="str">
        <f>IFERROR(__xludf.DUMMYFUNCTION("""COMPUTED_VALUE"""),"")</f>
        <v/>
      </c>
      <c r="J692" s="7"/>
      <c r="K692" s="8"/>
      <c r="L692" s="8"/>
      <c r="M692" s="8"/>
      <c r="N692" s="8" t="str">
        <f>IFERROR(__xludf.DUMMYFUNCTION("""COMPUTED_VALUE"""),"")</f>
        <v/>
      </c>
      <c r="O692" s="8" t="str">
        <f>IFERROR(__xludf.DUMMYFUNCTION("""COMPUTED_VALUE"""),"")</f>
        <v/>
      </c>
      <c r="P692" s="8"/>
      <c r="Q692" s="8"/>
    </row>
    <row r="693">
      <c r="A693" s="8"/>
      <c r="B693" s="25"/>
      <c r="C693" s="385" t="s">
        <v>1426</v>
      </c>
      <c r="D693" s="392"/>
      <c r="E693" s="8"/>
      <c r="F693" s="8"/>
      <c r="G693" s="389"/>
      <c r="H693" s="8" t="b">
        <v>0</v>
      </c>
      <c r="I693" s="388" t="str">
        <f>IFERROR(__xludf.DUMMYFUNCTION("""COMPUTED_VALUE"""),"")</f>
        <v/>
      </c>
      <c r="J693" s="7"/>
      <c r="K693" s="8"/>
      <c r="L693" s="8"/>
      <c r="M693" s="8"/>
      <c r="N693" s="8" t="str">
        <f>IFERROR(__xludf.DUMMYFUNCTION("""COMPUTED_VALUE"""),"")</f>
        <v/>
      </c>
      <c r="O693" s="8" t="str">
        <f>IFERROR(__xludf.DUMMYFUNCTION("""COMPUTED_VALUE"""),"")</f>
        <v/>
      </c>
      <c r="P693" s="8"/>
      <c r="Q693" s="8"/>
    </row>
    <row r="694">
      <c r="A694" s="8"/>
      <c r="B694" s="25"/>
      <c r="C694" s="385" t="s">
        <v>1426</v>
      </c>
      <c r="D694" s="392"/>
      <c r="E694" s="8"/>
      <c r="F694" s="8"/>
      <c r="G694" s="389"/>
      <c r="H694" s="8" t="b">
        <v>0</v>
      </c>
      <c r="I694" s="388" t="str">
        <f>IFERROR(__xludf.DUMMYFUNCTION("""COMPUTED_VALUE"""),"")</f>
        <v/>
      </c>
      <c r="J694" s="7"/>
      <c r="K694" s="8"/>
      <c r="L694" s="8"/>
      <c r="M694" s="8"/>
      <c r="N694" s="8" t="str">
        <f>IFERROR(__xludf.DUMMYFUNCTION("""COMPUTED_VALUE"""),"")</f>
        <v/>
      </c>
      <c r="O694" s="8" t="str">
        <f>IFERROR(__xludf.DUMMYFUNCTION("""COMPUTED_VALUE"""),"")</f>
        <v/>
      </c>
      <c r="P694" s="8"/>
      <c r="Q694" s="8"/>
    </row>
    <row r="695">
      <c r="A695" s="8"/>
      <c r="B695" s="25"/>
      <c r="C695" s="385" t="s">
        <v>1426</v>
      </c>
      <c r="D695" s="392"/>
      <c r="E695" s="8"/>
      <c r="F695" s="8"/>
      <c r="G695" s="389"/>
      <c r="H695" s="8" t="b">
        <v>0</v>
      </c>
      <c r="I695" s="388" t="str">
        <f>IFERROR(__xludf.DUMMYFUNCTION("""COMPUTED_VALUE"""),"")</f>
        <v/>
      </c>
      <c r="J695" s="7"/>
      <c r="K695" s="8"/>
      <c r="L695" s="8"/>
      <c r="M695" s="8"/>
      <c r="N695" s="8" t="str">
        <f>IFERROR(__xludf.DUMMYFUNCTION("""COMPUTED_VALUE"""),"")</f>
        <v/>
      </c>
      <c r="O695" s="8" t="str">
        <f>IFERROR(__xludf.DUMMYFUNCTION("""COMPUTED_VALUE"""),"")</f>
        <v/>
      </c>
      <c r="P695" s="8"/>
      <c r="Q695" s="8"/>
    </row>
    <row r="696">
      <c r="A696" s="8"/>
      <c r="B696" s="25"/>
      <c r="C696" s="385" t="s">
        <v>1426</v>
      </c>
      <c r="D696" s="392"/>
      <c r="E696" s="8"/>
      <c r="F696" s="8"/>
      <c r="G696" s="389"/>
      <c r="H696" s="8" t="b">
        <v>0</v>
      </c>
      <c r="I696" s="388" t="str">
        <f>IFERROR(__xludf.DUMMYFUNCTION("""COMPUTED_VALUE"""),"")</f>
        <v/>
      </c>
      <c r="J696" s="7"/>
      <c r="K696" s="8"/>
      <c r="L696" s="8"/>
      <c r="M696" s="8"/>
      <c r="N696" s="8" t="str">
        <f>IFERROR(__xludf.DUMMYFUNCTION("""COMPUTED_VALUE"""),"")</f>
        <v/>
      </c>
      <c r="O696" s="8" t="str">
        <f>IFERROR(__xludf.DUMMYFUNCTION("""COMPUTED_VALUE"""),"")</f>
        <v/>
      </c>
      <c r="P696" s="8"/>
      <c r="Q696" s="8"/>
    </row>
    <row r="697">
      <c r="A697" s="8"/>
      <c r="B697" s="25"/>
      <c r="C697" s="385" t="s">
        <v>1426</v>
      </c>
      <c r="D697" s="392"/>
      <c r="E697" s="8"/>
      <c r="F697" s="8"/>
      <c r="G697" s="389"/>
      <c r="H697" s="8" t="b">
        <v>0</v>
      </c>
      <c r="I697" s="388" t="str">
        <f>IFERROR(__xludf.DUMMYFUNCTION("""COMPUTED_VALUE"""),"")</f>
        <v/>
      </c>
      <c r="J697" s="7"/>
      <c r="K697" s="8"/>
      <c r="L697" s="8"/>
      <c r="M697" s="8"/>
      <c r="N697" s="8" t="str">
        <f>IFERROR(__xludf.DUMMYFUNCTION("""COMPUTED_VALUE"""),"")</f>
        <v/>
      </c>
      <c r="O697" s="8" t="str">
        <f>IFERROR(__xludf.DUMMYFUNCTION("""COMPUTED_VALUE"""),"")</f>
        <v/>
      </c>
      <c r="P697" s="8"/>
      <c r="Q697" s="8"/>
    </row>
    <row r="698">
      <c r="A698" s="8"/>
      <c r="B698" s="25"/>
      <c r="C698" s="385" t="s">
        <v>1426</v>
      </c>
      <c r="D698" s="392"/>
      <c r="E698" s="8"/>
      <c r="F698" s="8"/>
      <c r="G698" s="389"/>
      <c r="H698" s="8" t="b">
        <v>0</v>
      </c>
      <c r="I698" s="388" t="str">
        <f>IFERROR(__xludf.DUMMYFUNCTION("""COMPUTED_VALUE"""),"")</f>
        <v/>
      </c>
      <c r="J698" s="7"/>
      <c r="K698" s="8"/>
      <c r="L698" s="8"/>
      <c r="M698" s="8"/>
      <c r="N698" s="8" t="str">
        <f>IFERROR(__xludf.DUMMYFUNCTION("""COMPUTED_VALUE"""),"")</f>
        <v/>
      </c>
      <c r="O698" s="8" t="str">
        <f>IFERROR(__xludf.DUMMYFUNCTION("""COMPUTED_VALUE"""),"")</f>
        <v/>
      </c>
      <c r="P698" s="8"/>
      <c r="Q698" s="8"/>
    </row>
    <row r="699">
      <c r="A699" s="8"/>
      <c r="B699" s="25"/>
      <c r="C699" s="385" t="s">
        <v>1426</v>
      </c>
      <c r="D699" s="392"/>
      <c r="E699" s="8"/>
      <c r="F699" s="8"/>
      <c r="G699" s="389"/>
      <c r="H699" s="8" t="b">
        <v>0</v>
      </c>
      <c r="I699" s="388" t="str">
        <f>IFERROR(__xludf.DUMMYFUNCTION("""COMPUTED_VALUE"""),"")</f>
        <v/>
      </c>
      <c r="J699" s="7"/>
      <c r="K699" s="8"/>
      <c r="L699" s="8"/>
      <c r="M699" s="8"/>
      <c r="N699" s="8" t="str">
        <f>IFERROR(__xludf.DUMMYFUNCTION("""COMPUTED_VALUE"""),"")</f>
        <v/>
      </c>
      <c r="O699" s="8" t="str">
        <f>IFERROR(__xludf.DUMMYFUNCTION("""COMPUTED_VALUE"""),"")</f>
        <v/>
      </c>
      <c r="P699" s="8"/>
      <c r="Q699" s="8"/>
    </row>
    <row r="700">
      <c r="A700" s="8"/>
      <c r="B700" s="25"/>
      <c r="C700" s="385" t="s">
        <v>1426</v>
      </c>
      <c r="D700" s="392"/>
      <c r="E700" s="8"/>
      <c r="F700" s="8"/>
      <c r="G700" s="389"/>
      <c r="H700" s="8" t="b">
        <v>0</v>
      </c>
      <c r="I700" s="388" t="str">
        <f>IFERROR(__xludf.DUMMYFUNCTION("""COMPUTED_VALUE"""),"")</f>
        <v/>
      </c>
      <c r="J700" s="7"/>
      <c r="K700" s="8"/>
      <c r="L700" s="8"/>
      <c r="M700" s="8"/>
      <c r="N700" s="8" t="str">
        <f>IFERROR(__xludf.DUMMYFUNCTION("""COMPUTED_VALUE"""),"")</f>
        <v/>
      </c>
      <c r="O700" s="8" t="str">
        <f>IFERROR(__xludf.DUMMYFUNCTION("""COMPUTED_VALUE"""),"")</f>
        <v/>
      </c>
      <c r="P700" s="8"/>
      <c r="Q700" s="8"/>
    </row>
    <row r="701">
      <c r="A701" s="8"/>
      <c r="B701" s="25"/>
      <c r="C701" s="385" t="s">
        <v>1426</v>
      </c>
      <c r="D701" s="392"/>
      <c r="E701" s="8"/>
      <c r="F701" s="8"/>
      <c r="G701" s="389"/>
      <c r="H701" s="8" t="b">
        <v>0</v>
      </c>
      <c r="I701" s="388" t="str">
        <f>IFERROR(__xludf.DUMMYFUNCTION("""COMPUTED_VALUE"""),"")</f>
        <v/>
      </c>
      <c r="J701" s="7"/>
      <c r="K701" s="8"/>
      <c r="L701" s="8"/>
      <c r="M701" s="8"/>
      <c r="N701" s="8" t="str">
        <f>IFERROR(__xludf.DUMMYFUNCTION("""COMPUTED_VALUE"""),"")</f>
        <v/>
      </c>
      <c r="O701" s="8" t="str">
        <f>IFERROR(__xludf.DUMMYFUNCTION("""COMPUTED_VALUE"""),"")</f>
        <v/>
      </c>
      <c r="P701" s="8"/>
      <c r="Q701" s="8"/>
    </row>
    <row r="702">
      <c r="A702" s="8"/>
      <c r="B702" s="25"/>
      <c r="C702" s="385" t="s">
        <v>1426</v>
      </c>
      <c r="D702" s="392"/>
      <c r="E702" s="8"/>
      <c r="F702" s="8"/>
      <c r="G702" s="389"/>
      <c r="H702" s="8" t="b">
        <v>0</v>
      </c>
      <c r="I702" s="388" t="str">
        <f>IFERROR(__xludf.DUMMYFUNCTION("""COMPUTED_VALUE"""),"")</f>
        <v/>
      </c>
      <c r="J702" s="7"/>
      <c r="K702" s="8"/>
      <c r="L702" s="8"/>
      <c r="M702" s="8"/>
      <c r="N702" s="8" t="str">
        <f>IFERROR(__xludf.DUMMYFUNCTION("""COMPUTED_VALUE"""),"")</f>
        <v/>
      </c>
      <c r="O702" s="8" t="str">
        <f>IFERROR(__xludf.DUMMYFUNCTION("""COMPUTED_VALUE"""),"")</f>
        <v/>
      </c>
      <c r="P702" s="8"/>
      <c r="Q702" s="8"/>
    </row>
    <row r="703">
      <c r="A703" s="8"/>
      <c r="B703" s="25"/>
      <c r="C703" s="385" t="s">
        <v>1426</v>
      </c>
      <c r="D703" s="392"/>
      <c r="E703" s="8"/>
      <c r="F703" s="8"/>
      <c r="G703" s="389"/>
      <c r="H703" s="8" t="b">
        <v>0</v>
      </c>
      <c r="I703" s="388" t="str">
        <f>IFERROR(__xludf.DUMMYFUNCTION("""COMPUTED_VALUE"""),"")</f>
        <v/>
      </c>
      <c r="J703" s="7"/>
      <c r="K703" s="8"/>
      <c r="L703" s="8"/>
      <c r="M703" s="8"/>
      <c r="N703" s="8" t="str">
        <f>IFERROR(__xludf.DUMMYFUNCTION("""COMPUTED_VALUE"""),"")</f>
        <v/>
      </c>
      <c r="O703" s="8" t="str">
        <f>IFERROR(__xludf.DUMMYFUNCTION("""COMPUTED_VALUE"""),"")</f>
        <v/>
      </c>
      <c r="P703" s="8"/>
      <c r="Q703" s="8"/>
    </row>
    <row r="704">
      <c r="A704" s="8"/>
      <c r="B704" s="25"/>
      <c r="C704" s="385" t="s">
        <v>1426</v>
      </c>
      <c r="D704" s="392"/>
      <c r="E704" s="8"/>
      <c r="F704" s="8"/>
      <c r="G704" s="389"/>
      <c r="H704" s="8" t="b">
        <v>0</v>
      </c>
      <c r="I704" s="388" t="str">
        <f>IFERROR(__xludf.DUMMYFUNCTION("""COMPUTED_VALUE"""),"")</f>
        <v/>
      </c>
      <c r="J704" s="7"/>
      <c r="K704" s="8"/>
      <c r="L704" s="8"/>
      <c r="M704" s="8"/>
      <c r="N704" s="8" t="str">
        <f>IFERROR(__xludf.DUMMYFUNCTION("""COMPUTED_VALUE"""),"")</f>
        <v/>
      </c>
      <c r="O704" s="8" t="str">
        <f>IFERROR(__xludf.DUMMYFUNCTION("""COMPUTED_VALUE"""),"")</f>
        <v/>
      </c>
      <c r="P704" s="8"/>
      <c r="Q704" s="8"/>
    </row>
    <row r="705">
      <c r="A705" s="8"/>
      <c r="B705" s="25"/>
      <c r="C705" s="385" t="s">
        <v>1426</v>
      </c>
      <c r="D705" s="392"/>
      <c r="E705" s="8"/>
      <c r="F705" s="8"/>
      <c r="G705" s="389"/>
      <c r="H705" s="8" t="b">
        <v>0</v>
      </c>
      <c r="I705" s="388" t="str">
        <f>IFERROR(__xludf.DUMMYFUNCTION("""COMPUTED_VALUE"""),"")</f>
        <v/>
      </c>
      <c r="J705" s="7"/>
      <c r="K705" s="8"/>
      <c r="L705" s="8"/>
      <c r="M705" s="8"/>
      <c r="N705" s="8" t="str">
        <f>IFERROR(__xludf.DUMMYFUNCTION("""COMPUTED_VALUE"""),"")</f>
        <v/>
      </c>
      <c r="O705" s="8" t="str">
        <f>IFERROR(__xludf.DUMMYFUNCTION("""COMPUTED_VALUE"""),"")</f>
        <v/>
      </c>
      <c r="P705" s="8"/>
      <c r="Q705" s="8"/>
    </row>
    <row r="706">
      <c r="A706" s="8"/>
      <c r="B706" s="25"/>
      <c r="C706" s="385" t="s">
        <v>1426</v>
      </c>
      <c r="D706" s="392"/>
      <c r="E706" s="8"/>
      <c r="F706" s="8"/>
      <c r="G706" s="389"/>
      <c r="H706" s="8" t="b">
        <v>0</v>
      </c>
      <c r="I706" s="388" t="str">
        <f>IFERROR(__xludf.DUMMYFUNCTION("""COMPUTED_VALUE"""),"")</f>
        <v/>
      </c>
      <c r="J706" s="7"/>
      <c r="K706" s="8"/>
      <c r="L706" s="8"/>
      <c r="M706" s="8"/>
      <c r="N706" s="8" t="str">
        <f>IFERROR(__xludf.DUMMYFUNCTION("""COMPUTED_VALUE"""),"")</f>
        <v/>
      </c>
      <c r="O706" s="8" t="str">
        <f>IFERROR(__xludf.DUMMYFUNCTION("""COMPUTED_VALUE"""),"")</f>
        <v/>
      </c>
      <c r="P706" s="8"/>
      <c r="Q706" s="8"/>
    </row>
    <row r="707">
      <c r="A707" s="8"/>
      <c r="B707" s="25"/>
      <c r="C707" s="385" t="s">
        <v>1426</v>
      </c>
      <c r="D707" s="392"/>
      <c r="E707" s="8"/>
      <c r="F707" s="8"/>
      <c r="G707" s="389"/>
      <c r="H707" s="8" t="b">
        <v>0</v>
      </c>
      <c r="I707" s="388" t="str">
        <f>IFERROR(__xludf.DUMMYFUNCTION("""COMPUTED_VALUE"""),"")</f>
        <v/>
      </c>
      <c r="J707" s="7"/>
      <c r="K707" s="8"/>
      <c r="L707" s="8"/>
      <c r="M707" s="8"/>
      <c r="N707" s="8" t="str">
        <f>IFERROR(__xludf.DUMMYFUNCTION("""COMPUTED_VALUE"""),"")</f>
        <v/>
      </c>
      <c r="O707" s="8" t="str">
        <f>IFERROR(__xludf.DUMMYFUNCTION("""COMPUTED_VALUE"""),"")</f>
        <v/>
      </c>
      <c r="P707" s="8"/>
      <c r="Q707" s="8"/>
    </row>
    <row r="708">
      <c r="A708" s="8"/>
      <c r="B708" s="25"/>
      <c r="C708" s="385" t="s">
        <v>1426</v>
      </c>
      <c r="D708" s="392"/>
      <c r="E708" s="8"/>
      <c r="F708" s="8"/>
      <c r="G708" s="389"/>
      <c r="H708" s="8" t="b">
        <v>0</v>
      </c>
      <c r="I708" s="388" t="str">
        <f>IFERROR(__xludf.DUMMYFUNCTION("""COMPUTED_VALUE"""),"")</f>
        <v/>
      </c>
      <c r="J708" s="7"/>
      <c r="K708" s="8"/>
      <c r="L708" s="8"/>
      <c r="M708" s="8"/>
      <c r="N708" s="8" t="str">
        <f>IFERROR(__xludf.DUMMYFUNCTION("""COMPUTED_VALUE"""),"")</f>
        <v/>
      </c>
      <c r="O708" s="8" t="str">
        <f>IFERROR(__xludf.DUMMYFUNCTION("""COMPUTED_VALUE"""),"")</f>
        <v/>
      </c>
      <c r="P708" s="8"/>
      <c r="Q708" s="8"/>
    </row>
    <row r="709">
      <c r="A709" s="8"/>
      <c r="B709" s="25"/>
      <c r="C709" s="385" t="s">
        <v>1426</v>
      </c>
      <c r="D709" s="392"/>
      <c r="E709" s="8"/>
      <c r="F709" s="8"/>
      <c r="G709" s="389"/>
      <c r="H709" s="8" t="b">
        <v>0</v>
      </c>
      <c r="I709" s="388" t="str">
        <f>IFERROR(__xludf.DUMMYFUNCTION("""COMPUTED_VALUE"""),"")</f>
        <v/>
      </c>
      <c r="J709" s="7"/>
      <c r="K709" s="8"/>
      <c r="L709" s="8"/>
      <c r="M709" s="8"/>
      <c r="N709" s="8" t="str">
        <f>IFERROR(__xludf.DUMMYFUNCTION("""COMPUTED_VALUE"""),"")</f>
        <v/>
      </c>
      <c r="O709" s="8" t="str">
        <f>IFERROR(__xludf.DUMMYFUNCTION("""COMPUTED_VALUE"""),"")</f>
        <v/>
      </c>
      <c r="P709" s="8"/>
      <c r="Q709" s="8"/>
    </row>
    <row r="710">
      <c r="A710" s="8"/>
      <c r="B710" s="25"/>
      <c r="C710" s="385" t="s">
        <v>1426</v>
      </c>
      <c r="D710" s="392"/>
      <c r="E710" s="8"/>
      <c r="F710" s="8"/>
      <c r="G710" s="389"/>
      <c r="H710" s="8" t="b">
        <v>0</v>
      </c>
      <c r="I710" s="388" t="str">
        <f>IFERROR(__xludf.DUMMYFUNCTION("""COMPUTED_VALUE"""),"")</f>
        <v/>
      </c>
      <c r="J710" s="7"/>
      <c r="K710" s="8"/>
      <c r="L710" s="8"/>
      <c r="M710" s="8"/>
      <c r="N710" s="8" t="str">
        <f>IFERROR(__xludf.DUMMYFUNCTION("""COMPUTED_VALUE"""),"")</f>
        <v/>
      </c>
      <c r="O710" s="8" t="str">
        <f>IFERROR(__xludf.DUMMYFUNCTION("""COMPUTED_VALUE"""),"")</f>
        <v/>
      </c>
      <c r="P710" s="8"/>
      <c r="Q710" s="8"/>
    </row>
    <row r="711">
      <c r="A711" s="8"/>
      <c r="B711" s="25"/>
      <c r="C711" s="385" t="s">
        <v>1426</v>
      </c>
      <c r="D711" s="392"/>
      <c r="E711" s="8"/>
      <c r="F711" s="8"/>
      <c r="G711" s="389"/>
      <c r="H711" s="8" t="b">
        <v>0</v>
      </c>
      <c r="I711" s="388" t="str">
        <f>IFERROR(__xludf.DUMMYFUNCTION("""COMPUTED_VALUE"""),"")</f>
        <v/>
      </c>
      <c r="J711" s="7"/>
      <c r="K711" s="8"/>
      <c r="L711" s="8"/>
      <c r="M711" s="8"/>
      <c r="N711" s="8" t="str">
        <f>IFERROR(__xludf.DUMMYFUNCTION("""COMPUTED_VALUE"""),"")</f>
        <v/>
      </c>
      <c r="O711" s="8" t="str">
        <f>IFERROR(__xludf.DUMMYFUNCTION("""COMPUTED_VALUE"""),"")</f>
        <v/>
      </c>
      <c r="P711" s="8"/>
      <c r="Q711" s="8"/>
    </row>
    <row r="712">
      <c r="A712" s="8"/>
      <c r="B712" s="25"/>
      <c r="C712" s="385" t="s">
        <v>1426</v>
      </c>
      <c r="D712" s="392"/>
      <c r="E712" s="8"/>
      <c r="F712" s="8"/>
      <c r="G712" s="389"/>
      <c r="H712" s="8" t="b">
        <v>0</v>
      </c>
      <c r="I712" s="388" t="str">
        <f>IFERROR(__xludf.DUMMYFUNCTION("""COMPUTED_VALUE"""),"")</f>
        <v/>
      </c>
      <c r="J712" s="7"/>
      <c r="K712" s="8"/>
      <c r="L712" s="8"/>
      <c r="M712" s="8"/>
      <c r="N712" s="8" t="str">
        <f>IFERROR(__xludf.DUMMYFUNCTION("""COMPUTED_VALUE"""),"")</f>
        <v/>
      </c>
      <c r="O712" s="8" t="str">
        <f>IFERROR(__xludf.DUMMYFUNCTION("""COMPUTED_VALUE"""),"")</f>
        <v/>
      </c>
      <c r="P712" s="8"/>
      <c r="Q712" s="8"/>
    </row>
    <row r="713">
      <c r="A713" s="8"/>
      <c r="B713" s="25"/>
      <c r="C713" s="385" t="s">
        <v>1426</v>
      </c>
      <c r="D713" s="392"/>
      <c r="E713" s="8"/>
      <c r="F713" s="8"/>
      <c r="G713" s="389"/>
      <c r="H713" s="8" t="b">
        <v>0</v>
      </c>
      <c r="I713" s="388" t="str">
        <f>IFERROR(__xludf.DUMMYFUNCTION("""COMPUTED_VALUE"""),"")</f>
        <v/>
      </c>
      <c r="J713" s="7"/>
      <c r="K713" s="8"/>
      <c r="L713" s="8"/>
      <c r="M713" s="8"/>
      <c r="N713" s="8" t="str">
        <f>IFERROR(__xludf.DUMMYFUNCTION("""COMPUTED_VALUE"""),"")</f>
        <v/>
      </c>
      <c r="O713" s="8" t="str">
        <f>IFERROR(__xludf.DUMMYFUNCTION("""COMPUTED_VALUE"""),"")</f>
        <v/>
      </c>
      <c r="P713" s="8"/>
      <c r="Q713" s="8"/>
    </row>
    <row r="714">
      <c r="A714" s="8"/>
      <c r="B714" s="25"/>
      <c r="C714" s="385" t="s">
        <v>1426</v>
      </c>
      <c r="D714" s="392"/>
      <c r="E714" s="8"/>
      <c r="F714" s="8"/>
      <c r="G714" s="389"/>
      <c r="H714" s="8" t="b">
        <v>0</v>
      </c>
      <c r="I714" s="388" t="str">
        <f>IFERROR(__xludf.DUMMYFUNCTION("""COMPUTED_VALUE"""),"")</f>
        <v/>
      </c>
      <c r="J714" s="7"/>
      <c r="K714" s="8"/>
      <c r="L714" s="8"/>
      <c r="M714" s="8"/>
      <c r="N714" s="8" t="str">
        <f>IFERROR(__xludf.DUMMYFUNCTION("""COMPUTED_VALUE"""),"")</f>
        <v/>
      </c>
      <c r="O714" s="8" t="str">
        <f>IFERROR(__xludf.DUMMYFUNCTION("""COMPUTED_VALUE"""),"")</f>
        <v/>
      </c>
      <c r="P714" s="8"/>
      <c r="Q714" s="8"/>
    </row>
    <row r="715">
      <c r="A715" s="8"/>
      <c r="B715" s="25"/>
      <c r="C715" s="385" t="s">
        <v>1426</v>
      </c>
      <c r="D715" s="392"/>
      <c r="E715" s="8"/>
      <c r="F715" s="8"/>
      <c r="G715" s="389"/>
      <c r="H715" s="8" t="b">
        <v>0</v>
      </c>
      <c r="I715" s="388" t="str">
        <f>IFERROR(__xludf.DUMMYFUNCTION("""COMPUTED_VALUE"""),"")</f>
        <v/>
      </c>
      <c r="J715" s="7"/>
      <c r="K715" s="8"/>
      <c r="L715" s="8"/>
      <c r="M715" s="8"/>
      <c r="N715" s="8" t="str">
        <f>IFERROR(__xludf.DUMMYFUNCTION("""COMPUTED_VALUE"""),"")</f>
        <v/>
      </c>
      <c r="O715" s="8" t="str">
        <f>IFERROR(__xludf.DUMMYFUNCTION("""COMPUTED_VALUE"""),"")</f>
        <v/>
      </c>
      <c r="P715" s="8"/>
      <c r="Q715" s="8"/>
    </row>
    <row r="716">
      <c r="A716" s="8"/>
      <c r="B716" s="25"/>
      <c r="C716" s="385" t="s">
        <v>1426</v>
      </c>
      <c r="D716" s="392"/>
      <c r="E716" s="8"/>
      <c r="F716" s="8"/>
      <c r="G716" s="389"/>
      <c r="H716" s="8" t="b">
        <v>0</v>
      </c>
      <c r="I716" s="388" t="str">
        <f>IFERROR(__xludf.DUMMYFUNCTION("""COMPUTED_VALUE"""),"")</f>
        <v/>
      </c>
      <c r="J716" s="7"/>
      <c r="K716" s="8"/>
      <c r="L716" s="8"/>
      <c r="M716" s="8"/>
      <c r="N716" s="8" t="str">
        <f>IFERROR(__xludf.DUMMYFUNCTION("""COMPUTED_VALUE"""),"")</f>
        <v/>
      </c>
      <c r="O716" s="8" t="str">
        <f>IFERROR(__xludf.DUMMYFUNCTION("""COMPUTED_VALUE"""),"")</f>
        <v/>
      </c>
      <c r="P716" s="8"/>
      <c r="Q716" s="8"/>
    </row>
    <row r="717">
      <c r="A717" s="8"/>
      <c r="B717" s="25"/>
      <c r="C717" s="385" t="s">
        <v>1426</v>
      </c>
      <c r="D717" s="392"/>
      <c r="E717" s="8"/>
      <c r="F717" s="8"/>
      <c r="G717" s="389"/>
      <c r="H717" s="8" t="b">
        <v>0</v>
      </c>
      <c r="I717" s="388" t="str">
        <f>IFERROR(__xludf.DUMMYFUNCTION("""COMPUTED_VALUE"""),"")</f>
        <v/>
      </c>
      <c r="J717" s="7"/>
      <c r="K717" s="8"/>
      <c r="L717" s="8"/>
      <c r="M717" s="8"/>
      <c r="N717" s="8" t="str">
        <f>IFERROR(__xludf.DUMMYFUNCTION("""COMPUTED_VALUE"""),"")</f>
        <v/>
      </c>
      <c r="O717" s="8" t="str">
        <f>IFERROR(__xludf.DUMMYFUNCTION("""COMPUTED_VALUE"""),"")</f>
        <v/>
      </c>
      <c r="P717" s="8"/>
      <c r="Q717" s="8"/>
    </row>
    <row r="718">
      <c r="A718" s="8"/>
      <c r="B718" s="25"/>
      <c r="C718" s="385" t="s">
        <v>1426</v>
      </c>
      <c r="D718" s="392"/>
      <c r="E718" s="8"/>
      <c r="F718" s="8"/>
      <c r="G718" s="389"/>
      <c r="H718" s="8" t="b">
        <v>0</v>
      </c>
      <c r="I718" s="388" t="str">
        <f>IFERROR(__xludf.DUMMYFUNCTION("""COMPUTED_VALUE"""),"")</f>
        <v/>
      </c>
      <c r="J718" s="7"/>
      <c r="K718" s="8"/>
      <c r="L718" s="8"/>
      <c r="M718" s="8"/>
      <c r="N718" s="8" t="str">
        <f>IFERROR(__xludf.DUMMYFUNCTION("""COMPUTED_VALUE"""),"")</f>
        <v/>
      </c>
      <c r="O718" s="8" t="str">
        <f>IFERROR(__xludf.DUMMYFUNCTION("""COMPUTED_VALUE"""),"")</f>
        <v/>
      </c>
      <c r="P718" s="8"/>
      <c r="Q718" s="8"/>
    </row>
    <row r="719">
      <c r="A719" s="8"/>
      <c r="B719" s="25"/>
      <c r="C719" s="385" t="s">
        <v>1426</v>
      </c>
      <c r="D719" s="392"/>
      <c r="E719" s="8"/>
      <c r="F719" s="8"/>
      <c r="G719" s="389"/>
      <c r="H719" s="8" t="b">
        <v>0</v>
      </c>
      <c r="I719" s="388" t="str">
        <f>IFERROR(__xludf.DUMMYFUNCTION("""COMPUTED_VALUE"""),"")</f>
        <v/>
      </c>
      <c r="J719" s="7"/>
      <c r="K719" s="8"/>
      <c r="L719" s="8"/>
      <c r="M719" s="8"/>
      <c r="N719" s="8" t="str">
        <f>IFERROR(__xludf.DUMMYFUNCTION("""COMPUTED_VALUE"""),"")</f>
        <v/>
      </c>
      <c r="O719" s="8" t="str">
        <f>IFERROR(__xludf.DUMMYFUNCTION("""COMPUTED_VALUE"""),"")</f>
        <v/>
      </c>
      <c r="P719" s="8"/>
      <c r="Q719" s="8"/>
    </row>
    <row r="720">
      <c r="A720" s="8"/>
      <c r="B720" s="25"/>
      <c r="C720" s="385" t="s">
        <v>1426</v>
      </c>
      <c r="D720" s="392"/>
      <c r="E720" s="8"/>
      <c r="F720" s="8"/>
      <c r="G720" s="389"/>
      <c r="H720" s="8" t="b">
        <v>0</v>
      </c>
      <c r="I720" s="388" t="str">
        <f>IFERROR(__xludf.DUMMYFUNCTION("""COMPUTED_VALUE"""),"")</f>
        <v/>
      </c>
      <c r="J720" s="7"/>
      <c r="K720" s="8"/>
      <c r="L720" s="8"/>
      <c r="M720" s="8"/>
      <c r="N720" s="8" t="str">
        <f>IFERROR(__xludf.DUMMYFUNCTION("""COMPUTED_VALUE"""),"")</f>
        <v/>
      </c>
      <c r="O720" s="8" t="str">
        <f>IFERROR(__xludf.DUMMYFUNCTION("""COMPUTED_VALUE"""),"")</f>
        <v/>
      </c>
      <c r="P720" s="8"/>
      <c r="Q720" s="8"/>
    </row>
    <row r="721">
      <c r="A721" s="8"/>
      <c r="B721" s="25"/>
      <c r="C721" s="385" t="s">
        <v>1426</v>
      </c>
      <c r="D721" s="392"/>
      <c r="E721" s="8"/>
      <c r="F721" s="8"/>
      <c r="G721" s="389"/>
      <c r="H721" s="8" t="b">
        <v>0</v>
      </c>
      <c r="I721" s="388" t="str">
        <f>IFERROR(__xludf.DUMMYFUNCTION("""COMPUTED_VALUE"""),"")</f>
        <v/>
      </c>
      <c r="J721" s="7"/>
      <c r="K721" s="8"/>
      <c r="L721" s="8"/>
      <c r="M721" s="8"/>
      <c r="N721" s="8" t="str">
        <f>IFERROR(__xludf.DUMMYFUNCTION("""COMPUTED_VALUE"""),"")</f>
        <v/>
      </c>
      <c r="O721" s="8" t="str">
        <f>IFERROR(__xludf.DUMMYFUNCTION("""COMPUTED_VALUE"""),"")</f>
        <v/>
      </c>
      <c r="P721" s="8"/>
      <c r="Q721" s="8"/>
    </row>
    <row r="722">
      <c r="A722" s="8"/>
      <c r="B722" s="25"/>
      <c r="C722" s="385" t="s">
        <v>1426</v>
      </c>
      <c r="D722" s="392"/>
      <c r="E722" s="8"/>
      <c r="F722" s="8"/>
      <c r="G722" s="389"/>
      <c r="H722" s="8" t="b">
        <v>0</v>
      </c>
      <c r="I722" s="388" t="str">
        <f>IFERROR(__xludf.DUMMYFUNCTION("""COMPUTED_VALUE"""),"")</f>
        <v/>
      </c>
      <c r="J722" s="7"/>
      <c r="K722" s="8"/>
      <c r="L722" s="8"/>
      <c r="M722" s="8"/>
      <c r="N722" s="8" t="str">
        <f>IFERROR(__xludf.DUMMYFUNCTION("""COMPUTED_VALUE"""),"")</f>
        <v/>
      </c>
      <c r="O722" s="8" t="str">
        <f>IFERROR(__xludf.DUMMYFUNCTION("""COMPUTED_VALUE"""),"")</f>
        <v/>
      </c>
      <c r="P722" s="8"/>
      <c r="Q722" s="8"/>
    </row>
    <row r="723">
      <c r="A723" s="8"/>
      <c r="B723" s="25"/>
      <c r="C723" s="385" t="s">
        <v>1426</v>
      </c>
      <c r="D723" s="392"/>
      <c r="E723" s="8"/>
      <c r="F723" s="8"/>
      <c r="G723" s="389"/>
      <c r="H723" s="8" t="b">
        <v>0</v>
      </c>
      <c r="I723" s="388" t="str">
        <f>IFERROR(__xludf.DUMMYFUNCTION("""COMPUTED_VALUE"""),"")</f>
        <v/>
      </c>
      <c r="J723" s="7"/>
      <c r="K723" s="8"/>
      <c r="L723" s="8"/>
      <c r="M723" s="8"/>
      <c r="N723" s="8" t="str">
        <f>IFERROR(__xludf.DUMMYFUNCTION("""COMPUTED_VALUE"""),"")</f>
        <v/>
      </c>
      <c r="O723" s="8" t="str">
        <f>IFERROR(__xludf.DUMMYFUNCTION("""COMPUTED_VALUE"""),"")</f>
        <v/>
      </c>
      <c r="P723" s="8"/>
      <c r="Q723" s="8"/>
    </row>
    <row r="724">
      <c r="A724" s="8"/>
      <c r="B724" s="25"/>
      <c r="C724" s="385" t="s">
        <v>1426</v>
      </c>
      <c r="D724" s="392"/>
      <c r="E724" s="8"/>
      <c r="F724" s="8"/>
      <c r="G724" s="389"/>
      <c r="H724" s="8" t="b">
        <v>0</v>
      </c>
      <c r="I724" s="388" t="str">
        <f>IFERROR(__xludf.DUMMYFUNCTION("""COMPUTED_VALUE"""),"")</f>
        <v/>
      </c>
      <c r="J724" s="7"/>
      <c r="K724" s="8"/>
      <c r="L724" s="8"/>
      <c r="M724" s="8"/>
      <c r="N724" s="8" t="str">
        <f>IFERROR(__xludf.DUMMYFUNCTION("""COMPUTED_VALUE"""),"")</f>
        <v/>
      </c>
      <c r="O724" s="8" t="str">
        <f>IFERROR(__xludf.DUMMYFUNCTION("""COMPUTED_VALUE"""),"")</f>
        <v/>
      </c>
      <c r="P724" s="8"/>
      <c r="Q724" s="8"/>
    </row>
    <row r="725">
      <c r="A725" s="8"/>
      <c r="B725" s="25"/>
      <c r="C725" s="385" t="s">
        <v>1426</v>
      </c>
      <c r="D725" s="392"/>
      <c r="E725" s="8"/>
      <c r="F725" s="8"/>
      <c r="G725" s="389"/>
      <c r="H725" s="8" t="b">
        <v>0</v>
      </c>
      <c r="I725" s="388" t="str">
        <f>IFERROR(__xludf.DUMMYFUNCTION("""COMPUTED_VALUE"""),"")</f>
        <v/>
      </c>
      <c r="J725" s="7"/>
      <c r="K725" s="8"/>
      <c r="L725" s="8"/>
      <c r="M725" s="8"/>
      <c r="N725" s="8" t="str">
        <f>IFERROR(__xludf.DUMMYFUNCTION("""COMPUTED_VALUE"""),"")</f>
        <v/>
      </c>
      <c r="O725" s="8" t="str">
        <f>IFERROR(__xludf.DUMMYFUNCTION("""COMPUTED_VALUE"""),"")</f>
        <v/>
      </c>
      <c r="P725" s="8"/>
      <c r="Q725" s="8"/>
    </row>
    <row r="726">
      <c r="A726" s="8"/>
      <c r="B726" s="25"/>
      <c r="C726" s="385" t="s">
        <v>1426</v>
      </c>
      <c r="D726" s="392"/>
      <c r="E726" s="8"/>
      <c r="F726" s="8"/>
      <c r="G726" s="389"/>
      <c r="H726" s="8" t="b">
        <v>0</v>
      </c>
      <c r="I726" s="388" t="str">
        <f>IFERROR(__xludf.DUMMYFUNCTION("""COMPUTED_VALUE"""),"")</f>
        <v/>
      </c>
      <c r="J726" s="7"/>
      <c r="K726" s="8"/>
      <c r="L726" s="8"/>
      <c r="M726" s="8"/>
      <c r="N726" s="8" t="str">
        <f>IFERROR(__xludf.DUMMYFUNCTION("""COMPUTED_VALUE"""),"")</f>
        <v/>
      </c>
      <c r="O726" s="8" t="str">
        <f>IFERROR(__xludf.DUMMYFUNCTION("""COMPUTED_VALUE"""),"")</f>
        <v/>
      </c>
      <c r="P726" s="8"/>
      <c r="Q726" s="8"/>
    </row>
    <row r="727">
      <c r="A727" s="8"/>
      <c r="B727" s="25"/>
      <c r="C727" s="385" t="s">
        <v>1426</v>
      </c>
      <c r="D727" s="392"/>
      <c r="E727" s="8"/>
      <c r="F727" s="8"/>
      <c r="G727" s="389"/>
      <c r="H727" s="8" t="b">
        <v>0</v>
      </c>
      <c r="I727" s="388" t="str">
        <f>IFERROR(__xludf.DUMMYFUNCTION("""COMPUTED_VALUE"""),"")</f>
        <v/>
      </c>
      <c r="J727" s="7"/>
      <c r="K727" s="8"/>
      <c r="L727" s="8"/>
      <c r="M727" s="8"/>
      <c r="N727" s="8" t="str">
        <f>IFERROR(__xludf.DUMMYFUNCTION("""COMPUTED_VALUE"""),"")</f>
        <v/>
      </c>
      <c r="O727" s="8" t="str">
        <f>IFERROR(__xludf.DUMMYFUNCTION("""COMPUTED_VALUE"""),"")</f>
        <v/>
      </c>
      <c r="P727" s="8"/>
      <c r="Q727" s="8"/>
    </row>
    <row r="728">
      <c r="A728" s="8"/>
      <c r="B728" s="25"/>
      <c r="C728" s="385" t="s">
        <v>1426</v>
      </c>
      <c r="D728" s="392"/>
      <c r="E728" s="8"/>
      <c r="F728" s="8"/>
      <c r="G728" s="389"/>
      <c r="H728" s="8" t="b">
        <v>0</v>
      </c>
      <c r="I728" s="388" t="str">
        <f>IFERROR(__xludf.DUMMYFUNCTION("""COMPUTED_VALUE"""),"")</f>
        <v/>
      </c>
      <c r="J728" s="7"/>
      <c r="K728" s="8"/>
      <c r="L728" s="8"/>
      <c r="M728" s="8"/>
      <c r="N728" s="8" t="str">
        <f>IFERROR(__xludf.DUMMYFUNCTION("""COMPUTED_VALUE"""),"")</f>
        <v/>
      </c>
      <c r="O728" s="8" t="str">
        <f>IFERROR(__xludf.DUMMYFUNCTION("""COMPUTED_VALUE"""),"")</f>
        <v/>
      </c>
      <c r="P728" s="8"/>
      <c r="Q728" s="8"/>
    </row>
    <row r="729">
      <c r="A729" s="8"/>
      <c r="B729" s="25"/>
      <c r="C729" s="385" t="s">
        <v>1426</v>
      </c>
      <c r="D729" s="392"/>
      <c r="E729" s="8"/>
      <c r="F729" s="8"/>
      <c r="G729" s="389"/>
      <c r="H729" s="8" t="b">
        <v>0</v>
      </c>
      <c r="I729" s="388" t="str">
        <f>IFERROR(__xludf.DUMMYFUNCTION("""COMPUTED_VALUE"""),"")</f>
        <v/>
      </c>
      <c r="J729" s="7"/>
      <c r="K729" s="8"/>
      <c r="L729" s="8"/>
      <c r="M729" s="8"/>
      <c r="N729" s="8" t="str">
        <f>IFERROR(__xludf.DUMMYFUNCTION("""COMPUTED_VALUE"""),"")</f>
        <v/>
      </c>
      <c r="O729" s="8" t="str">
        <f>IFERROR(__xludf.DUMMYFUNCTION("""COMPUTED_VALUE"""),"")</f>
        <v/>
      </c>
      <c r="P729" s="8"/>
      <c r="Q729" s="8"/>
    </row>
    <row r="730">
      <c r="A730" s="8"/>
      <c r="B730" s="25"/>
      <c r="C730" s="385" t="s">
        <v>1426</v>
      </c>
      <c r="D730" s="392"/>
      <c r="E730" s="8"/>
      <c r="F730" s="8"/>
      <c r="G730" s="389"/>
      <c r="H730" s="8" t="b">
        <v>0</v>
      </c>
      <c r="I730" s="388" t="str">
        <f>IFERROR(__xludf.DUMMYFUNCTION("""COMPUTED_VALUE"""),"")</f>
        <v/>
      </c>
      <c r="J730" s="7"/>
      <c r="K730" s="8"/>
      <c r="L730" s="8"/>
      <c r="M730" s="8"/>
      <c r="N730" s="8" t="str">
        <f>IFERROR(__xludf.DUMMYFUNCTION("""COMPUTED_VALUE"""),"")</f>
        <v/>
      </c>
      <c r="O730" s="8" t="str">
        <f>IFERROR(__xludf.DUMMYFUNCTION("""COMPUTED_VALUE"""),"")</f>
        <v/>
      </c>
      <c r="P730" s="8"/>
      <c r="Q730" s="8"/>
    </row>
    <row r="731">
      <c r="A731" s="8"/>
      <c r="B731" s="25"/>
      <c r="C731" s="385" t="s">
        <v>1426</v>
      </c>
      <c r="D731" s="392"/>
      <c r="E731" s="8"/>
      <c r="F731" s="8"/>
      <c r="G731" s="389"/>
      <c r="H731" s="8" t="b">
        <v>0</v>
      </c>
      <c r="I731" s="388" t="str">
        <f>IFERROR(__xludf.DUMMYFUNCTION("""COMPUTED_VALUE"""),"")</f>
        <v/>
      </c>
      <c r="J731" s="7"/>
      <c r="K731" s="8"/>
      <c r="L731" s="8"/>
      <c r="M731" s="8"/>
      <c r="N731" s="8" t="str">
        <f>IFERROR(__xludf.DUMMYFUNCTION("""COMPUTED_VALUE"""),"")</f>
        <v/>
      </c>
      <c r="O731" s="8" t="str">
        <f>IFERROR(__xludf.DUMMYFUNCTION("""COMPUTED_VALUE"""),"")</f>
        <v/>
      </c>
      <c r="P731" s="8"/>
      <c r="Q731" s="8"/>
    </row>
    <row r="732">
      <c r="A732" s="8"/>
      <c r="B732" s="25"/>
      <c r="C732" s="385" t="s">
        <v>1426</v>
      </c>
      <c r="D732" s="392"/>
      <c r="E732" s="8"/>
      <c r="F732" s="8"/>
      <c r="G732" s="389"/>
      <c r="H732" s="8" t="b">
        <v>0</v>
      </c>
      <c r="I732" s="388" t="str">
        <f>IFERROR(__xludf.DUMMYFUNCTION("""COMPUTED_VALUE"""),"")</f>
        <v/>
      </c>
      <c r="J732" s="7"/>
      <c r="K732" s="8"/>
      <c r="L732" s="8"/>
      <c r="M732" s="8"/>
      <c r="N732" s="8" t="str">
        <f>IFERROR(__xludf.DUMMYFUNCTION("""COMPUTED_VALUE"""),"")</f>
        <v/>
      </c>
      <c r="O732" s="8" t="str">
        <f>IFERROR(__xludf.DUMMYFUNCTION("""COMPUTED_VALUE"""),"")</f>
        <v/>
      </c>
      <c r="P732" s="8"/>
      <c r="Q732" s="8"/>
    </row>
    <row r="733">
      <c r="A733" s="8"/>
      <c r="B733" s="25"/>
      <c r="C733" s="385" t="s">
        <v>1426</v>
      </c>
      <c r="D733" s="392"/>
      <c r="E733" s="8"/>
      <c r="F733" s="8"/>
      <c r="G733" s="389"/>
      <c r="H733" s="8" t="b">
        <v>0</v>
      </c>
      <c r="I733" s="388" t="str">
        <f>IFERROR(__xludf.DUMMYFUNCTION("""COMPUTED_VALUE"""),"")</f>
        <v/>
      </c>
      <c r="J733" s="7"/>
      <c r="K733" s="8"/>
      <c r="L733" s="8"/>
      <c r="M733" s="8"/>
      <c r="N733" s="8" t="str">
        <f>IFERROR(__xludf.DUMMYFUNCTION("""COMPUTED_VALUE"""),"")</f>
        <v/>
      </c>
      <c r="O733" s="8" t="str">
        <f>IFERROR(__xludf.DUMMYFUNCTION("""COMPUTED_VALUE"""),"")</f>
        <v/>
      </c>
      <c r="P733" s="8"/>
      <c r="Q733" s="8"/>
    </row>
    <row r="734">
      <c r="A734" s="8"/>
      <c r="B734" s="25"/>
      <c r="C734" s="385" t="s">
        <v>1426</v>
      </c>
      <c r="D734" s="392"/>
      <c r="E734" s="8"/>
      <c r="F734" s="8"/>
      <c r="G734" s="389"/>
      <c r="H734" s="8" t="b">
        <v>0</v>
      </c>
      <c r="I734" s="388" t="str">
        <f>IFERROR(__xludf.DUMMYFUNCTION("""COMPUTED_VALUE"""),"")</f>
        <v/>
      </c>
      <c r="J734" s="7"/>
      <c r="K734" s="8"/>
      <c r="L734" s="8"/>
      <c r="M734" s="8"/>
      <c r="N734" s="8" t="str">
        <f>IFERROR(__xludf.DUMMYFUNCTION("""COMPUTED_VALUE"""),"")</f>
        <v/>
      </c>
      <c r="O734" s="8" t="str">
        <f>IFERROR(__xludf.DUMMYFUNCTION("""COMPUTED_VALUE"""),"")</f>
        <v/>
      </c>
      <c r="P734" s="8"/>
      <c r="Q734" s="8"/>
    </row>
    <row r="735">
      <c r="A735" s="8"/>
      <c r="B735" s="25"/>
      <c r="C735" s="385" t="s">
        <v>1426</v>
      </c>
      <c r="D735" s="392"/>
      <c r="E735" s="8"/>
      <c r="F735" s="8"/>
      <c r="G735" s="389"/>
      <c r="H735" s="8" t="b">
        <v>0</v>
      </c>
      <c r="I735" s="388" t="str">
        <f>IFERROR(__xludf.DUMMYFUNCTION("""COMPUTED_VALUE"""),"")</f>
        <v/>
      </c>
      <c r="J735" s="7"/>
      <c r="K735" s="8"/>
      <c r="L735" s="8"/>
      <c r="M735" s="8"/>
      <c r="N735" s="8" t="str">
        <f>IFERROR(__xludf.DUMMYFUNCTION("""COMPUTED_VALUE"""),"")</f>
        <v/>
      </c>
      <c r="O735" s="8" t="str">
        <f>IFERROR(__xludf.DUMMYFUNCTION("""COMPUTED_VALUE"""),"")</f>
        <v/>
      </c>
      <c r="P735" s="8"/>
      <c r="Q735" s="8"/>
    </row>
    <row r="736">
      <c r="A736" s="8"/>
      <c r="B736" s="25"/>
      <c r="C736" s="385" t="s">
        <v>1426</v>
      </c>
      <c r="D736" s="392"/>
      <c r="E736" s="8"/>
      <c r="F736" s="8"/>
      <c r="G736" s="389"/>
      <c r="H736" s="8" t="b">
        <v>0</v>
      </c>
      <c r="I736" s="388" t="str">
        <f>IFERROR(__xludf.DUMMYFUNCTION("""COMPUTED_VALUE"""),"")</f>
        <v/>
      </c>
      <c r="J736" s="7"/>
      <c r="K736" s="8"/>
      <c r="L736" s="8"/>
      <c r="M736" s="8"/>
      <c r="N736" s="8" t="str">
        <f>IFERROR(__xludf.DUMMYFUNCTION("""COMPUTED_VALUE"""),"")</f>
        <v/>
      </c>
      <c r="O736" s="8" t="str">
        <f>IFERROR(__xludf.DUMMYFUNCTION("""COMPUTED_VALUE"""),"")</f>
        <v/>
      </c>
      <c r="P736" s="8"/>
      <c r="Q736" s="8"/>
    </row>
    <row r="737">
      <c r="A737" s="8"/>
      <c r="B737" s="25"/>
      <c r="C737" s="385" t="s">
        <v>1426</v>
      </c>
      <c r="D737" s="392"/>
      <c r="E737" s="8"/>
      <c r="F737" s="8"/>
      <c r="G737" s="389"/>
      <c r="H737" s="8" t="b">
        <v>0</v>
      </c>
      <c r="I737" s="388" t="str">
        <f>IFERROR(__xludf.DUMMYFUNCTION("""COMPUTED_VALUE"""),"")</f>
        <v/>
      </c>
      <c r="J737" s="7"/>
      <c r="K737" s="8"/>
      <c r="L737" s="8"/>
      <c r="M737" s="8"/>
      <c r="N737" s="8" t="str">
        <f>IFERROR(__xludf.DUMMYFUNCTION("""COMPUTED_VALUE"""),"")</f>
        <v/>
      </c>
      <c r="O737" s="8" t="str">
        <f>IFERROR(__xludf.DUMMYFUNCTION("""COMPUTED_VALUE"""),"")</f>
        <v/>
      </c>
      <c r="P737" s="8"/>
      <c r="Q737" s="8"/>
    </row>
    <row r="738">
      <c r="A738" s="8"/>
      <c r="B738" s="25"/>
      <c r="C738" s="385" t="s">
        <v>1426</v>
      </c>
      <c r="D738" s="392"/>
      <c r="E738" s="8"/>
      <c r="F738" s="8"/>
      <c r="G738" s="389"/>
      <c r="H738" s="8" t="b">
        <v>0</v>
      </c>
      <c r="I738" s="388" t="str">
        <f>IFERROR(__xludf.DUMMYFUNCTION("""COMPUTED_VALUE"""),"")</f>
        <v/>
      </c>
      <c r="J738" s="7"/>
      <c r="K738" s="8"/>
      <c r="L738" s="8"/>
      <c r="M738" s="8"/>
      <c r="N738" s="8" t="str">
        <f>IFERROR(__xludf.DUMMYFUNCTION("""COMPUTED_VALUE"""),"")</f>
        <v/>
      </c>
      <c r="O738" s="8" t="str">
        <f>IFERROR(__xludf.DUMMYFUNCTION("""COMPUTED_VALUE"""),"")</f>
        <v/>
      </c>
      <c r="P738" s="8"/>
      <c r="Q738" s="8"/>
    </row>
    <row r="739">
      <c r="A739" s="8"/>
      <c r="B739" s="25"/>
      <c r="C739" s="385" t="s">
        <v>1426</v>
      </c>
      <c r="D739" s="392"/>
      <c r="E739" s="8"/>
      <c r="F739" s="8"/>
      <c r="G739" s="389"/>
      <c r="H739" s="8" t="b">
        <v>0</v>
      </c>
      <c r="I739" s="388" t="str">
        <f>IFERROR(__xludf.DUMMYFUNCTION("""COMPUTED_VALUE"""),"")</f>
        <v/>
      </c>
      <c r="J739" s="7"/>
      <c r="K739" s="8"/>
      <c r="L739" s="8"/>
      <c r="M739" s="8"/>
      <c r="N739" s="8" t="str">
        <f>IFERROR(__xludf.DUMMYFUNCTION("""COMPUTED_VALUE"""),"")</f>
        <v/>
      </c>
      <c r="O739" s="8" t="str">
        <f>IFERROR(__xludf.DUMMYFUNCTION("""COMPUTED_VALUE"""),"")</f>
        <v/>
      </c>
      <c r="P739" s="8"/>
      <c r="Q739" s="8"/>
    </row>
    <row r="740">
      <c r="A740" s="8"/>
      <c r="B740" s="25"/>
      <c r="C740" s="385" t="s">
        <v>1426</v>
      </c>
      <c r="D740" s="392"/>
      <c r="E740" s="8"/>
      <c r="F740" s="8"/>
      <c r="G740" s="389"/>
      <c r="H740" s="8" t="b">
        <v>0</v>
      </c>
      <c r="I740" s="388" t="str">
        <f>IFERROR(__xludf.DUMMYFUNCTION("""COMPUTED_VALUE"""),"")</f>
        <v/>
      </c>
      <c r="J740" s="7"/>
      <c r="K740" s="8"/>
      <c r="L740" s="8"/>
      <c r="M740" s="8"/>
      <c r="N740" s="8" t="str">
        <f>IFERROR(__xludf.DUMMYFUNCTION("""COMPUTED_VALUE"""),"")</f>
        <v/>
      </c>
      <c r="O740" s="8" t="str">
        <f>IFERROR(__xludf.DUMMYFUNCTION("""COMPUTED_VALUE"""),"")</f>
        <v/>
      </c>
      <c r="P740" s="8"/>
      <c r="Q740" s="8"/>
    </row>
    <row r="741">
      <c r="A741" s="8"/>
      <c r="B741" s="25"/>
      <c r="C741" s="385" t="s">
        <v>1426</v>
      </c>
      <c r="D741" s="392"/>
      <c r="E741" s="8"/>
      <c r="F741" s="8"/>
      <c r="G741" s="389"/>
      <c r="H741" s="8" t="b">
        <v>0</v>
      </c>
      <c r="I741" s="388" t="str">
        <f>IFERROR(__xludf.DUMMYFUNCTION("""COMPUTED_VALUE"""),"")</f>
        <v/>
      </c>
      <c r="J741" s="7"/>
      <c r="K741" s="8"/>
      <c r="L741" s="8"/>
      <c r="M741" s="8"/>
      <c r="N741" s="8" t="str">
        <f>IFERROR(__xludf.DUMMYFUNCTION("""COMPUTED_VALUE"""),"")</f>
        <v/>
      </c>
      <c r="O741" s="8" t="str">
        <f>IFERROR(__xludf.DUMMYFUNCTION("""COMPUTED_VALUE"""),"")</f>
        <v/>
      </c>
      <c r="P741" s="8"/>
      <c r="Q741" s="8"/>
    </row>
    <row r="742">
      <c r="A742" s="8"/>
      <c r="B742" s="25"/>
      <c r="C742" s="385" t="s">
        <v>1426</v>
      </c>
      <c r="D742" s="392"/>
      <c r="E742" s="8"/>
      <c r="F742" s="8"/>
      <c r="G742" s="389"/>
      <c r="H742" s="8" t="b">
        <v>0</v>
      </c>
      <c r="I742" s="388" t="str">
        <f>IFERROR(__xludf.DUMMYFUNCTION("""COMPUTED_VALUE"""),"")</f>
        <v/>
      </c>
      <c r="J742" s="7"/>
      <c r="K742" s="8"/>
      <c r="L742" s="8"/>
      <c r="M742" s="8"/>
      <c r="N742" s="8" t="str">
        <f>IFERROR(__xludf.DUMMYFUNCTION("""COMPUTED_VALUE"""),"")</f>
        <v/>
      </c>
      <c r="O742" s="8" t="str">
        <f>IFERROR(__xludf.DUMMYFUNCTION("""COMPUTED_VALUE"""),"")</f>
        <v/>
      </c>
      <c r="P742" s="8"/>
      <c r="Q742" s="8"/>
    </row>
    <row r="743">
      <c r="A743" s="8"/>
      <c r="B743" s="25"/>
      <c r="C743" s="385" t="s">
        <v>1426</v>
      </c>
      <c r="D743" s="392"/>
      <c r="E743" s="8"/>
      <c r="F743" s="8"/>
      <c r="G743" s="389"/>
      <c r="H743" s="8" t="b">
        <v>0</v>
      </c>
      <c r="I743" s="388" t="str">
        <f>IFERROR(__xludf.DUMMYFUNCTION("""COMPUTED_VALUE"""),"")</f>
        <v/>
      </c>
      <c r="J743" s="7"/>
      <c r="K743" s="8"/>
      <c r="L743" s="8"/>
      <c r="M743" s="8"/>
      <c r="N743" s="8" t="str">
        <f>IFERROR(__xludf.DUMMYFUNCTION("""COMPUTED_VALUE"""),"")</f>
        <v/>
      </c>
      <c r="O743" s="8" t="str">
        <f>IFERROR(__xludf.DUMMYFUNCTION("""COMPUTED_VALUE"""),"")</f>
        <v/>
      </c>
      <c r="P743" s="8"/>
      <c r="Q743" s="8"/>
    </row>
    <row r="744">
      <c r="A744" s="8"/>
      <c r="B744" s="25"/>
      <c r="C744" s="385" t="s">
        <v>1426</v>
      </c>
      <c r="D744" s="392"/>
      <c r="E744" s="8"/>
      <c r="F744" s="8"/>
      <c r="G744" s="389"/>
      <c r="H744" s="8" t="b">
        <v>0</v>
      </c>
      <c r="I744" s="388" t="str">
        <f>IFERROR(__xludf.DUMMYFUNCTION("""COMPUTED_VALUE"""),"")</f>
        <v/>
      </c>
      <c r="J744" s="7"/>
      <c r="K744" s="8"/>
      <c r="L744" s="8"/>
      <c r="M744" s="8"/>
      <c r="N744" s="8" t="str">
        <f>IFERROR(__xludf.DUMMYFUNCTION("""COMPUTED_VALUE"""),"")</f>
        <v/>
      </c>
      <c r="O744" s="8" t="str">
        <f>IFERROR(__xludf.DUMMYFUNCTION("""COMPUTED_VALUE"""),"")</f>
        <v/>
      </c>
      <c r="P744" s="8"/>
      <c r="Q744" s="8"/>
    </row>
    <row r="745">
      <c r="A745" s="8"/>
      <c r="B745" s="25"/>
      <c r="C745" s="385" t="s">
        <v>1426</v>
      </c>
      <c r="D745" s="392"/>
      <c r="E745" s="8"/>
      <c r="F745" s="8"/>
      <c r="G745" s="389"/>
      <c r="H745" s="8" t="b">
        <v>0</v>
      </c>
      <c r="I745" s="388" t="str">
        <f>IFERROR(__xludf.DUMMYFUNCTION("""COMPUTED_VALUE"""),"")</f>
        <v/>
      </c>
      <c r="J745" s="7"/>
      <c r="K745" s="8"/>
      <c r="L745" s="8"/>
      <c r="M745" s="8"/>
      <c r="N745" s="8" t="str">
        <f>IFERROR(__xludf.DUMMYFUNCTION("""COMPUTED_VALUE"""),"")</f>
        <v/>
      </c>
      <c r="O745" s="8" t="str">
        <f>IFERROR(__xludf.DUMMYFUNCTION("""COMPUTED_VALUE"""),"")</f>
        <v/>
      </c>
      <c r="P745" s="8"/>
      <c r="Q745" s="8"/>
    </row>
    <row r="746">
      <c r="A746" s="8"/>
      <c r="B746" s="25"/>
      <c r="C746" s="385" t="s">
        <v>1426</v>
      </c>
      <c r="D746" s="392"/>
      <c r="E746" s="8"/>
      <c r="F746" s="8"/>
      <c r="G746" s="389"/>
      <c r="H746" s="8" t="b">
        <v>0</v>
      </c>
      <c r="I746" s="388" t="str">
        <f>IFERROR(__xludf.DUMMYFUNCTION("""COMPUTED_VALUE"""),"")</f>
        <v/>
      </c>
      <c r="J746" s="7"/>
      <c r="K746" s="8"/>
      <c r="L746" s="8"/>
      <c r="M746" s="8"/>
      <c r="N746" s="8" t="str">
        <f>IFERROR(__xludf.DUMMYFUNCTION("""COMPUTED_VALUE"""),"")</f>
        <v/>
      </c>
      <c r="O746" s="8" t="str">
        <f>IFERROR(__xludf.DUMMYFUNCTION("""COMPUTED_VALUE"""),"")</f>
        <v/>
      </c>
      <c r="P746" s="8"/>
      <c r="Q746" s="8"/>
    </row>
    <row r="747">
      <c r="A747" s="8"/>
      <c r="B747" s="25"/>
      <c r="C747" s="385" t="s">
        <v>1426</v>
      </c>
      <c r="D747" s="392"/>
      <c r="E747" s="8"/>
      <c r="F747" s="8"/>
      <c r="G747" s="389"/>
      <c r="H747" s="8" t="b">
        <v>0</v>
      </c>
      <c r="I747" s="388" t="str">
        <f>IFERROR(__xludf.DUMMYFUNCTION("""COMPUTED_VALUE"""),"")</f>
        <v/>
      </c>
      <c r="J747" s="7"/>
      <c r="K747" s="8"/>
      <c r="L747" s="8"/>
      <c r="M747" s="8"/>
      <c r="N747" s="8" t="str">
        <f>IFERROR(__xludf.DUMMYFUNCTION("""COMPUTED_VALUE"""),"")</f>
        <v/>
      </c>
      <c r="O747" s="8" t="str">
        <f>IFERROR(__xludf.DUMMYFUNCTION("""COMPUTED_VALUE"""),"")</f>
        <v/>
      </c>
      <c r="P747" s="8"/>
      <c r="Q747" s="8"/>
    </row>
    <row r="748">
      <c r="A748" s="8"/>
      <c r="B748" s="25"/>
      <c r="C748" s="385" t="s">
        <v>1426</v>
      </c>
      <c r="D748" s="392"/>
      <c r="E748" s="8"/>
      <c r="F748" s="8"/>
      <c r="G748" s="389"/>
      <c r="H748" s="8" t="b">
        <v>0</v>
      </c>
      <c r="I748" s="388" t="str">
        <f>IFERROR(__xludf.DUMMYFUNCTION("""COMPUTED_VALUE"""),"")</f>
        <v/>
      </c>
      <c r="J748" s="7"/>
      <c r="K748" s="8"/>
      <c r="L748" s="8"/>
      <c r="M748" s="8"/>
      <c r="N748" s="8" t="str">
        <f>IFERROR(__xludf.DUMMYFUNCTION("""COMPUTED_VALUE"""),"")</f>
        <v/>
      </c>
      <c r="O748" s="8" t="str">
        <f>IFERROR(__xludf.DUMMYFUNCTION("""COMPUTED_VALUE"""),"")</f>
        <v/>
      </c>
      <c r="P748" s="8"/>
      <c r="Q748" s="8"/>
    </row>
    <row r="749">
      <c r="A749" s="8"/>
      <c r="B749" s="25"/>
      <c r="C749" s="385" t="s">
        <v>1426</v>
      </c>
      <c r="D749" s="392"/>
      <c r="E749" s="8"/>
      <c r="F749" s="8"/>
      <c r="G749" s="389"/>
      <c r="H749" s="8" t="b">
        <v>0</v>
      </c>
      <c r="I749" s="388" t="str">
        <f>IFERROR(__xludf.DUMMYFUNCTION("""COMPUTED_VALUE"""),"")</f>
        <v/>
      </c>
      <c r="J749" s="7"/>
      <c r="K749" s="8"/>
      <c r="L749" s="8"/>
      <c r="M749" s="8"/>
      <c r="N749" s="8" t="str">
        <f>IFERROR(__xludf.DUMMYFUNCTION("""COMPUTED_VALUE"""),"")</f>
        <v/>
      </c>
      <c r="O749" s="8" t="str">
        <f>IFERROR(__xludf.DUMMYFUNCTION("""COMPUTED_VALUE"""),"")</f>
        <v/>
      </c>
      <c r="P749" s="8"/>
      <c r="Q749" s="8"/>
    </row>
    <row r="750">
      <c r="A750" s="8"/>
      <c r="B750" s="25"/>
      <c r="C750" s="385" t="s">
        <v>1426</v>
      </c>
      <c r="D750" s="392"/>
      <c r="E750" s="8"/>
      <c r="F750" s="8"/>
      <c r="G750" s="389"/>
      <c r="H750" s="8" t="b">
        <v>0</v>
      </c>
      <c r="I750" s="388" t="str">
        <f>IFERROR(__xludf.DUMMYFUNCTION("""COMPUTED_VALUE"""),"")</f>
        <v/>
      </c>
      <c r="J750" s="7"/>
      <c r="K750" s="8"/>
      <c r="L750" s="8"/>
      <c r="M750" s="8"/>
      <c r="N750" s="8" t="str">
        <f>IFERROR(__xludf.DUMMYFUNCTION("""COMPUTED_VALUE"""),"")</f>
        <v/>
      </c>
      <c r="O750" s="8" t="str">
        <f>IFERROR(__xludf.DUMMYFUNCTION("""COMPUTED_VALUE"""),"")</f>
        <v/>
      </c>
      <c r="P750" s="8"/>
      <c r="Q750" s="8"/>
    </row>
    <row r="751">
      <c r="A751" s="8"/>
      <c r="B751" s="25"/>
      <c r="C751" s="385" t="s">
        <v>1426</v>
      </c>
      <c r="D751" s="392"/>
      <c r="E751" s="8"/>
      <c r="F751" s="8"/>
      <c r="G751" s="389"/>
      <c r="H751" s="8" t="b">
        <v>0</v>
      </c>
      <c r="I751" s="388" t="str">
        <f>IFERROR(__xludf.DUMMYFUNCTION("""COMPUTED_VALUE"""),"")</f>
        <v/>
      </c>
      <c r="J751" s="7"/>
      <c r="K751" s="8"/>
      <c r="L751" s="8"/>
      <c r="M751" s="8"/>
      <c r="N751" s="8" t="str">
        <f>IFERROR(__xludf.DUMMYFUNCTION("""COMPUTED_VALUE"""),"")</f>
        <v/>
      </c>
      <c r="O751" s="8" t="str">
        <f>IFERROR(__xludf.DUMMYFUNCTION("""COMPUTED_VALUE"""),"")</f>
        <v/>
      </c>
      <c r="P751" s="8"/>
      <c r="Q751" s="8"/>
    </row>
    <row r="752">
      <c r="A752" s="8"/>
      <c r="B752" s="25"/>
      <c r="C752" s="385" t="s">
        <v>1426</v>
      </c>
      <c r="D752" s="392"/>
      <c r="E752" s="8"/>
      <c r="F752" s="8"/>
      <c r="G752" s="389"/>
      <c r="H752" s="8" t="b">
        <v>0</v>
      </c>
      <c r="I752" s="388" t="str">
        <f>IFERROR(__xludf.DUMMYFUNCTION("""COMPUTED_VALUE"""),"")</f>
        <v/>
      </c>
      <c r="J752" s="7"/>
      <c r="K752" s="8"/>
      <c r="L752" s="8"/>
      <c r="M752" s="8"/>
      <c r="N752" s="8" t="str">
        <f>IFERROR(__xludf.DUMMYFUNCTION("""COMPUTED_VALUE"""),"")</f>
        <v/>
      </c>
      <c r="O752" s="8" t="str">
        <f>IFERROR(__xludf.DUMMYFUNCTION("""COMPUTED_VALUE"""),"")</f>
        <v/>
      </c>
      <c r="P752" s="8"/>
      <c r="Q752" s="8"/>
    </row>
    <row r="753">
      <c r="A753" s="8"/>
      <c r="B753" s="25"/>
      <c r="C753" s="385" t="s">
        <v>1426</v>
      </c>
      <c r="D753" s="392"/>
      <c r="E753" s="8"/>
      <c r="F753" s="8"/>
      <c r="G753" s="389"/>
      <c r="H753" s="8" t="b">
        <v>0</v>
      </c>
      <c r="I753" s="388" t="str">
        <f>IFERROR(__xludf.DUMMYFUNCTION("""COMPUTED_VALUE"""),"")</f>
        <v/>
      </c>
      <c r="J753" s="7"/>
      <c r="K753" s="8"/>
      <c r="L753" s="8"/>
      <c r="M753" s="8"/>
      <c r="N753" s="8" t="str">
        <f>IFERROR(__xludf.DUMMYFUNCTION("""COMPUTED_VALUE"""),"")</f>
        <v/>
      </c>
      <c r="O753" s="8" t="str">
        <f>IFERROR(__xludf.DUMMYFUNCTION("""COMPUTED_VALUE"""),"")</f>
        <v/>
      </c>
      <c r="P753" s="8"/>
      <c r="Q753" s="8"/>
    </row>
    <row r="754">
      <c r="A754" s="8"/>
      <c r="B754" s="25"/>
      <c r="C754" s="385" t="s">
        <v>1426</v>
      </c>
      <c r="D754" s="392"/>
      <c r="E754" s="8"/>
      <c r="F754" s="8"/>
      <c r="G754" s="389"/>
      <c r="H754" s="8" t="b">
        <v>0</v>
      </c>
      <c r="I754" s="388" t="str">
        <f>IFERROR(__xludf.DUMMYFUNCTION("""COMPUTED_VALUE"""),"")</f>
        <v/>
      </c>
      <c r="J754" s="7"/>
      <c r="K754" s="8"/>
      <c r="L754" s="8"/>
      <c r="M754" s="8"/>
      <c r="N754" s="8" t="str">
        <f>IFERROR(__xludf.DUMMYFUNCTION("""COMPUTED_VALUE"""),"")</f>
        <v/>
      </c>
      <c r="O754" s="8" t="str">
        <f>IFERROR(__xludf.DUMMYFUNCTION("""COMPUTED_VALUE"""),"")</f>
        <v/>
      </c>
      <c r="P754" s="8"/>
      <c r="Q754" s="8"/>
    </row>
    <row r="755">
      <c r="A755" s="8"/>
      <c r="B755" s="25"/>
      <c r="C755" s="385" t="s">
        <v>1426</v>
      </c>
      <c r="D755" s="392"/>
      <c r="E755" s="8"/>
      <c r="F755" s="8"/>
      <c r="G755" s="389"/>
      <c r="H755" s="8" t="b">
        <v>0</v>
      </c>
      <c r="I755" s="388" t="str">
        <f>IFERROR(__xludf.DUMMYFUNCTION("""COMPUTED_VALUE"""),"")</f>
        <v/>
      </c>
      <c r="J755" s="7"/>
      <c r="K755" s="8"/>
      <c r="L755" s="8"/>
      <c r="M755" s="8"/>
      <c r="N755" s="8" t="str">
        <f>IFERROR(__xludf.DUMMYFUNCTION("""COMPUTED_VALUE"""),"")</f>
        <v/>
      </c>
      <c r="O755" s="8" t="str">
        <f>IFERROR(__xludf.DUMMYFUNCTION("""COMPUTED_VALUE"""),"")</f>
        <v/>
      </c>
      <c r="P755" s="8"/>
      <c r="Q755" s="8"/>
    </row>
    <row r="756">
      <c r="A756" s="8"/>
      <c r="B756" s="25"/>
      <c r="C756" s="385" t="s">
        <v>1426</v>
      </c>
      <c r="D756" s="392"/>
      <c r="E756" s="8"/>
      <c r="F756" s="8"/>
      <c r="G756" s="389"/>
      <c r="H756" s="8" t="b">
        <v>0</v>
      </c>
      <c r="I756" s="388" t="str">
        <f>IFERROR(__xludf.DUMMYFUNCTION("""COMPUTED_VALUE"""),"")</f>
        <v/>
      </c>
      <c r="J756" s="7"/>
      <c r="K756" s="8"/>
      <c r="L756" s="8"/>
      <c r="M756" s="8"/>
      <c r="N756" s="8" t="str">
        <f>IFERROR(__xludf.DUMMYFUNCTION("""COMPUTED_VALUE"""),"")</f>
        <v/>
      </c>
      <c r="O756" s="8" t="str">
        <f>IFERROR(__xludf.DUMMYFUNCTION("""COMPUTED_VALUE"""),"")</f>
        <v/>
      </c>
      <c r="P756" s="8"/>
      <c r="Q756" s="8"/>
    </row>
    <row r="757">
      <c r="A757" s="8"/>
      <c r="B757" s="25"/>
      <c r="C757" s="385" t="s">
        <v>1426</v>
      </c>
      <c r="D757" s="392"/>
      <c r="E757" s="8"/>
      <c r="F757" s="8"/>
      <c r="G757" s="389"/>
      <c r="H757" s="8" t="b">
        <v>0</v>
      </c>
      <c r="I757" s="388" t="str">
        <f>IFERROR(__xludf.DUMMYFUNCTION("""COMPUTED_VALUE"""),"")</f>
        <v/>
      </c>
      <c r="J757" s="7"/>
      <c r="K757" s="8"/>
      <c r="L757" s="8"/>
      <c r="M757" s="8"/>
      <c r="N757" s="8" t="str">
        <f>IFERROR(__xludf.DUMMYFUNCTION("""COMPUTED_VALUE"""),"")</f>
        <v/>
      </c>
      <c r="O757" s="8" t="str">
        <f>IFERROR(__xludf.DUMMYFUNCTION("""COMPUTED_VALUE"""),"")</f>
        <v/>
      </c>
      <c r="P757" s="8"/>
      <c r="Q757" s="8"/>
    </row>
    <row r="758">
      <c r="A758" s="8"/>
      <c r="B758" s="25"/>
      <c r="C758" s="385" t="s">
        <v>1426</v>
      </c>
      <c r="D758" s="392"/>
      <c r="E758" s="8"/>
      <c r="F758" s="8"/>
      <c r="G758" s="389"/>
      <c r="H758" s="8" t="b">
        <v>0</v>
      </c>
      <c r="I758" s="388" t="str">
        <f>IFERROR(__xludf.DUMMYFUNCTION("""COMPUTED_VALUE"""),"")</f>
        <v/>
      </c>
      <c r="J758" s="7"/>
      <c r="K758" s="8"/>
      <c r="L758" s="8"/>
      <c r="M758" s="8"/>
      <c r="N758" s="8" t="str">
        <f>IFERROR(__xludf.DUMMYFUNCTION("""COMPUTED_VALUE"""),"")</f>
        <v/>
      </c>
      <c r="O758" s="8" t="str">
        <f>IFERROR(__xludf.DUMMYFUNCTION("""COMPUTED_VALUE"""),"")</f>
        <v/>
      </c>
      <c r="P758" s="8"/>
      <c r="Q758" s="8"/>
    </row>
    <row r="759">
      <c r="A759" s="8"/>
      <c r="B759" s="25"/>
      <c r="C759" s="385" t="s">
        <v>1426</v>
      </c>
      <c r="D759" s="392"/>
      <c r="E759" s="8"/>
      <c r="F759" s="8"/>
      <c r="G759" s="389"/>
      <c r="H759" s="8" t="b">
        <v>0</v>
      </c>
      <c r="I759" s="388" t="str">
        <f>IFERROR(__xludf.DUMMYFUNCTION("""COMPUTED_VALUE"""),"")</f>
        <v/>
      </c>
      <c r="J759" s="7"/>
      <c r="K759" s="8"/>
      <c r="L759" s="8"/>
      <c r="M759" s="8"/>
      <c r="N759" s="8" t="str">
        <f>IFERROR(__xludf.DUMMYFUNCTION("""COMPUTED_VALUE"""),"")</f>
        <v/>
      </c>
      <c r="O759" s="8" t="str">
        <f>IFERROR(__xludf.DUMMYFUNCTION("""COMPUTED_VALUE"""),"")</f>
        <v/>
      </c>
      <c r="P759" s="8"/>
      <c r="Q759" s="8"/>
    </row>
    <row r="760">
      <c r="A760" s="8"/>
      <c r="B760" s="25"/>
      <c r="C760" s="385" t="s">
        <v>1426</v>
      </c>
      <c r="D760" s="392"/>
      <c r="E760" s="8"/>
      <c r="F760" s="8"/>
      <c r="G760" s="389"/>
      <c r="H760" s="8" t="b">
        <v>0</v>
      </c>
      <c r="I760" s="388" t="str">
        <f>IFERROR(__xludf.DUMMYFUNCTION("""COMPUTED_VALUE"""),"")</f>
        <v/>
      </c>
      <c r="J760" s="7"/>
      <c r="K760" s="8"/>
      <c r="L760" s="8"/>
      <c r="M760" s="8"/>
      <c r="N760" s="8" t="str">
        <f>IFERROR(__xludf.DUMMYFUNCTION("""COMPUTED_VALUE"""),"")</f>
        <v/>
      </c>
      <c r="O760" s="8" t="str">
        <f>IFERROR(__xludf.DUMMYFUNCTION("""COMPUTED_VALUE"""),"")</f>
        <v/>
      </c>
      <c r="P760" s="8"/>
      <c r="Q760" s="8"/>
    </row>
    <row r="761">
      <c r="A761" s="8"/>
      <c r="B761" s="25"/>
      <c r="C761" s="385" t="s">
        <v>1426</v>
      </c>
      <c r="D761" s="392"/>
      <c r="E761" s="8"/>
      <c r="F761" s="8"/>
      <c r="G761" s="389"/>
      <c r="H761" s="8" t="b">
        <v>0</v>
      </c>
      <c r="I761" s="388" t="str">
        <f>IFERROR(__xludf.DUMMYFUNCTION("""COMPUTED_VALUE"""),"")</f>
        <v/>
      </c>
      <c r="J761" s="7"/>
      <c r="K761" s="8"/>
      <c r="L761" s="8"/>
      <c r="M761" s="8"/>
      <c r="N761" s="8" t="str">
        <f>IFERROR(__xludf.DUMMYFUNCTION("""COMPUTED_VALUE"""),"")</f>
        <v/>
      </c>
      <c r="O761" s="8" t="str">
        <f>IFERROR(__xludf.DUMMYFUNCTION("""COMPUTED_VALUE"""),"")</f>
        <v/>
      </c>
      <c r="P761" s="8"/>
      <c r="Q761" s="8"/>
    </row>
    <row r="762">
      <c r="A762" s="8"/>
      <c r="B762" s="25"/>
      <c r="C762" s="385" t="s">
        <v>1426</v>
      </c>
      <c r="D762" s="392"/>
      <c r="E762" s="8"/>
      <c r="F762" s="8"/>
      <c r="G762" s="389"/>
      <c r="H762" s="8" t="b">
        <v>0</v>
      </c>
      <c r="I762" s="388" t="str">
        <f>IFERROR(__xludf.DUMMYFUNCTION("""COMPUTED_VALUE"""),"")</f>
        <v/>
      </c>
      <c r="J762" s="7"/>
      <c r="K762" s="8"/>
      <c r="L762" s="8"/>
      <c r="M762" s="8"/>
      <c r="N762" s="8" t="str">
        <f>IFERROR(__xludf.DUMMYFUNCTION("""COMPUTED_VALUE"""),"")</f>
        <v/>
      </c>
      <c r="O762" s="8" t="str">
        <f>IFERROR(__xludf.DUMMYFUNCTION("""COMPUTED_VALUE"""),"")</f>
        <v/>
      </c>
      <c r="P762" s="8"/>
      <c r="Q762" s="8"/>
    </row>
    <row r="763">
      <c r="A763" s="8"/>
      <c r="B763" s="25"/>
      <c r="C763" s="385" t="s">
        <v>1426</v>
      </c>
      <c r="D763" s="392"/>
      <c r="E763" s="8"/>
      <c r="F763" s="8"/>
      <c r="G763" s="389"/>
      <c r="H763" s="8" t="b">
        <v>0</v>
      </c>
      <c r="I763" s="388" t="str">
        <f>IFERROR(__xludf.DUMMYFUNCTION("""COMPUTED_VALUE"""),"")</f>
        <v/>
      </c>
      <c r="J763" s="7"/>
      <c r="K763" s="8"/>
      <c r="L763" s="8"/>
      <c r="M763" s="8"/>
      <c r="N763" s="8" t="str">
        <f>IFERROR(__xludf.DUMMYFUNCTION("""COMPUTED_VALUE"""),"")</f>
        <v/>
      </c>
      <c r="O763" s="8" t="str">
        <f>IFERROR(__xludf.DUMMYFUNCTION("""COMPUTED_VALUE"""),"")</f>
        <v/>
      </c>
      <c r="P763" s="8"/>
      <c r="Q763" s="8"/>
    </row>
    <row r="764">
      <c r="A764" s="8"/>
      <c r="B764" s="25"/>
      <c r="C764" s="385" t="s">
        <v>1426</v>
      </c>
      <c r="D764" s="392"/>
      <c r="E764" s="8"/>
      <c r="F764" s="8"/>
      <c r="G764" s="389"/>
      <c r="H764" s="8" t="b">
        <v>0</v>
      </c>
      <c r="I764" s="388" t="str">
        <f>IFERROR(__xludf.DUMMYFUNCTION("""COMPUTED_VALUE"""),"")</f>
        <v/>
      </c>
      <c r="J764" s="7"/>
      <c r="K764" s="8"/>
      <c r="L764" s="8"/>
      <c r="M764" s="8"/>
      <c r="N764" s="8" t="str">
        <f>IFERROR(__xludf.DUMMYFUNCTION("""COMPUTED_VALUE"""),"")</f>
        <v/>
      </c>
      <c r="O764" s="8" t="str">
        <f>IFERROR(__xludf.DUMMYFUNCTION("""COMPUTED_VALUE"""),"")</f>
        <v/>
      </c>
      <c r="P764" s="8"/>
      <c r="Q764" s="8"/>
    </row>
    <row r="765">
      <c r="A765" s="8"/>
      <c r="B765" s="25"/>
      <c r="C765" s="385" t="s">
        <v>1426</v>
      </c>
      <c r="D765" s="392"/>
      <c r="E765" s="8"/>
      <c r="F765" s="8"/>
      <c r="G765" s="389"/>
      <c r="H765" s="8" t="b">
        <v>0</v>
      </c>
      <c r="I765" s="388" t="str">
        <f>IFERROR(__xludf.DUMMYFUNCTION("""COMPUTED_VALUE"""),"")</f>
        <v/>
      </c>
      <c r="J765" s="7"/>
      <c r="K765" s="8"/>
      <c r="L765" s="8"/>
      <c r="M765" s="8"/>
      <c r="N765" s="8" t="str">
        <f>IFERROR(__xludf.DUMMYFUNCTION("""COMPUTED_VALUE"""),"")</f>
        <v/>
      </c>
      <c r="O765" s="8" t="str">
        <f>IFERROR(__xludf.DUMMYFUNCTION("""COMPUTED_VALUE"""),"")</f>
        <v/>
      </c>
      <c r="P765" s="8"/>
      <c r="Q765" s="8"/>
    </row>
    <row r="766">
      <c r="A766" s="8"/>
      <c r="B766" s="25"/>
      <c r="C766" s="385" t="s">
        <v>1426</v>
      </c>
      <c r="D766" s="392"/>
      <c r="E766" s="8"/>
      <c r="F766" s="8"/>
      <c r="G766" s="389"/>
      <c r="H766" s="8" t="b">
        <v>0</v>
      </c>
      <c r="I766" s="388" t="str">
        <f>IFERROR(__xludf.DUMMYFUNCTION("""COMPUTED_VALUE"""),"")</f>
        <v/>
      </c>
      <c r="J766" s="7"/>
      <c r="K766" s="8"/>
      <c r="L766" s="8"/>
      <c r="M766" s="8"/>
      <c r="N766" s="8" t="str">
        <f>IFERROR(__xludf.DUMMYFUNCTION("""COMPUTED_VALUE"""),"")</f>
        <v/>
      </c>
      <c r="O766" s="8" t="str">
        <f>IFERROR(__xludf.DUMMYFUNCTION("""COMPUTED_VALUE"""),"")</f>
        <v/>
      </c>
      <c r="P766" s="8"/>
      <c r="Q766" s="8"/>
    </row>
    <row r="767">
      <c r="A767" s="8"/>
      <c r="B767" s="25"/>
      <c r="C767" s="385" t="s">
        <v>1426</v>
      </c>
      <c r="D767" s="392"/>
      <c r="E767" s="8"/>
      <c r="F767" s="8"/>
      <c r="G767" s="389"/>
      <c r="H767" s="8" t="b">
        <v>0</v>
      </c>
      <c r="I767" s="388" t="str">
        <f>IFERROR(__xludf.DUMMYFUNCTION("""COMPUTED_VALUE"""),"")</f>
        <v/>
      </c>
      <c r="J767" s="7"/>
      <c r="K767" s="8"/>
      <c r="L767" s="8"/>
      <c r="M767" s="8"/>
      <c r="N767" s="8" t="str">
        <f>IFERROR(__xludf.DUMMYFUNCTION("""COMPUTED_VALUE"""),"")</f>
        <v/>
      </c>
      <c r="O767" s="8" t="str">
        <f>IFERROR(__xludf.DUMMYFUNCTION("""COMPUTED_VALUE"""),"")</f>
        <v/>
      </c>
      <c r="P767" s="8"/>
      <c r="Q767" s="8"/>
    </row>
    <row r="768">
      <c r="A768" s="8"/>
      <c r="B768" s="25"/>
      <c r="C768" s="385" t="s">
        <v>1426</v>
      </c>
      <c r="D768" s="392"/>
      <c r="E768" s="8"/>
      <c r="F768" s="8"/>
      <c r="G768" s="389"/>
      <c r="H768" s="8" t="b">
        <v>0</v>
      </c>
      <c r="I768" s="388" t="str">
        <f>IFERROR(__xludf.DUMMYFUNCTION("""COMPUTED_VALUE"""),"")</f>
        <v/>
      </c>
      <c r="J768" s="7"/>
      <c r="K768" s="8"/>
      <c r="L768" s="8"/>
      <c r="M768" s="8"/>
      <c r="N768" s="8" t="str">
        <f>IFERROR(__xludf.DUMMYFUNCTION("""COMPUTED_VALUE"""),"")</f>
        <v/>
      </c>
      <c r="O768" s="8" t="str">
        <f>IFERROR(__xludf.DUMMYFUNCTION("""COMPUTED_VALUE"""),"")</f>
        <v/>
      </c>
      <c r="P768" s="8"/>
      <c r="Q768" s="8"/>
    </row>
    <row r="769">
      <c r="A769" s="8"/>
      <c r="B769" s="25"/>
      <c r="C769" s="385" t="s">
        <v>1426</v>
      </c>
      <c r="D769" s="392"/>
      <c r="E769" s="8"/>
      <c r="F769" s="8"/>
      <c r="G769" s="389"/>
      <c r="H769" s="8" t="b">
        <v>0</v>
      </c>
      <c r="I769" s="388" t="str">
        <f>IFERROR(__xludf.DUMMYFUNCTION("""COMPUTED_VALUE"""),"")</f>
        <v/>
      </c>
      <c r="J769" s="7"/>
      <c r="K769" s="8"/>
      <c r="L769" s="8"/>
      <c r="M769" s="8"/>
      <c r="N769" s="8" t="str">
        <f>IFERROR(__xludf.DUMMYFUNCTION("""COMPUTED_VALUE"""),"")</f>
        <v/>
      </c>
      <c r="O769" s="8" t="str">
        <f>IFERROR(__xludf.DUMMYFUNCTION("""COMPUTED_VALUE"""),"")</f>
        <v/>
      </c>
      <c r="P769" s="8"/>
      <c r="Q769" s="8"/>
    </row>
    <row r="770">
      <c r="A770" s="8"/>
      <c r="B770" s="25"/>
      <c r="C770" s="385" t="s">
        <v>1426</v>
      </c>
      <c r="D770" s="392"/>
      <c r="E770" s="8"/>
      <c r="F770" s="8"/>
      <c r="G770" s="389"/>
      <c r="H770" s="8" t="b">
        <v>0</v>
      </c>
      <c r="I770" s="388" t="str">
        <f>IFERROR(__xludf.DUMMYFUNCTION("""COMPUTED_VALUE"""),"")</f>
        <v/>
      </c>
      <c r="J770" s="7"/>
      <c r="K770" s="8"/>
      <c r="L770" s="8"/>
      <c r="M770" s="8"/>
      <c r="N770" s="8" t="str">
        <f>IFERROR(__xludf.DUMMYFUNCTION("""COMPUTED_VALUE"""),"")</f>
        <v/>
      </c>
      <c r="O770" s="8" t="str">
        <f>IFERROR(__xludf.DUMMYFUNCTION("""COMPUTED_VALUE"""),"")</f>
        <v/>
      </c>
      <c r="P770" s="8"/>
      <c r="Q770" s="8"/>
    </row>
    <row r="771">
      <c r="A771" s="8"/>
      <c r="B771" s="25"/>
      <c r="C771" s="385" t="s">
        <v>1426</v>
      </c>
      <c r="D771" s="392"/>
      <c r="E771" s="8"/>
      <c r="F771" s="8"/>
      <c r="G771" s="389"/>
      <c r="H771" s="8" t="b">
        <v>0</v>
      </c>
      <c r="I771" s="388" t="str">
        <f>IFERROR(__xludf.DUMMYFUNCTION("""COMPUTED_VALUE"""),"")</f>
        <v/>
      </c>
      <c r="J771" s="7"/>
      <c r="K771" s="8"/>
      <c r="L771" s="8"/>
      <c r="M771" s="8"/>
      <c r="N771" s="8" t="str">
        <f>IFERROR(__xludf.DUMMYFUNCTION("""COMPUTED_VALUE"""),"")</f>
        <v/>
      </c>
      <c r="O771" s="8" t="str">
        <f>IFERROR(__xludf.DUMMYFUNCTION("""COMPUTED_VALUE"""),"")</f>
        <v/>
      </c>
      <c r="P771" s="8"/>
      <c r="Q771" s="8"/>
    </row>
    <row r="772">
      <c r="A772" s="8"/>
      <c r="B772" s="25"/>
      <c r="C772" s="385" t="s">
        <v>1426</v>
      </c>
      <c r="D772" s="392"/>
      <c r="E772" s="8"/>
      <c r="F772" s="8"/>
      <c r="G772" s="389"/>
      <c r="H772" s="8" t="b">
        <v>0</v>
      </c>
      <c r="I772" s="388" t="str">
        <f>IFERROR(__xludf.DUMMYFUNCTION("""COMPUTED_VALUE"""),"")</f>
        <v/>
      </c>
      <c r="J772" s="7"/>
      <c r="K772" s="8"/>
      <c r="L772" s="8"/>
      <c r="M772" s="8"/>
      <c r="N772" s="8" t="str">
        <f>IFERROR(__xludf.DUMMYFUNCTION("""COMPUTED_VALUE"""),"")</f>
        <v/>
      </c>
      <c r="O772" s="8" t="str">
        <f>IFERROR(__xludf.DUMMYFUNCTION("""COMPUTED_VALUE"""),"")</f>
        <v/>
      </c>
      <c r="P772" s="8"/>
      <c r="Q772" s="8"/>
    </row>
    <row r="773">
      <c r="A773" s="8"/>
      <c r="B773" s="25"/>
      <c r="C773" s="385" t="s">
        <v>1426</v>
      </c>
      <c r="D773" s="392"/>
      <c r="E773" s="8"/>
      <c r="F773" s="8"/>
      <c r="G773" s="389"/>
      <c r="H773" s="8" t="b">
        <v>0</v>
      </c>
      <c r="I773" s="388" t="str">
        <f>IFERROR(__xludf.DUMMYFUNCTION("""COMPUTED_VALUE"""),"")</f>
        <v/>
      </c>
      <c r="J773" s="7"/>
      <c r="K773" s="8"/>
      <c r="L773" s="8"/>
      <c r="M773" s="8"/>
      <c r="N773" s="8" t="str">
        <f>IFERROR(__xludf.DUMMYFUNCTION("""COMPUTED_VALUE"""),"")</f>
        <v/>
      </c>
      <c r="O773" s="8" t="str">
        <f>IFERROR(__xludf.DUMMYFUNCTION("""COMPUTED_VALUE"""),"")</f>
        <v/>
      </c>
      <c r="P773" s="8"/>
      <c r="Q773" s="8"/>
    </row>
    <row r="774">
      <c r="A774" s="8"/>
      <c r="B774" s="25"/>
      <c r="C774" s="385" t="s">
        <v>1426</v>
      </c>
      <c r="D774" s="392"/>
      <c r="E774" s="8"/>
      <c r="F774" s="8"/>
      <c r="G774" s="389"/>
      <c r="H774" s="8" t="b">
        <v>0</v>
      </c>
      <c r="I774" s="388" t="str">
        <f>IFERROR(__xludf.DUMMYFUNCTION("""COMPUTED_VALUE"""),"")</f>
        <v/>
      </c>
      <c r="J774" s="7"/>
      <c r="K774" s="8"/>
      <c r="L774" s="8"/>
      <c r="M774" s="8"/>
      <c r="N774" s="8" t="str">
        <f>IFERROR(__xludf.DUMMYFUNCTION("""COMPUTED_VALUE"""),"")</f>
        <v/>
      </c>
      <c r="O774" s="8" t="str">
        <f>IFERROR(__xludf.DUMMYFUNCTION("""COMPUTED_VALUE"""),"")</f>
        <v/>
      </c>
      <c r="P774" s="8"/>
      <c r="Q774" s="8"/>
    </row>
    <row r="775">
      <c r="A775" s="8"/>
      <c r="B775" s="25"/>
      <c r="C775" s="385" t="s">
        <v>1426</v>
      </c>
      <c r="D775" s="392"/>
      <c r="E775" s="8"/>
      <c r="F775" s="8"/>
      <c r="G775" s="389"/>
      <c r="H775" s="8" t="b">
        <v>0</v>
      </c>
      <c r="I775" s="388" t="str">
        <f>IFERROR(__xludf.DUMMYFUNCTION("""COMPUTED_VALUE"""),"")</f>
        <v/>
      </c>
      <c r="J775" s="7"/>
      <c r="K775" s="8"/>
      <c r="L775" s="8"/>
      <c r="M775" s="8"/>
      <c r="N775" s="8" t="str">
        <f>IFERROR(__xludf.DUMMYFUNCTION("""COMPUTED_VALUE"""),"")</f>
        <v/>
      </c>
      <c r="O775" s="8" t="str">
        <f>IFERROR(__xludf.DUMMYFUNCTION("""COMPUTED_VALUE"""),"")</f>
        <v/>
      </c>
      <c r="P775" s="8"/>
      <c r="Q775" s="8"/>
    </row>
    <row r="776">
      <c r="A776" s="8"/>
      <c r="B776" s="25"/>
      <c r="C776" s="385" t="s">
        <v>1426</v>
      </c>
      <c r="D776" s="392"/>
      <c r="E776" s="8"/>
      <c r="F776" s="8"/>
      <c r="G776" s="389"/>
      <c r="H776" s="8" t="b">
        <v>0</v>
      </c>
      <c r="I776" s="388" t="str">
        <f>IFERROR(__xludf.DUMMYFUNCTION("""COMPUTED_VALUE"""),"")</f>
        <v/>
      </c>
      <c r="J776" s="7"/>
      <c r="K776" s="8"/>
      <c r="L776" s="8"/>
      <c r="M776" s="8"/>
      <c r="N776" s="8" t="str">
        <f>IFERROR(__xludf.DUMMYFUNCTION("""COMPUTED_VALUE"""),"")</f>
        <v/>
      </c>
      <c r="O776" s="8" t="str">
        <f>IFERROR(__xludf.DUMMYFUNCTION("""COMPUTED_VALUE"""),"")</f>
        <v/>
      </c>
      <c r="P776" s="8"/>
      <c r="Q776" s="8"/>
    </row>
    <row r="777">
      <c r="A777" s="8"/>
      <c r="B777" s="25"/>
      <c r="C777" s="385" t="s">
        <v>1426</v>
      </c>
      <c r="D777" s="392"/>
      <c r="E777" s="8"/>
      <c r="F777" s="8"/>
      <c r="G777" s="389"/>
      <c r="H777" s="8" t="b">
        <v>0</v>
      </c>
      <c r="I777" s="388" t="str">
        <f>IFERROR(__xludf.DUMMYFUNCTION("""COMPUTED_VALUE"""),"")</f>
        <v/>
      </c>
      <c r="J777" s="7"/>
      <c r="K777" s="8"/>
      <c r="L777" s="8"/>
      <c r="M777" s="8"/>
      <c r="N777" s="8" t="str">
        <f>IFERROR(__xludf.DUMMYFUNCTION("""COMPUTED_VALUE"""),"")</f>
        <v/>
      </c>
      <c r="O777" s="8" t="str">
        <f>IFERROR(__xludf.DUMMYFUNCTION("""COMPUTED_VALUE"""),"")</f>
        <v/>
      </c>
      <c r="P777" s="8"/>
      <c r="Q777" s="8"/>
    </row>
    <row r="778">
      <c r="A778" s="8"/>
      <c r="B778" s="25"/>
      <c r="C778" s="385" t="s">
        <v>1426</v>
      </c>
      <c r="D778" s="392"/>
      <c r="E778" s="8"/>
      <c r="F778" s="8"/>
      <c r="G778" s="389"/>
      <c r="H778" s="8" t="b">
        <v>0</v>
      </c>
      <c r="I778" s="388" t="str">
        <f>IFERROR(__xludf.DUMMYFUNCTION("""COMPUTED_VALUE"""),"")</f>
        <v/>
      </c>
      <c r="J778" s="7"/>
      <c r="K778" s="8"/>
      <c r="L778" s="8"/>
      <c r="M778" s="8"/>
      <c r="N778" s="8" t="str">
        <f>IFERROR(__xludf.DUMMYFUNCTION("""COMPUTED_VALUE"""),"")</f>
        <v/>
      </c>
      <c r="O778" s="8" t="str">
        <f>IFERROR(__xludf.DUMMYFUNCTION("""COMPUTED_VALUE"""),"")</f>
        <v/>
      </c>
      <c r="P778" s="8"/>
      <c r="Q778" s="8"/>
    </row>
    <row r="779">
      <c r="A779" s="8"/>
      <c r="B779" s="25"/>
      <c r="C779" s="385" t="s">
        <v>1426</v>
      </c>
      <c r="D779" s="392"/>
      <c r="E779" s="8"/>
      <c r="F779" s="8"/>
      <c r="G779" s="389"/>
      <c r="H779" s="8" t="b">
        <v>0</v>
      </c>
      <c r="I779" s="388" t="str">
        <f>IFERROR(__xludf.DUMMYFUNCTION("""COMPUTED_VALUE"""),"")</f>
        <v/>
      </c>
      <c r="J779" s="7"/>
      <c r="K779" s="8"/>
      <c r="L779" s="8"/>
      <c r="M779" s="8"/>
      <c r="N779" s="8" t="str">
        <f>IFERROR(__xludf.DUMMYFUNCTION("""COMPUTED_VALUE"""),"")</f>
        <v/>
      </c>
      <c r="O779" s="8" t="str">
        <f>IFERROR(__xludf.DUMMYFUNCTION("""COMPUTED_VALUE"""),"")</f>
        <v/>
      </c>
      <c r="P779" s="8"/>
      <c r="Q779" s="8"/>
    </row>
    <row r="780">
      <c r="A780" s="8"/>
      <c r="B780" s="25"/>
      <c r="C780" s="385" t="s">
        <v>1426</v>
      </c>
      <c r="D780" s="392"/>
      <c r="E780" s="8"/>
      <c r="F780" s="8"/>
      <c r="G780" s="389"/>
      <c r="H780" s="8" t="b">
        <v>0</v>
      </c>
      <c r="I780" s="388" t="str">
        <f>IFERROR(__xludf.DUMMYFUNCTION("""COMPUTED_VALUE"""),"")</f>
        <v/>
      </c>
      <c r="J780" s="7"/>
      <c r="K780" s="8"/>
      <c r="L780" s="8"/>
      <c r="M780" s="8"/>
      <c r="N780" s="8" t="str">
        <f>IFERROR(__xludf.DUMMYFUNCTION("""COMPUTED_VALUE"""),"")</f>
        <v/>
      </c>
      <c r="O780" s="8" t="str">
        <f>IFERROR(__xludf.DUMMYFUNCTION("""COMPUTED_VALUE"""),"")</f>
        <v/>
      </c>
      <c r="P780" s="8"/>
      <c r="Q780" s="8"/>
    </row>
    <row r="781">
      <c r="A781" s="8"/>
      <c r="B781" s="25"/>
      <c r="C781" s="385" t="s">
        <v>1426</v>
      </c>
      <c r="D781" s="392"/>
      <c r="E781" s="8"/>
      <c r="F781" s="8"/>
      <c r="G781" s="389"/>
      <c r="H781" s="8" t="b">
        <v>0</v>
      </c>
      <c r="I781" s="388" t="str">
        <f>IFERROR(__xludf.DUMMYFUNCTION("""COMPUTED_VALUE"""),"")</f>
        <v/>
      </c>
      <c r="J781" s="7"/>
      <c r="K781" s="8"/>
      <c r="L781" s="8"/>
      <c r="M781" s="8"/>
      <c r="N781" s="8" t="str">
        <f>IFERROR(__xludf.DUMMYFUNCTION("""COMPUTED_VALUE"""),"")</f>
        <v/>
      </c>
      <c r="O781" s="8" t="str">
        <f>IFERROR(__xludf.DUMMYFUNCTION("""COMPUTED_VALUE"""),"")</f>
        <v/>
      </c>
      <c r="P781" s="8"/>
      <c r="Q781" s="8"/>
    </row>
    <row r="782">
      <c r="A782" s="8"/>
      <c r="B782" s="25"/>
      <c r="C782" s="385" t="s">
        <v>1426</v>
      </c>
      <c r="D782" s="392"/>
      <c r="E782" s="8"/>
      <c r="F782" s="8"/>
      <c r="G782" s="389"/>
      <c r="H782" s="8" t="b">
        <v>0</v>
      </c>
      <c r="I782" s="388" t="str">
        <f>IFERROR(__xludf.DUMMYFUNCTION("""COMPUTED_VALUE"""),"")</f>
        <v/>
      </c>
      <c r="J782" s="7"/>
      <c r="K782" s="8"/>
      <c r="L782" s="8"/>
      <c r="M782" s="8"/>
      <c r="N782" s="8" t="str">
        <f>IFERROR(__xludf.DUMMYFUNCTION("""COMPUTED_VALUE"""),"")</f>
        <v/>
      </c>
      <c r="O782" s="8" t="str">
        <f>IFERROR(__xludf.DUMMYFUNCTION("""COMPUTED_VALUE"""),"")</f>
        <v/>
      </c>
      <c r="P782" s="8"/>
      <c r="Q782" s="8"/>
    </row>
    <row r="783">
      <c r="A783" s="8"/>
      <c r="B783" s="25"/>
      <c r="C783" s="385" t="s">
        <v>1426</v>
      </c>
      <c r="D783" s="392"/>
      <c r="E783" s="8"/>
      <c r="F783" s="8"/>
      <c r="G783" s="389"/>
      <c r="H783" s="8" t="b">
        <v>0</v>
      </c>
      <c r="I783" s="388" t="str">
        <f>IFERROR(__xludf.DUMMYFUNCTION("""COMPUTED_VALUE"""),"")</f>
        <v/>
      </c>
      <c r="J783" s="7"/>
      <c r="K783" s="8"/>
      <c r="L783" s="8"/>
      <c r="M783" s="8"/>
      <c r="N783" s="8" t="str">
        <f>IFERROR(__xludf.DUMMYFUNCTION("""COMPUTED_VALUE"""),"")</f>
        <v/>
      </c>
      <c r="O783" s="8" t="str">
        <f>IFERROR(__xludf.DUMMYFUNCTION("""COMPUTED_VALUE"""),"")</f>
        <v/>
      </c>
      <c r="P783" s="8"/>
      <c r="Q783" s="8"/>
    </row>
    <row r="784">
      <c r="A784" s="8"/>
      <c r="B784" s="25"/>
      <c r="C784" s="385" t="s">
        <v>1426</v>
      </c>
      <c r="D784" s="392"/>
      <c r="E784" s="8"/>
      <c r="F784" s="8"/>
      <c r="G784" s="389"/>
      <c r="H784" s="8" t="b">
        <v>0</v>
      </c>
      <c r="I784" s="388" t="str">
        <f>IFERROR(__xludf.DUMMYFUNCTION("""COMPUTED_VALUE"""),"")</f>
        <v/>
      </c>
      <c r="J784" s="7"/>
      <c r="K784" s="8"/>
      <c r="L784" s="8"/>
      <c r="M784" s="8"/>
      <c r="N784" s="8" t="str">
        <f>IFERROR(__xludf.DUMMYFUNCTION("""COMPUTED_VALUE"""),"")</f>
        <v/>
      </c>
      <c r="O784" s="8" t="str">
        <f>IFERROR(__xludf.DUMMYFUNCTION("""COMPUTED_VALUE"""),"")</f>
        <v/>
      </c>
      <c r="P784" s="8"/>
      <c r="Q784" s="8"/>
    </row>
    <row r="785">
      <c r="A785" s="8"/>
      <c r="B785" s="25"/>
      <c r="C785" s="385" t="s">
        <v>1426</v>
      </c>
      <c r="D785" s="392"/>
      <c r="E785" s="8"/>
      <c r="F785" s="8"/>
      <c r="G785" s="389"/>
      <c r="H785" s="8" t="b">
        <v>0</v>
      </c>
      <c r="I785" s="388" t="str">
        <f>IFERROR(__xludf.DUMMYFUNCTION("""COMPUTED_VALUE"""),"")</f>
        <v/>
      </c>
      <c r="J785" s="7"/>
      <c r="K785" s="8"/>
      <c r="L785" s="8"/>
      <c r="M785" s="8"/>
      <c r="N785" s="8" t="str">
        <f>IFERROR(__xludf.DUMMYFUNCTION("""COMPUTED_VALUE"""),"")</f>
        <v/>
      </c>
      <c r="O785" s="8" t="str">
        <f>IFERROR(__xludf.DUMMYFUNCTION("""COMPUTED_VALUE"""),"")</f>
        <v/>
      </c>
      <c r="P785" s="8"/>
      <c r="Q785" s="8"/>
    </row>
    <row r="786">
      <c r="A786" s="8"/>
      <c r="B786" s="25"/>
      <c r="C786" s="385" t="s">
        <v>1426</v>
      </c>
      <c r="D786" s="392"/>
      <c r="E786" s="8"/>
      <c r="F786" s="8"/>
      <c r="G786" s="389"/>
      <c r="H786" s="8" t="b">
        <v>0</v>
      </c>
      <c r="I786" s="388" t="str">
        <f>IFERROR(__xludf.DUMMYFUNCTION("""COMPUTED_VALUE"""),"")</f>
        <v/>
      </c>
      <c r="J786" s="7"/>
      <c r="K786" s="8"/>
      <c r="L786" s="8"/>
      <c r="M786" s="8"/>
      <c r="N786" s="8" t="str">
        <f>IFERROR(__xludf.DUMMYFUNCTION("""COMPUTED_VALUE"""),"")</f>
        <v/>
      </c>
      <c r="O786" s="8" t="str">
        <f>IFERROR(__xludf.DUMMYFUNCTION("""COMPUTED_VALUE"""),"")</f>
        <v/>
      </c>
      <c r="P786" s="8"/>
      <c r="Q786" s="8"/>
    </row>
    <row r="787">
      <c r="A787" s="8"/>
      <c r="B787" s="25"/>
      <c r="C787" s="385" t="s">
        <v>1426</v>
      </c>
      <c r="D787" s="392"/>
      <c r="E787" s="8"/>
      <c r="F787" s="8"/>
      <c r="G787" s="389"/>
      <c r="H787" s="8" t="b">
        <v>0</v>
      </c>
      <c r="I787" s="388" t="str">
        <f>IFERROR(__xludf.DUMMYFUNCTION("""COMPUTED_VALUE"""),"")</f>
        <v/>
      </c>
      <c r="J787" s="7"/>
      <c r="K787" s="8"/>
      <c r="L787" s="8"/>
      <c r="M787" s="8"/>
      <c r="N787" s="8" t="str">
        <f>IFERROR(__xludf.DUMMYFUNCTION("""COMPUTED_VALUE"""),"")</f>
        <v/>
      </c>
      <c r="O787" s="8" t="str">
        <f>IFERROR(__xludf.DUMMYFUNCTION("""COMPUTED_VALUE"""),"")</f>
        <v/>
      </c>
      <c r="P787" s="8"/>
      <c r="Q787" s="8"/>
    </row>
    <row r="788">
      <c r="A788" s="8"/>
      <c r="B788" s="25"/>
      <c r="C788" s="385" t="s">
        <v>1426</v>
      </c>
      <c r="D788" s="392"/>
      <c r="E788" s="8"/>
      <c r="F788" s="8"/>
      <c r="G788" s="389"/>
      <c r="H788" s="8" t="b">
        <v>0</v>
      </c>
      <c r="I788" s="388" t="str">
        <f>IFERROR(__xludf.DUMMYFUNCTION("""COMPUTED_VALUE"""),"")</f>
        <v/>
      </c>
      <c r="J788" s="7"/>
      <c r="K788" s="8"/>
      <c r="L788" s="8"/>
      <c r="M788" s="8"/>
      <c r="N788" s="8" t="str">
        <f>IFERROR(__xludf.DUMMYFUNCTION("""COMPUTED_VALUE"""),"")</f>
        <v/>
      </c>
      <c r="O788" s="8" t="str">
        <f>IFERROR(__xludf.DUMMYFUNCTION("""COMPUTED_VALUE"""),"")</f>
        <v/>
      </c>
      <c r="P788" s="8"/>
      <c r="Q788" s="8"/>
    </row>
    <row r="789">
      <c r="A789" s="8"/>
      <c r="B789" s="25"/>
      <c r="C789" s="385" t="s">
        <v>1426</v>
      </c>
      <c r="D789" s="392"/>
      <c r="E789" s="8"/>
      <c r="F789" s="8"/>
      <c r="G789" s="389"/>
      <c r="H789" s="8" t="b">
        <v>0</v>
      </c>
      <c r="I789" s="388" t="str">
        <f>IFERROR(__xludf.DUMMYFUNCTION("""COMPUTED_VALUE"""),"")</f>
        <v/>
      </c>
      <c r="J789" s="7"/>
      <c r="K789" s="8"/>
      <c r="L789" s="8"/>
      <c r="M789" s="8"/>
      <c r="N789" s="8" t="str">
        <f>IFERROR(__xludf.DUMMYFUNCTION("""COMPUTED_VALUE"""),"")</f>
        <v/>
      </c>
      <c r="O789" s="8" t="str">
        <f>IFERROR(__xludf.DUMMYFUNCTION("""COMPUTED_VALUE"""),"")</f>
        <v/>
      </c>
      <c r="P789" s="8"/>
      <c r="Q789" s="8"/>
    </row>
    <row r="790">
      <c r="A790" s="8"/>
      <c r="B790" s="25"/>
      <c r="C790" s="385" t="s">
        <v>1426</v>
      </c>
      <c r="D790" s="392"/>
      <c r="E790" s="8"/>
      <c r="F790" s="8"/>
      <c r="G790" s="389"/>
      <c r="H790" s="8" t="b">
        <v>0</v>
      </c>
      <c r="I790" s="388" t="str">
        <f>IFERROR(__xludf.DUMMYFUNCTION("""COMPUTED_VALUE"""),"")</f>
        <v/>
      </c>
      <c r="J790" s="7"/>
      <c r="K790" s="8"/>
      <c r="L790" s="8"/>
      <c r="M790" s="8"/>
      <c r="N790" s="8" t="str">
        <f>IFERROR(__xludf.DUMMYFUNCTION("""COMPUTED_VALUE"""),"")</f>
        <v/>
      </c>
      <c r="O790" s="8" t="str">
        <f>IFERROR(__xludf.DUMMYFUNCTION("""COMPUTED_VALUE"""),"")</f>
        <v/>
      </c>
      <c r="P790" s="8"/>
      <c r="Q790" s="8"/>
    </row>
    <row r="791">
      <c r="A791" s="8"/>
      <c r="B791" s="25"/>
      <c r="C791" s="385" t="s">
        <v>1426</v>
      </c>
      <c r="D791" s="392"/>
      <c r="E791" s="8"/>
      <c r="F791" s="8"/>
      <c r="G791" s="389"/>
      <c r="H791" s="8" t="b">
        <v>0</v>
      </c>
      <c r="I791" s="388" t="str">
        <f>IFERROR(__xludf.DUMMYFUNCTION("""COMPUTED_VALUE"""),"")</f>
        <v/>
      </c>
      <c r="J791" s="7"/>
      <c r="K791" s="8"/>
      <c r="L791" s="8"/>
      <c r="M791" s="8"/>
      <c r="N791" s="8" t="str">
        <f>IFERROR(__xludf.DUMMYFUNCTION("""COMPUTED_VALUE"""),"")</f>
        <v/>
      </c>
      <c r="O791" s="8" t="str">
        <f>IFERROR(__xludf.DUMMYFUNCTION("""COMPUTED_VALUE"""),"")</f>
        <v/>
      </c>
      <c r="P791" s="8"/>
      <c r="Q791" s="8"/>
    </row>
    <row r="792">
      <c r="A792" s="8"/>
      <c r="B792" s="25"/>
      <c r="C792" s="385" t="s">
        <v>1426</v>
      </c>
      <c r="D792" s="392"/>
      <c r="E792" s="8"/>
      <c r="F792" s="8"/>
      <c r="G792" s="389"/>
      <c r="H792" s="8" t="b">
        <v>0</v>
      </c>
      <c r="I792" s="388" t="str">
        <f>IFERROR(__xludf.DUMMYFUNCTION("""COMPUTED_VALUE"""),"")</f>
        <v/>
      </c>
      <c r="J792" s="7"/>
      <c r="K792" s="8"/>
      <c r="L792" s="8"/>
      <c r="M792" s="8"/>
      <c r="N792" s="8" t="str">
        <f>IFERROR(__xludf.DUMMYFUNCTION("""COMPUTED_VALUE"""),"")</f>
        <v/>
      </c>
      <c r="O792" s="8" t="str">
        <f>IFERROR(__xludf.DUMMYFUNCTION("""COMPUTED_VALUE"""),"")</f>
        <v/>
      </c>
      <c r="P792" s="8"/>
      <c r="Q792" s="8"/>
    </row>
    <row r="793">
      <c r="A793" s="8"/>
      <c r="B793" s="25"/>
      <c r="C793" s="385" t="s">
        <v>1426</v>
      </c>
      <c r="D793" s="392"/>
      <c r="E793" s="8"/>
      <c r="F793" s="8"/>
      <c r="G793" s="389"/>
      <c r="H793" s="8" t="b">
        <v>0</v>
      </c>
      <c r="I793" s="388" t="str">
        <f>IFERROR(__xludf.DUMMYFUNCTION("""COMPUTED_VALUE"""),"")</f>
        <v/>
      </c>
      <c r="J793" s="7"/>
      <c r="K793" s="8"/>
      <c r="L793" s="8"/>
      <c r="M793" s="8"/>
      <c r="N793" s="8" t="str">
        <f>IFERROR(__xludf.DUMMYFUNCTION("""COMPUTED_VALUE"""),"")</f>
        <v/>
      </c>
      <c r="O793" s="8" t="str">
        <f>IFERROR(__xludf.DUMMYFUNCTION("""COMPUTED_VALUE"""),"")</f>
        <v/>
      </c>
      <c r="P793" s="8"/>
      <c r="Q793" s="8"/>
    </row>
    <row r="794">
      <c r="A794" s="8"/>
      <c r="B794" s="25"/>
      <c r="C794" s="385" t="s">
        <v>1426</v>
      </c>
      <c r="D794" s="392"/>
      <c r="E794" s="8"/>
      <c r="F794" s="8"/>
      <c r="G794" s="389"/>
      <c r="H794" s="8" t="b">
        <v>0</v>
      </c>
      <c r="I794" s="388" t="str">
        <f>IFERROR(__xludf.DUMMYFUNCTION("""COMPUTED_VALUE"""),"")</f>
        <v/>
      </c>
      <c r="J794" s="7"/>
      <c r="K794" s="8"/>
      <c r="L794" s="8"/>
      <c r="M794" s="8"/>
      <c r="N794" s="8" t="str">
        <f>IFERROR(__xludf.DUMMYFUNCTION("""COMPUTED_VALUE"""),"")</f>
        <v/>
      </c>
      <c r="O794" s="8" t="str">
        <f>IFERROR(__xludf.DUMMYFUNCTION("""COMPUTED_VALUE"""),"")</f>
        <v/>
      </c>
      <c r="P794" s="8"/>
      <c r="Q794" s="8"/>
    </row>
    <row r="795">
      <c r="A795" s="8"/>
      <c r="B795" s="25"/>
      <c r="C795" s="385" t="s">
        <v>1426</v>
      </c>
      <c r="D795" s="392"/>
      <c r="E795" s="8"/>
      <c r="F795" s="8"/>
      <c r="G795" s="389"/>
      <c r="H795" s="8" t="b">
        <v>0</v>
      </c>
      <c r="I795" s="388" t="str">
        <f>IFERROR(__xludf.DUMMYFUNCTION("""COMPUTED_VALUE"""),"")</f>
        <v/>
      </c>
      <c r="J795" s="7"/>
      <c r="K795" s="8"/>
      <c r="L795" s="8"/>
      <c r="M795" s="8"/>
      <c r="N795" s="8" t="str">
        <f>IFERROR(__xludf.DUMMYFUNCTION("""COMPUTED_VALUE"""),"")</f>
        <v/>
      </c>
      <c r="O795" s="8" t="str">
        <f>IFERROR(__xludf.DUMMYFUNCTION("""COMPUTED_VALUE"""),"")</f>
        <v/>
      </c>
      <c r="P795" s="8"/>
      <c r="Q795" s="8"/>
    </row>
    <row r="796">
      <c r="A796" s="8"/>
      <c r="B796" s="25"/>
      <c r="C796" s="385" t="s">
        <v>1426</v>
      </c>
      <c r="D796" s="392"/>
      <c r="E796" s="8"/>
      <c r="F796" s="8"/>
      <c r="G796" s="389"/>
      <c r="H796" s="8" t="b">
        <v>0</v>
      </c>
      <c r="I796" s="388" t="str">
        <f>IFERROR(__xludf.DUMMYFUNCTION("""COMPUTED_VALUE"""),"")</f>
        <v/>
      </c>
      <c r="J796" s="7"/>
      <c r="K796" s="8"/>
      <c r="L796" s="8"/>
      <c r="M796" s="8"/>
      <c r="N796" s="8" t="str">
        <f>IFERROR(__xludf.DUMMYFUNCTION("""COMPUTED_VALUE"""),"")</f>
        <v/>
      </c>
      <c r="O796" s="8" t="str">
        <f>IFERROR(__xludf.DUMMYFUNCTION("""COMPUTED_VALUE"""),"")</f>
        <v/>
      </c>
      <c r="P796" s="8"/>
      <c r="Q796" s="8"/>
    </row>
    <row r="797">
      <c r="A797" s="8"/>
      <c r="B797" s="25"/>
      <c r="C797" s="385" t="s">
        <v>1426</v>
      </c>
      <c r="D797" s="392"/>
      <c r="E797" s="8"/>
      <c r="F797" s="8"/>
      <c r="G797" s="389"/>
      <c r="H797" s="8" t="b">
        <v>0</v>
      </c>
      <c r="I797" s="388" t="str">
        <f>IFERROR(__xludf.DUMMYFUNCTION("""COMPUTED_VALUE"""),"")</f>
        <v/>
      </c>
      <c r="J797" s="7"/>
      <c r="K797" s="8"/>
      <c r="L797" s="8"/>
      <c r="M797" s="8"/>
      <c r="N797" s="8" t="str">
        <f>IFERROR(__xludf.DUMMYFUNCTION("""COMPUTED_VALUE"""),"")</f>
        <v/>
      </c>
      <c r="O797" s="8" t="str">
        <f>IFERROR(__xludf.DUMMYFUNCTION("""COMPUTED_VALUE"""),"")</f>
        <v/>
      </c>
      <c r="P797" s="8"/>
      <c r="Q797" s="8"/>
    </row>
    <row r="798">
      <c r="A798" s="8"/>
      <c r="B798" s="25"/>
      <c r="C798" s="385" t="s">
        <v>1426</v>
      </c>
      <c r="D798" s="392"/>
      <c r="E798" s="8"/>
      <c r="F798" s="8"/>
      <c r="G798" s="389"/>
      <c r="H798" s="8" t="b">
        <v>0</v>
      </c>
      <c r="I798" s="388" t="str">
        <f>IFERROR(__xludf.DUMMYFUNCTION("""COMPUTED_VALUE"""),"")</f>
        <v/>
      </c>
      <c r="J798" s="7"/>
      <c r="K798" s="8"/>
      <c r="L798" s="8"/>
      <c r="M798" s="8"/>
      <c r="N798" s="8" t="str">
        <f>IFERROR(__xludf.DUMMYFUNCTION("""COMPUTED_VALUE"""),"")</f>
        <v/>
      </c>
      <c r="O798" s="8" t="str">
        <f>IFERROR(__xludf.DUMMYFUNCTION("""COMPUTED_VALUE"""),"")</f>
        <v/>
      </c>
      <c r="P798" s="8"/>
      <c r="Q798" s="8"/>
    </row>
    <row r="799">
      <c r="A799" s="8"/>
      <c r="B799" s="25"/>
      <c r="C799" s="385" t="s">
        <v>1426</v>
      </c>
      <c r="D799" s="392"/>
      <c r="E799" s="8"/>
      <c r="F799" s="8"/>
      <c r="G799" s="389"/>
      <c r="H799" s="8" t="b">
        <v>0</v>
      </c>
      <c r="I799" s="388" t="str">
        <f>IFERROR(__xludf.DUMMYFUNCTION("""COMPUTED_VALUE"""),"")</f>
        <v/>
      </c>
      <c r="J799" s="7"/>
      <c r="K799" s="8"/>
      <c r="L799" s="8"/>
      <c r="M799" s="8"/>
      <c r="N799" s="8" t="str">
        <f>IFERROR(__xludf.DUMMYFUNCTION("""COMPUTED_VALUE"""),"")</f>
        <v/>
      </c>
      <c r="O799" s="8" t="str">
        <f>IFERROR(__xludf.DUMMYFUNCTION("""COMPUTED_VALUE"""),"")</f>
        <v/>
      </c>
      <c r="P799" s="8"/>
      <c r="Q799" s="8"/>
    </row>
    <row r="800">
      <c r="A800" s="8"/>
      <c r="B800" s="25"/>
      <c r="C800" s="385" t="s">
        <v>1426</v>
      </c>
      <c r="D800" s="392"/>
      <c r="E800" s="8"/>
      <c r="F800" s="8"/>
      <c r="G800" s="389"/>
      <c r="H800" s="8" t="b">
        <v>0</v>
      </c>
      <c r="I800" s="388" t="str">
        <f>IFERROR(__xludf.DUMMYFUNCTION("""COMPUTED_VALUE"""),"")</f>
        <v/>
      </c>
      <c r="J800" s="7"/>
      <c r="K800" s="8"/>
      <c r="L800" s="8"/>
      <c r="M800" s="8"/>
      <c r="N800" s="8" t="str">
        <f>IFERROR(__xludf.DUMMYFUNCTION("""COMPUTED_VALUE"""),"")</f>
        <v/>
      </c>
      <c r="O800" s="8" t="str">
        <f>IFERROR(__xludf.DUMMYFUNCTION("""COMPUTED_VALUE"""),"")</f>
        <v/>
      </c>
      <c r="P800" s="8"/>
      <c r="Q800" s="8"/>
    </row>
    <row r="801">
      <c r="A801" s="8"/>
      <c r="B801" s="25"/>
      <c r="C801" s="385" t="s">
        <v>1426</v>
      </c>
      <c r="D801" s="392"/>
      <c r="E801" s="8"/>
      <c r="F801" s="8"/>
      <c r="G801" s="389"/>
      <c r="H801" s="8" t="b">
        <v>0</v>
      </c>
      <c r="I801" s="388" t="str">
        <f>IFERROR(__xludf.DUMMYFUNCTION("""COMPUTED_VALUE"""),"")</f>
        <v/>
      </c>
      <c r="J801" s="7"/>
      <c r="K801" s="8"/>
      <c r="L801" s="8"/>
      <c r="M801" s="8"/>
      <c r="N801" s="8" t="str">
        <f>IFERROR(__xludf.DUMMYFUNCTION("""COMPUTED_VALUE"""),"")</f>
        <v/>
      </c>
      <c r="O801" s="8" t="str">
        <f>IFERROR(__xludf.DUMMYFUNCTION("""COMPUTED_VALUE"""),"")</f>
        <v/>
      </c>
      <c r="P801" s="8"/>
      <c r="Q801" s="8"/>
    </row>
    <row r="802">
      <c r="A802" s="8"/>
      <c r="B802" s="25"/>
      <c r="C802" s="385" t="s">
        <v>1426</v>
      </c>
      <c r="D802" s="392"/>
      <c r="E802" s="8"/>
      <c r="F802" s="8"/>
      <c r="G802" s="389"/>
      <c r="H802" s="8" t="b">
        <v>0</v>
      </c>
      <c r="I802" s="388" t="str">
        <f>IFERROR(__xludf.DUMMYFUNCTION("""COMPUTED_VALUE"""),"")</f>
        <v/>
      </c>
      <c r="J802" s="7"/>
      <c r="K802" s="8"/>
      <c r="L802" s="8"/>
      <c r="M802" s="8"/>
      <c r="N802" s="8" t="str">
        <f>IFERROR(__xludf.DUMMYFUNCTION("""COMPUTED_VALUE"""),"")</f>
        <v/>
      </c>
      <c r="O802" s="8" t="str">
        <f>IFERROR(__xludf.DUMMYFUNCTION("""COMPUTED_VALUE"""),"")</f>
        <v/>
      </c>
      <c r="P802" s="8"/>
      <c r="Q802" s="8"/>
    </row>
    <row r="803">
      <c r="A803" s="8"/>
      <c r="B803" s="25"/>
      <c r="C803" s="385" t="s">
        <v>1426</v>
      </c>
      <c r="D803" s="392"/>
      <c r="E803" s="8"/>
      <c r="F803" s="8"/>
      <c r="G803" s="389"/>
      <c r="H803" s="8" t="b">
        <v>0</v>
      </c>
      <c r="I803" s="388" t="str">
        <f>IFERROR(__xludf.DUMMYFUNCTION("""COMPUTED_VALUE"""),"")</f>
        <v/>
      </c>
      <c r="J803" s="7"/>
      <c r="K803" s="8"/>
      <c r="L803" s="8"/>
      <c r="M803" s="8"/>
      <c r="N803" s="8" t="str">
        <f>IFERROR(__xludf.DUMMYFUNCTION("""COMPUTED_VALUE"""),"")</f>
        <v/>
      </c>
      <c r="O803" s="8" t="str">
        <f>IFERROR(__xludf.DUMMYFUNCTION("""COMPUTED_VALUE"""),"")</f>
        <v/>
      </c>
      <c r="P803" s="8"/>
      <c r="Q803" s="8"/>
    </row>
    <row r="804">
      <c r="A804" s="8"/>
      <c r="B804" s="25"/>
      <c r="C804" s="385" t="s">
        <v>1426</v>
      </c>
      <c r="D804" s="392"/>
      <c r="E804" s="8"/>
      <c r="F804" s="8"/>
      <c r="G804" s="389"/>
      <c r="H804" s="8" t="b">
        <v>0</v>
      </c>
      <c r="I804" s="388" t="str">
        <f>IFERROR(__xludf.DUMMYFUNCTION("""COMPUTED_VALUE"""),"")</f>
        <v/>
      </c>
      <c r="J804" s="7"/>
      <c r="K804" s="8"/>
      <c r="L804" s="8"/>
      <c r="M804" s="8"/>
      <c r="N804" s="8" t="str">
        <f>IFERROR(__xludf.DUMMYFUNCTION("""COMPUTED_VALUE"""),"")</f>
        <v/>
      </c>
      <c r="O804" s="8" t="str">
        <f>IFERROR(__xludf.DUMMYFUNCTION("""COMPUTED_VALUE"""),"")</f>
        <v/>
      </c>
      <c r="P804" s="8"/>
      <c r="Q804" s="8"/>
    </row>
    <row r="805">
      <c r="A805" s="8"/>
      <c r="B805" s="25"/>
      <c r="C805" s="385" t="s">
        <v>1426</v>
      </c>
      <c r="D805" s="392"/>
      <c r="E805" s="8"/>
      <c r="F805" s="8"/>
      <c r="G805" s="389"/>
      <c r="H805" s="8" t="b">
        <v>0</v>
      </c>
      <c r="I805" s="388" t="str">
        <f>IFERROR(__xludf.DUMMYFUNCTION("""COMPUTED_VALUE"""),"")</f>
        <v/>
      </c>
      <c r="J805" s="7"/>
      <c r="K805" s="8"/>
      <c r="L805" s="8"/>
      <c r="M805" s="8"/>
      <c r="N805" s="8" t="str">
        <f>IFERROR(__xludf.DUMMYFUNCTION("""COMPUTED_VALUE"""),"")</f>
        <v/>
      </c>
      <c r="O805" s="8" t="str">
        <f>IFERROR(__xludf.DUMMYFUNCTION("""COMPUTED_VALUE"""),"")</f>
        <v/>
      </c>
      <c r="P805" s="8"/>
      <c r="Q805" s="8"/>
    </row>
    <row r="806">
      <c r="A806" s="8"/>
      <c r="B806" s="25"/>
      <c r="C806" s="385" t="s">
        <v>1426</v>
      </c>
      <c r="D806" s="392"/>
      <c r="E806" s="8"/>
      <c r="F806" s="8"/>
      <c r="G806" s="389"/>
      <c r="H806" s="8" t="b">
        <v>0</v>
      </c>
      <c r="I806" s="388" t="str">
        <f>IFERROR(__xludf.DUMMYFUNCTION("""COMPUTED_VALUE"""),"")</f>
        <v/>
      </c>
      <c r="J806" s="7"/>
      <c r="K806" s="8"/>
      <c r="L806" s="8"/>
      <c r="M806" s="8"/>
      <c r="N806" s="8" t="str">
        <f>IFERROR(__xludf.DUMMYFUNCTION("""COMPUTED_VALUE"""),"")</f>
        <v/>
      </c>
      <c r="O806" s="8" t="str">
        <f>IFERROR(__xludf.DUMMYFUNCTION("""COMPUTED_VALUE"""),"")</f>
        <v/>
      </c>
      <c r="P806" s="8"/>
      <c r="Q806" s="8"/>
    </row>
    <row r="807">
      <c r="A807" s="8"/>
      <c r="B807" s="25"/>
      <c r="C807" s="385" t="s">
        <v>1426</v>
      </c>
      <c r="D807" s="392"/>
      <c r="E807" s="8"/>
      <c r="F807" s="8"/>
      <c r="G807" s="389"/>
      <c r="H807" s="8" t="b">
        <v>0</v>
      </c>
      <c r="I807" s="388" t="str">
        <f>IFERROR(__xludf.DUMMYFUNCTION("""COMPUTED_VALUE"""),"")</f>
        <v/>
      </c>
      <c r="J807" s="7"/>
      <c r="K807" s="8"/>
      <c r="L807" s="8"/>
      <c r="M807" s="8"/>
      <c r="N807" s="8" t="str">
        <f>IFERROR(__xludf.DUMMYFUNCTION("""COMPUTED_VALUE"""),"")</f>
        <v/>
      </c>
      <c r="O807" s="8" t="str">
        <f>IFERROR(__xludf.DUMMYFUNCTION("""COMPUTED_VALUE"""),"")</f>
        <v/>
      </c>
      <c r="P807" s="8"/>
      <c r="Q807" s="8"/>
    </row>
    <row r="808">
      <c r="A808" s="8"/>
      <c r="B808" s="25"/>
      <c r="C808" s="385" t="s">
        <v>1426</v>
      </c>
      <c r="D808" s="392"/>
      <c r="E808" s="8"/>
      <c r="F808" s="8"/>
      <c r="G808" s="389"/>
      <c r="H808" s="8" t="b">
        <v>0</v>
      </c>
      <c r="I808" s="388" t="str">
        <f>IFERROR(__xludf.DUMMYFUNCTION("""COMPUTED_VALUE"""),"")</f>
        <v/>
      </c>
      <c r="J808" s="7"/>
      <c r="K808" s="8"/>
      <c r="L808" s="8"/>
      <c r="M808" s="8"/>
      <c r="N808" s="8" t="str">
        <f>IFERROR(__xludf.DUMMYFUNCTION("""COMPUTED_VALUE"""),"")</f>
        <v/>
      </c>
      <c r="O808" s="8" t="str">
        <f>IFERROR(__xludf.DUMMYFUNCTION("""COMPUTED_VALUE"""),"")</f>
        <v/>
      </c>
      <c r="P808" s="8"/>
      <c r="Q808" s="8"/>
    </row>
    <row r="809">
      <c r="A809" s="8"/>
      <c r="B809" s="25"/>
      <c r="C809" s="385" t="s">
        <v>1426</v>
      </c>
      <c r="D809" s="392"/>
      <c r="E809" s="8"/>
      <c r="F809" s="8"/>
      <c r="G809" s="389"/>
      <c r="H809" s="8" t="b">
        <v>0</v>
      </c>
      <c r="I809" s="388" t="str">
        <f>IFERROR(__xludf.DUMMYFUNCTION("""COMPUTED_VALUE"""),"")</f>
        <v/>
      </c>
      <c r="J809" s="7"/>
      <c r="K809" s="8"/>
      <c r="L809" s="8"/>
      <c r="M809" s="8"/>
      <c r="N809" s="8" t="str">
        <f>IFERROR(__xludf.DUMMYFUNCTION("""COMPUTED_VALUE"""),"")</f>
        <v/>
      </c>
      <c r="O809" s="8" t="str">
        <f>IFERROR(__xludf.DUMMYFUNCTION("""COMPUTED_VALUE"""),"")</f>
        <v/>
      </c>
      <c r="P809" s="8"/>
      <c r="Q809" s="8"/>
    </row>
    <row r="810">
      <c r="A810" s="8"/>
      <c r="B810" s="25"/>
      <c r="C810" s="385" t="s">
        <v>1426</v>
      </c>
      <c r="D810" s="392"/>
      <c r="E810" s="8"/>
      <c r="F810" s="8"/>
      <c r="G810" s="389"/>
      <c r="H810" s="8" t="b">
        <v>0</v>
      </c>
      <c r="I810" s="388" t="str">
        <f>IFERROR(__xludf.DUMMYFUNCTION("""COMPUTED_VALUE"""),"")</f>
        <v/>
      </c>
      <c r="J810" s="7"/>
      <c r="K810" s="8"/>
      <c r="L810" s="8"/>
      <c r="M810" s="8"/>
      <c r="N810" s="8" t="str">
        <f>IFERROR(__xludf.DUMMYFUNCTION("""COMPUTED_VALUE"""),"")</f>
        <v/>
      </c>
      <c r="O810" s="8" t="str">
        <f>IFERROR(__xludf.DUMMYFUNCTION("""COMPUTED_VALUE"""),"")</f>
        <v/>
      </c>
      <c r="P810" s="8"/>
      <c r="Q810" s="8"/>
    </row>
    <row r="811">
      <c r="A811" s="8"/>
      <c r="B811" s="25"/>
      <c r="C811" s="385" t="s">
        <v>1426</v>
      </c>
      <c r="D811" s="392"/>
      <c r="E811" s="8"/>
      <c r="F811" s="8"/>
      <c r="G811" s="389"/>
      <c r="H811" s="8" t="b">
        <v>0</v>
      </c>
      <c r="I811" s="388" t="str">
        <f>IFERROR(__xludf.DUMMYFUNCTION("""COMPUTED_VALUE"""),"")</f>
        <v/>
      </c>
      <c r="J811" s="7"/>
      <c r="K811" s="8"/>
      <c r="L811" s="8"/>
      <c r="M811" s="8"/>
      <c r="N811" s="8" t="str">
        <f>IFERROR(__xludf.DUMMYFUNCTION("""COMPUTED_VALUE"""),"")</f>
        <v/>
      </c>
      <c r="O811" s="8" t="str">
        <f>IFERROR(__xludf.DUMMYFUNCTION("""COMPUTED_VALUE"""),"")</f>
        <v/>
      </c>
      <c r="P811" s="8"/>
      <c r="Q811" s="8"/>
    </row>
    <row r="812">
      <c r="A812" s="8"/>
      <c r="B812" s="25"/>
      <c r="C812" s="385" t="s">
        <v>1426</v>
      </c>
      <c r="D812" s="392"/>
      <c r="E812" s="8"/>
      <c r="F812" s="8"/>
      <c r="G812" s="389"/>
      <c r="H812" s="8" t="b">
        <v>0</v>
      </c>
      <c r="I812" s="388" t="str">
        <f>IFERROR(__xludf.DUMMYFUNCTION("""COMPUTED_VALUE"""),"")</f>
        <v/>
      </c>
      <c r="J812" s="7"/>
      <c r="K812" s="8"/>
      <c r="L812" s="8"/>
      <c r="M812" s="8"/>
      <c r="N812" s="8" t="str">
        <f>IFERROR(__xludf.DUMMYFUNCTION("""COMPUTED_VALUE"""),"")</f>
        <v/>
      </c>
      <c r="O812" s="8" t="str">
        <f>IFERROR(__xludf.DUMMYFUNCTION("""COMPUTED_VALUE"""),"")</f>
        <v/>
      </c>
      <c r="P812" s="8"/>
      <c r="Q812" s="8"/>
    </row>
    <row r="813">
      <c r="A813" s="8"/>
      <c r="B813" s="25"/>
      <c r="C813" s="385" t="s">
        <v>1426</v>
      </c>
      <c r="D813" s="392"/>
      <c r="E813" s="8"/>
      <c r="F813" s="8"/>
      <c r="G813" s="389"/>
      <c r="H813" s="8" t="b">
        <v>0</v>
      </c>
      <c r="I813" s="388" t="str">
        <f>IFERROR(__xludf.DUMMYFUNCTION("""COMPUTED_VALUE"""),"")</f>
        <v/>
      </c>
      <c r="J813" s="7"/>
      <c r="K813" s="8"/>
      <c r="L813" s="8"/>
      <c r="M813" s="8"/>
      <c r="N813" s="8" t="str">
        <f>IFERROR(__xludf.DUMMYFUNCTION("""COMPUTED_VALUE"""),"")</f>
        <v/>
      </c>
      <c r="O813" s="8" t="str">
        <f>IFERROR(__xludf.DUMMYFUNCTION("""COMPUTED_VALUE"""),"")</f>
        <v/>
      </c>
      <c r="P813" s="8"/>
      <c r="Q813" s="8"/>
    </row>
    <row r="814">
      <c r="A814" s="8"/>
      <c r="B814" s="25"/>
      <c r="C814" s="385" t="s">
        <v>1426</v>
      </c>
      <c r="D814" s="392"/>
      <c r="E814" s="8"/>
      <c r="F814" s="8"/>
      <c r="G814" s="389"/>
      <c r="H814" s="8" t="b">
        <v>0</v>
      </c>
      <c r="I814" s="388" t="str">
        <f>IFERROR(__xludf.DUMMYFUNCTION("""COMPUTED_VALUE"""),"")</f>
        <v/>
      </c>
      <c r="J814" s="7"/>
      <c r="K814" s="8"/>
      <c r="L814" s="8"/>
      <c r="M814" s="8"/>
      <c r="N814" s="8" t="str">
        <f>IFERROR(__xludf.DUMMYFUNCTION("""COMPUTED_VALUE"""),"")</f>
        <v/>
      </c>
      <c r="O814" s="8" t="str">
        <f>IFERROR(__xludf.DUMMYFUNCTION("""COMPUTED_VALUE"""),"")</f>
        <v/>
      </c>
      <c r="P814" s="8"/>
      <c r="Q814" s="8"/>
    </row>
    <row r="815">
      <c r="A815" s="8"/>
      <c r="B815" s="25"/>
      <c r="C815" s="385" t="s">
        <v>1426</v>
      </c>
      <c r="D815" s="392"/>
      <c r="E815" s="8"/>
      <c r="F815" s="8"/>
      <c r="G815" s="389"/>
      <c r="H815" s="8" t="b">
        <v>0</v>
      </c>
      <c r="I815" s="388" t="str">
        <f>IFERROR(__xludf.DUMMYFUNCTION("""COMPUTED_VALUE"""),"")</f>
        <v/>
      </c>
      <c r="J815" s="7"/>
      <c r="K815" s="8"/>
      <c r="L815" s="8"/>
      <c r="M815" s="8"/>
      <c r="N815" s="8" t="str">
        <f>IFERROR(__xludf.DUMMYFUNCTION("""COMPUTED_VALUE"""),"")</f>
        <v/>
      </c>
      <c r="O815" s="8" t="str">
        <f>IFERROR(__xludf.DUMMYFUNCTION("""COMPUTED_VALUE"""),"")</f>
        <v/>
      </c>
      <c r="P815" s="8"/>
      <c r="Q815" s="8"/>
    </row>
    <row r="816">
      <c r="A816" s="8"/>
      <c r="B816" s="25"/>
      <c r="C816" s="385" t="s">
        <v>1426</v>
      </c>
      <c r="D816" s="392"/>
      <c r="E816" s="8"/>
      <c r="F816" s="8"/>
      <c r="G816" s="389"/>
      <c r="H816" s="8" t="b">
        <v>0</v>
      </c>
      <c r="I816" s="388" t="str">
        <f>IFERROR(__xludf.DUMMYFUNCTION("""COMPUTED_VALUE"""),"")</f>
        <v/>
      </c>
      <c r="J816" s="7"/>
      <c r="K816" s="8"/>
      <c r="L816" s="8"/>
      <c r="M816" s="8"/>
      <c r="N816" s="8" t="str">
        <f>IFERROR(__xludf.DUMMYFUNCTION("""COMPUTED_VALUE"""),"")</f>
        <v/>
      </c>
      <c r="O816" s="8" t="str">
        <f>IFERROR(__xludf.DUMMYFUNCTION("""COMPUTED_VALUE"""),"")</f>
        <v/>
      </c>
      <c r="P816" s="8"/>
      <c r="Q816" s="8"/>
    </row>
    <row r="817">
      <c r="A817" s="8"/>
      <c r="B817" s="25"/>
      <c r="C817" s="385" t="s">
        <v>1426</v>
      </c>
      <c r="D817" s="392"/>
      <c r="E817" s="8"/>
      <c r="F817" s="8"/>
      <c r="G817" s="389"/>
      <c r="H817" s="8" t="b">
        <v>0</v>
      </c>
      <c r="I817" s="388" t="str">
        <f>IFERROR(__xludf.DUMMYFUNCTION("""COMPUTED_VALUE"""),"")</f>
        <v/>
      </c>
      <c r="J817" s="7"/>
      <c r="K817" s="8"/>
      <c r="L817" s="8"/>
      <c r="M817" s="8"/>
      <c r="N817" s="8" t="str">
        <f>IFERROR(__xludf.DUMMYFUNCTION("""COMPUTED_VALUE"""),"")</f>
        <v/>
      </c>
      <c r="O817" s="8" t="str">
        <f>IFERROR(__xludf.DUMMYFUNCTION("""COMPUTED_VALUE"""),"")</f>
        <v/>
      </c>
      <c r="P817" s="8"/>
      <c r="Q817" s="8"/>
    </row>
    <row r="818">
      <c r="A818" s="8"/>
      <c r="B818" s="25"/>
      <c r="C818" s="385" t="s">
        <v>1426</v>
      </c>
      <c r="D818" s="392"/>
      <c r="E818" s="8"/>
      <c r="F818" s="8"/>
      <c r="G818" s="389"/>
      <c r="H818" s="8" t="b">
        <v>0</v>
      </c>
      <c r="I818" s="388" t="str">
        <f>IFERROR(__xludf.DUMMYFUNCTION("""COMPUTED_VALUE"""),"")</f>
        <v/>
      </c>
      <c r="J818" s="7"/>
      <c r="K818" s="8"/>
      <c r="L818" s="8"/>
      <c r="M818" s="8"/>
      <c r="N818" s="8" t="str">
        <f>IFERROR(__xludf.DUMMYFUNCTION("""COMPUTED_VALUE"""),"")</f>
        <v/>
      </c>
      <c r="O818" s="8" t="str">
        <f>IFERROR(__xludf.DUMMYFUNCTION("""COMPUTED_VALUE"""),"")</f>
        <v/>
      </c>
      <c r="P818" s="8"/>
      <c r="Q818" s="8"/>
    </row>
    <row r="819">
      <c r="A819" s="8"/>
      <c r="B819" s="25"/>
      <c r="C819" s="385" t="s">
        <v>1426</v>
      </c>
      <c r="D819" s="392"/>
      <c r="E819" s="8"/>
      <c r="F819" s="8"/>
      <c r="G819" s="389"/>
      <c r="H819" s="8" t="b">
        <v>0</v>
      </c>
      <c r="I819" s="388" t="str">
        <f>IFERROR(__xludf.DUMMYFUNCTION("""COMPUTED_VALUE"""),"")</f>
        <v/>
      </c>
      <c r="J819" s="7"/>
      <c r="K819" s="8"/>
      <c r="L819" s="8"/>
      <c r="M819" s="8"/>
      <c r="N819" s="8" t="str">
        <f>IFERROR(__xludf.DUMMYFUNCTION("""COMPUTED_VALUE"""),"")</f>
        <v/>
      </c>
      <c r="O819" s="8" t="str">
        <f>IFERROR(__xludf.DUMMYFUNCTION("""COMPUTED_VALUE"""),"")</f>
        <v/>
      </c>
      <c r="P819" s="8"/>
      <c r="Q819" s="8"/>
    </row>
    <row r="820">
      <c r="A820" s="8"/>
      <c r="B820" s="25"/>
      <c r="C820" s="385" t="s">
        <v>1426</v>
      </c>
      <c r="D820" s="392"/>
      <c r="E820" s="8"/>
      <c r="F820" s="8"/>
      <c r="G820" s="389"/>
      <c r="H820" s="8" t="b">
        <v>0</v>
      </c>
      <c r="I820" s="388" t="str">
        <f>IFERROR(__xludf.DUMMYFUNCTION("""COMPUTED_VALUE"""),"")</f>
        <v/>
      </c>
      <c r="J820" s="7"/>
      <c r="K820" s="8"/>
      <c r="L820" s="8"/>
      <c r="M820" s="8"/>
      <c r="N820" s="8" t="str">
        <f>IFERROR(__xludf.DUMMYFUNCTION("""COMPUTED_VALUE"""),"")</f>
        <v/>
      </c>
      <c r="O820" s="8" t="str">
        <f>IFERROR(__xludf.DUMMYFUNCTION("""COMPUTED_VALUE"""),"")</f>
        <v/>
      </c>
      <c r="P820" s="8"/>
      <c r="Q820" s="8"/>
    </row>
    <row r="821">
      <c r="A821" s="8"/>
      <c r="B821" s="25"/>
      <c r="C821" s="385" t="s">
        <v>1426</v>
      </c>
      <c r="D821" s="392"/>
      <c r="E821" s="8"/>
      <c r="F821" s="8"/>
      <c r="G821" s="389"/>
      <c r="H821" s="8" t="b">
        <v>0</v>
      </c>
      <c r="I821" s="388" t="str">
        <f>IFERROR(__xludf.DUMMYFUNCTION("""COMPUTED_VALUE"""),"")</f>
        <v/>
      </c>
      <c r="J821" s="7"/>
      <c r="K821" s="8"/>
      <c r="L821" s="8"/>
      <c r="M821" s="8"/>
      <c r="N821" s="8" t="str">
        <f>IFERROR(__xludf.DUMMYFUNCTION("""COMPUTED_VALUE"""),"")</f>
        <v/>
      </c>
      <c r="O821" s="8" t="str">
        <f>IFERROR(__xludf.DUMMYFUNCTION("""COMPUTED_VALUE"""),"")</f>
        <v/>
      </c>
      <c r="P821" s="8"/>
      <c r="Q821" s="8"/>
    </row>
    <row r="822">
      <c r="A822" s="8"/>
      <c r="B822" s="25"/>
      <c r="C822" s="385" t="s">
        <v>1426</v>
      </c>
      <c r="D822" s="392"/>
      <c r="E822" s="8"/>
      <c r="F822" s="8"/>
      <c r="G822" s="389"/>
      <c r="H822" s="8" t="b">
        <v>0</v>
      </c>
      <c r="I822" s="388" t="str">
        <f>IFERROR(__xludf.DUMMYFUNCTION("""COMPUTED_VALUE"""),"")</f>
        <v/>
      </c>
      <c r="J822" s="7"/>
      <c r="K822" s="8"/>
      <c r="L822" s="8"/>
      <c r="M822" s="8"/>
      <c r="N822" s="8" t="str">
        <f>IFERROR(__xludf.DUMMYFUNCTION("""COMPUTED_VALUE"""),"")</f>
        <v/>
      </c>
      <c r="O822" s="8" t="str">
        <f>IFERROR(__xludf.DUMMYFUNCTION("""COMPUTED_VALUE"""),"")</f>
        <v/>
      </c>
      <c r="P822" s="8"/>
      <c r="Q822" s="8"/>
    </row>
    <row r="823">
      <c r="A823" s="8"/>
      <c r="B823" s="25"/>
      <c r="C823" s="385" t="s">
        <v>1426</v>
      </c>
      <c r="D823" s="392"/>
      <c r="E823" s="8"/>
      <c r="F823" s="8"/>
      <c r="G823" s="389"/>
      <c r="H823" s="8" t="b">
        <v>0</v>
      </c>
      <c r="I823" s="388" t="str">
        <f>IFERROR(__xludf.DUMMYFUNCTION("""COMPUTED_VALUE"""),"")</f>
        <v/>
      </c>
      <c r="J823" s="7"/>
      <c r="K823" s="8"/>
      <c r="L823" s="8"/>
      <c r="M823" s="8"/>
      <c r="N823" s="8" t="str">
        <f>IFERROR(__xludf.DUMMYFUNCTION("""COMPUTED_VALUE"""),"")</f>
        <v/>
      </c>
      <c r="O823" s="8" t="str">
        <f>IFERROR(__xludf.DUMMYFUNCTION("""COMPUTED_VALUE"""),"")</f>
        <v/>
      </c>
      <c r="P823" s="8"/>
      <c r="Q823" s="8"/>
    </row>
    <row r="824">
      <c r="A824" s="8"/>
      <c r="B824" s="25"/>
      <c r="C824" s="385" t="s">
        <v>1426</v>
      </c>
      <c r="D824" s="392"/>
      <c r="E824" s="8"/>
      <c r="F824" s="8"/>
      <c r="G824" s="389"/>
      <c r="H824" s="8" t="b">
        <v>0</v>
      </c>
      <c r="I824" s="388" t="str">
        <f>IFERROR(__xludf.DUMMYFUNCTION("""COMPUTED_VALUE"""),"")</f>
        <v/>
      </c>
      <c r="J824" s="7"/>
      <c r="K824" s="8"/>
      <c r="L824" s="8"/>
      <c r="M824" s="8"/>
      <c r="N824" s="8" t="str">
        <f>IFERROR(__xludf.DUMMYFUNCTION("""COMPUTED_VALUE"""),"")</f>
        <v/>
      </c>
      <c r="O824" s="8" t="str">
        <f>IFERROR(__xludf.DUMMYFUNCTION("""COMPUTED_VALUE"""),"")</f>
        <v/>
      </c>
      <c r="P824" s="8"/>
      <c r="Q824" s="8"/>
    </row>
    <row r="825">
      <c r="A825" s="8"/>
      <c r="B825" s="25"/>
      <c r="C825" s="385" t="s">
        <v>1426</v>
      </c>
      <c r="D825" s="392"/>
      <c r="E825" s="8"/>
      <c r="F825" s="8"/>
      <c r="G825" s="389"/>
      <c r="H825" s="8" t="b">
        <v>0</v>
      </c>
      <c r="I825" s="388" t="str">
        <f>IFERROR(__xludf.DUMMYFUNCTION("""COMPUTED_VALUE"""),"")</f>
        <v/>
      </c>
      <c r="J825" s="7"/>
      <c r="K825" s="8"/>
      <c r="L825" s="8"/>
      <c r="M825" s="8"/>
      <c r="N825" s="8" t="str">
        <f>IFERROR(__xludf.DUMMYFUNCTION("""COMPUTED_VALUE"""),"")</f>
        <v/>
      </c>
      <c r="O825" s="8" t="str">
        <f>IFERROR(__xludf.DUMMYFUNCTION("""COMPUTED_VALUE"""),"")</f>
        <v/>
      </c>
      <c r="P825" s="8"/>
      <c r="Q825" s="8"/>
    </row>
    <row r="826">
      <c r="A826" s="8"/>
      <c r="B826" s="25"/>
      <c r="C826" s="385" t="s">
        <v>1426</v>
      </c>
      <c r="D826" s="392"/>
      <c r="E826" s="8"/>
      <c r="F826" s="8"/>
      <c r="G826" s="389"/>
      <c r="H826" s="8" t="b">
        <v>0</v>
      </c>
      <c r="I826" s="388" t="str">
        <f>IFERROR(__xludf.DUMMYFUNCTION("""COMPUTED_VALUE"""),"")</f>
        <v/>
      </c>
      <c r="J826" s="7"/>
      <c r="K826" s="8"/>
      <c r="L826" s="8"/>
      <c r="M826" s="8"/>
      <c r="N826" s="8" t="str">
        <f>IFERROR(__xludf.DUMMYFUNCTION("""COMPUTED_VALUE"""),"")</f>
        <v/>
      </c>
      <c r="O826" s="8" t="str">
        <f>IFERROR(__xludf.DUMMYFUNCTION("""COMPUTED_VALUE"""),"")</f>
        <v/>
      </c>
      <c r="P826" s="8"/>
      <c r="Q826" s="8"/>
    </row>
    <row r="827">
      <c r="A827" s="8"/>
      <c r="B827" s="25"/>
      <c r="C827" s="385" t="s">
        <v>1426</v>
      </c>
      <c r="D827" s="392"/>
      <c r="E827" s="8"/>
      <c r="F827" s="8"/>
      <c r="G827" s="389"/>
      <c r="H827" s="8" t="b">
        <v>0</v>
      </c>
      <c r="I827" s="388" t="str">
        <f>IFERROR(__xludf.DUMMYFUNCTION("""COMPUTED_VALUE"""),"")</f>
        <v/>
      </c>
      <c r="J827" s="7"/>
      <c r="K827" s="8"/>
      <c r="L827" s="8"/>
      <c r="M827" s="8"/>
      <c r="N827" s="8" t="str">
        <f>IFERROR(__xludf.DUMMYFUNCTION("""COMPUTED_VALUE"""),"")</f>
        <v/>
      </c>
      <c r="O827" s="8" t="str">
        <f>IFERROR(__xludf.DUMMYFUNCTION("""COMPUTED_VALUE"""),"")</f>
        <v/>
      </c>
      <c r="P827" s="8"/>
      <c r="Q827" s="8"/>
    </row>
    <row r="828">
      <c r="A828" s="8"/>
      <c r="B828" s="25"/>
      <c r="C828" s="385" t="s">
        <v>1426</v>
      </c>
      <c r="D828" s="392"/>
      <c r="E828" s="8"/>
      <c r="F828" s="8"/>
      <c r="G828" s="389"/>
      <c r="H828" s="8" t="b">
        <v>0</v>
      </c>
      <c r="I828" s="388" t="str">
        <f>IFERROR(__xludf.DUMMYFUNCTION("""COMPUTED_VALUE"""),"")</f>
        <v/>
      </c>
      <c r="J828" s="7"/>
      <c r="K828" s="8"/>
      <c r="L828" s="8"/>
      <c r="M828" s="8"/>
      <c r="N828" s="8" t="str">
        <f>IFERROR(__xludf.DUMMYFUNCTION("""COMPUTED_VALUE"""),"")</f>
        <v/>
      </c>
      <c r="O828" s="8" t="str">
        <f>IFERROR(__xludf.DUMMYFUNCTION("""COMPUTED_VALUE"""),"")</f>
        <v/>
      </c>
      <c r="P828" s="8"/>
      <c r="Q828" s="8"/>
    </row>
    <row r="829">
      <c r="A829" s="8"/>
      <c r="B829" s="25"/>
      <c r="C829" s="385" t="s">
        <v>1426</v>
      </c>
      <c r="D829" s="392"/>
      <c r="E829" s="8"/>
      <c r="F829" s="8"/>
      <c r="G829" s="389"/>
      <c r="H829" s="8" t="b">
        <v>0</v>
      </c>
      <c r="I829" s="388" t="str">
        <f>IFERROR(__xludf.DUMMYFUNCTION("""COMPUTED_VALUE"""),"")</f>
        <v/>
      </c>
      <c r="J829" s="7"/>
      <c r="K829" s="8"/>
      <c r="L829" s="8"/>
      <c r="M829" s="8"/>
      <c r="N829" s="8" t="str">
        <f>IFERROR(__xludf.DUMMYFUNCTION("""COMPUTED_VALUE"""),"")</f>
        <v/>
      </c>
      <c r="O829" s="8" t="str">
        <f>IFERROR(__xludf.DUMMYFUNCTION("""COMPUTED_VALUE"""),"")</f>
        <v/>
      </c>
      <c r="P829" s="8"/>
      <c r="Q829" s="8"/>
    </row>
    <row r="830">
      <c r="A830" s="8"/>
      <c r="B830" s="25"/>
      <c r="C830" s="385" t="s">
        <v>1426</v>
      </c>
      <c r="D830" s="392"/>
      <c r="E830" s="8"/>
      <c r="F830" s="8"/>
      <c r="G830" s="389"/>
      <c r="H830" s="8" t="b">
        <v>0</v>
      </c>
      <c r="I830" s="388" t="str">
        <f>IFERROR(__xludf.DUMMYFUNCTION("""COMPUTED_VALUE"""),"")</f>
        <v/>
      </c>
      <c r="J830" s="7"/>
      <c r="K830" s="8"/>
      <c r="L830" s="8"/>
      <c r="M830" s="8"/>
      <c r="N830" s="8" t="str">
        <f>IFERROR(__xludf.DUMMYFUNCTION("""COMPUTED_VALUE"""),"")</f>
        <v/>
      </c>
      <c r="O830" s="8" t="str">
        <f>IFERROR(__xludf.DUMMYFUNCTION("""COMPUTED_VALUE"""),"")</f>
        <v/>
      </c>
      <c r="P830" s="8"/>
      <c r="Q830" s="8"/>
    </row>
    <row r="831">
      <c r="A831" s="8"/>
      <c r="B831" s="25"/>
      <c r="C831" s="385" t="s">
        <v>1426</v>
      </c>
      <c r="D831" s="392"/>
      <c r="E831" s="8"/>
      <c r="F831" s="8"/>
      <c r="G831" s="389"/>
      <c r="H831" s="8" t="b">
        <v>0</v>
      </c>
      <c r="I831" s="388" t="str">
        <f>IFERROR(__xludf.DUMMYFUNCTION("""COMPUTED_VALUE"""),"")</f>
        <v/>
      </c>
      <c r="J831" s="7"/>
      <c r="K831" s="8"/>
      <c r="L831" s="8"/>
      <c r="M831" s="8"/>
      <c r="N831" s="8" t="str">
        <f>IFERROR(__xludf.DUMMYFUNCTION("""COMPUTED_VALUE"""),"")</f>
        <v/>
      </c>
      <c r="O831" s="8" t="str">
        <f>IFERROR(__xludf.DUMMYFUNCTION("""COMPUTED_VALUE"""),"")</f>
        <v/>
      </c>
      <c r="P831" s="8"/>
      <c r="Q831" s="8"/>
    </row>
    <row r="832">
      <c r="A832" s="8"/>
      <c r="B832" s="25"/>
      <c r="C832" s="385" t="s">
        <v>1426</v>
      </c>
      <c r="D832" s="392"/>
      <c r="E832" s="8"/>
      <c r="F832" s="8"/>
      <c r="G832" s="389"/>
      <c r="H832" s="8" t="b">
        <v>0</v>
      </c>
      <c r="I832" s="388" t="str">
        <f>IFERROR(__xludf.DUMMYFUNCTION("""COMPUTED_VALUE"""),"")</f>
        <v/>
      </c>
      <c r="J832" s="7"/>
      <c r="K832" s="8"/>
      <c r="L832" s="8"/>
      <c r="M832" s="8"/>
      <c r="N832" s="8" t="str">
        <f>IFERROR(__xludf.DUMMYFUNCTION("""COMPUTED_VALUE"""),"")</f>
        <v/>
      </c>
      <c r="O832" s="8" t="str">
        <f>IFERROR(__xludf.DUMMYFUNCTION("""COMPUTED_VALUE"""),"")</f>
        <v/>
      </c>
      <c r="P832" s="8"/>
      <c r="Q832" s="8"/>
    </row>
    <row r="833">
      <c r="A833" s="8"/>
      <c r="B833" s="25"/>
      <c r="C833" s="385" t="s">
        <v>1426</v>
      </c>
      <c r="D833" s="392"/>
      <c r="E833" s="8"/>
      <c r="F833" s="8"/>
      <c r="G833" s="389"/>
      <c r="H833" s="8" t="b">
        <v>0</v>
      </c>
      <c r="I833" s="388" t="str">
        <f>IFERROR(__xludf.DUMMYFUNCTION("""COMPUTED_VALUE"""),"")</f>
        <v/>
      </c>
      <c r="J833" s="7"/>
      <c r="K833" s="8"/>
      <c r="L833" s="8"/>
      <c r="M833" s="8"/>
      <c r="N833" s="8" t="str">
        <f>IFERROR(__xludf.DUMMYFUNCTION("""COMPUTED_VALUE"""),"")</f>
        <v/>
      </c>
      <c r="O833" s="8" t="str">
        <f>IFERROR(__xludf.DUMMYFUNCTION("""COMPUTED_VALUE"""),"")</f>
        <v/>
      </c>
      <c r="P833" s="8"/>
      <c r="Q833" s="8"/>
    </row>
    <row r="834">
      <c r="A834" s="8"/>
      <c r="B834" s="25"/>
      <c r="C834" s="385" t="s">
        <v>1426</v>
      </c>
      <c r="D834" s="392"/>
      <c r="E834" s="8"/>
      <c r="F834" s="8"/>
      <c r="G834" s="389"/>
      <c r="H834" s="8" t="b">
        <v>0</v>
      </c>
      <c r="I834" s="388" t="str">
        <f>IFERROR(__xludf.DUMMYFUNCTION("""COMPUTED_VALUE"""),"")</f>
        <v/>
      </c>
      <c r="J834" s="7"/>
      <c r="K834" s="8"/>
      <c r="L834" s="8"/>
      <c r="M834" s="8"/>
      <c r="N834" s="8" t="str">
        <f>IFERROR(__xludf.DUMMYFUNCTION("""COMPUTED_VALUE"""),"")</f>
        <v/>
      </c>
      <c r="O834" s="8" t="str">
        <f>IFERROR(__xludf.DUMMYFUNCTION("""COMPUTED_VALUE"""),"")</f>
        <v/>
      </c>
      <c r="P834" s="8"/>
      <c r="Q834" s="8"/>
    </row>
    <row r="835">
      <c r="A835" s="8"/>
      <c r="B835" s="25"/>
      <c r="C835" s="385" t="s">
        <v>1426</v>
      </c>
      <c r="D835" s="392"/>
      <c r="E835" s="8"/>
      <c r="F835" s="8"/>
      <c r="G835" s="389"/>
      <c r="H835" s="8" t="b">
        <v>0</v>
      </c>
      <c r="I835" s="388" t="str">
        <f>IFERROR(__xludf.DUMMYFUNCTION("""COMPUTED_VALUE"""),"")</f>
        <v/>
      </c>
      <c r="J835" s="7"/>
      <c r="K835" s="8"/>
      <c r="L835" s="8"/>
      <c r="M835" s="8"/>
      <c r="N835" s="8" t="str">
        <f>IFERROR(__xludf.DUMMYFUNCTION("""COMPUTED_VALUE"""),"")</f>
        <v/>
      </c>
      <c r="O835" s="8" t="str">
        <f>IFERROR(__xludf.DUMMYFUNCTION("""COMPUTED_VALUE"""),"")</f>
        <v/>
      </c>
      <c r="P835" s="8"/>
      <c r="Q835" s="8"/>
    </row>
    <row r="836">
      <c r="A836" s="8"/>
      <c r="B836" s="25"/>
      <c r="C836" s="385" t="s">
        <v>1426</v>
      </c>
      <c r="D836" s="392"/>
      <c r="E836" s="8"/>
      <c r="F836" s="8"/>
      <c r="G836" s="389"/>
      <c r="H836" s="8" t="b">
        <v>0</v>
      </c>
      <c r="I836" s="388" t="str">
        <f>IFERROR(__xludf.DUMMYFUNCTION("""COMPUTED_VALUE"""),"")</f>
        <v/>
      </c>
      <c r="J836" s="7"/>
      <c r="K836" s="8"/>
      <c r="L836" s="8"/>
      <c r="M836" s="8"/>
      <c r="N836" s="8" t="str">
        <f>IFERROR(__xludf.DUMMYFUNCTION("""COMPUTED_VALUE"""),"")</f>
        <v/>
      </c>
      <c r="O836" s="8" t="str">
        <f>IFERROR(__xludf.DUMMYFUNCTION("""COMPUTED_VALUE"""),"")</f>
        <v/>
      </c>
      <c r="P836" s="8"/>
      <c r="Q836" s="8"/>
    </row>
    <row r="837">
      <c r="A837" s="8"/>
      <c r="B837" s="25"/>
      <c r="C837" s="385" t="s">
        <v>1426</v>
      </c>
      <c r="D837" s="392"/>
      <c r="E837" s="8"/>
      <c r="F837" s="8"/>
      <c r="G837" s="389"/>
      <c r="H837" s="8" t="b">
        <v>0</v>
      </c>
      <c r="I837" s="388" t="str">
        <f>IFERROR(__xludf.DUMMYFUNCTION("""COMPUTED_VALUE"""),"")</f>
        <v/>
      </c>
      <c r="J837" s="7"/>
      <c r="K837" s="8"/>
      <c r="L837" s="8"/>
      <c r="M837" s="8"/>
      <c r="N837" s="8" t="str">
        <f>IFERROR(__xludf.DUMMYFUNCTION("""COMPUTED_VALUE"""),"")</f>
        <v/>
      </c>
      <c r="O837" s="8" t="str">
        <f>IFERROR(__xludf.DUMMYFUNCTION("""COMPUTED_VALUE"""),"")</f>
        <v/>
      </c>
      <c r="P837" s="8"/>
      <c r="Q837" s="8"/>
    </row>
    <row r="838">
      <c r="A838" s="8"/>
      <c r="B838" s="25"/>
      <c r="C838" s="385" t="s">
        <v>1426</v>
      </c>
      <c r="D838" s="392"/>
      <c r="E838" s="8"/>
      <c r="F838" s="8"/>
      <c r="G838" s="389"/>
      <c r="H838" s="8" t="b">
        <v>0</v>
      </c>
      <c r="I838" s="388" t="str">
        <f>IFERROR(__xludf.DUMMYFUNCTION("""COMPUTED_VALUE"""),"")</f>
        <v/>
      </c>
      <c r="J838" s="7"/>
      <c r="K838" s="8"/>
      <c r="L838" s="8"/>
      <c r="M838" s="8"/>
      <c r="N838" s="8" t="str">
        <f>IFERROR(__xludf.DUMMYFUNCTION("""COMPUTED_VALUE"""),"")</f>
        <v/>
      </c>
      <c r="O838" s="8" t="str">
        <f>IFERROR(__xludf.DUMMYFUNCTION("""COMPUTED_VALUE"""),"")</f>
        <v/>
      </c>
      <c r="P838" s="8"/>
      <c r="Q838" s="8"/>
    </row>
    <row r="839">
      <c r="A839" s="8"/>
      <c r="B839" s="25"/>
      <c r="C839" s="385" t="s">
        <v>1426</v>
      </c>
      <c r="D839" s="392"/>
      <c r="E839" s="8"/>
      <c r="F839" s="8"/>
      <c r="G839" s="389"/>
      <c r="H839" s="8" t="b">
        <v>0</v>
      </c>
      <c r="I839" s="388" t="str">
        <f>IFERROR(__xludf.DUMMYFUNCTION("""COMPUTED_VALUE"""),"")</f>
        <v/>
      </c>
      <c r="J839" s="7"/>
      <c r="K839" s="8"/>
      <c r="L839" s="8"/>
      <c r="M839" s="8"/>
      <c r="N839" s="8" t="str">
        <f>IFERROR(__xludf.DUMMYFUNCTION("""COMPUTED_VALUE"""),"")</f>
        <v/>
      </c>
      <c r="O839" s="8" t="str">
        <f>IFERROR(__xludf.DUMMYFUNCTION("""COMPUTED_VALUE"""),"")</f>
        <v/>
      </c>
      <c r="P839" s="8"/>
      <c r="Q839" s="8"/>
    </row>
    <row r="840">
      <c r="A840" s="8"/>
      <c r="B840" s="25"/>
      <c r="C840" s="385" t="s">
        <v>1426</v>
      </c>
      <c r="D840" s="392"/>
      <c r="E840" s="8"/>
      <c r="F840" s="8"/>
      <c r="G840" s="389"/>
      <c r="H840" s="8" t="b">
        <v>0</v>
      </c>
      <c r="I840" s="388" t="str">
        <f>IFERROR(__xludf.DUMMYFUNCTION("""COMPUTED_VALUE"""),"")</f>
        <v/>
      </c>
      <c r="J840" s="7"/>
      <c r="K840" s="8"/>
      <c r="L840" s="8"/>
      <c r="M840" s="8"/>
      <c r="N840" s="8" t="str">
        <f>IFERROR(__xludf.DUMMYFUNCTION("""COMPUTED_VALUE"""),"")</f>
        <v/>
      </c>
      <c r="O840" s="8" t="str">
        <f>IFERROR(__xludf.DUMMYFUNCTION("""COMPUTED_VALUE"""),"")</f>
        <v/>
      </c>
      <c r="P840" s="8"/>
      <c r="Q840" s="8"/>
    </row>
    <row r="841">
      <c r="A841" s="8"/>
      <c r="B841" s="25"/>
      <c r="C841" s="385" t="s">
        <v>1426</v>
      </c>
      <c r="D841" s="392"/>
      <c r="E841" s="8"/>
      <c r="F841" s="8"/>
      <c r="G841" s="389"/>
      <c r="H841" s="8" t="b">
        <v>0</v>
      </c>
      <c r="I841" s="388" t="str">
        <f>IFERROR(__xludf.DUMMYFUNCTION("""COMPUTED_VALUE"""),"")</f>
        <v/>
      </c>
      <c r="J841" s="7"/>
      <c r="K841" s="8"/>
      <c r="L841" s="8"/>
      <c r="M841" s="8"/>
      <c r="N841" s="8" t="str">
        <f>IFERROR(__xludf.DUMMYFUNCTION("""COMPUTED_VALUE"""),"")</f>
        <v/>
      </c>
      <c r="O841" s="8" t="str">
        <f>IFERROR(__xludf.DUMMYFUNCTION("""COMPUTED_VALUE"""),"")</f>
        <v/>
      </c>
      <c r="P841" s="8"/>
      <c r="Q841" s="8"/>
    </row>
    <row r="842">
      <c r="A842" s="8"/>
      <c r="B842" s="25"/>
      <c r="C842" s="385" t="s">
        <v>1426</v>
      </c>
      <c r="D842" s="392"/>
      <c r="E842" s="8"/>
      <c r="F842" s="8"/>
      <c r="G842" s="389"/>
      <c r="H842" s="8" t="b">
        <v>0</v>
      </c>
      <c r="I842" s="388" t="str">
        <f>IFERROR(__xludf.DUMMYFUNCTION("""COMPUTED_VALUE"""),"")</f>
        <v/>
      </c>
      <c r="J842" s="7"/>
      <c r="K842" s="8"/>
      <c r="L842" s="8"/>
      <c r="M842" s="8"/>
      <c r="N842" s="8" t="str">
        <f>IFERROR(__xludf.DUMMYFUNCTION("""COMPUTED_VALUE"""),"")</f>
        <v/>
      </c>
      <c r="O842" s="8" t="str">
        <f>IFERROR(__xludf.DUMMYFUNCTION("""COMPUTED_VALUE"""),"")</f>
        <v/>
      </c>
      <c r="P842" s="8"/>
      <c r="Q842" s="8"/>
    </row>
    <row r="843">
      <c r="A843" s="8"/>
      <c r="B843" s="25"/>
      <c r="C843" s="385" t="s">
        <v>1426</v>
      </c>
      <c r="D843" s="392"/>
      <c r="E843" s="8"/>
      <c r="F843" s="8"/>
      <c r="G843" s="389"/>
      <c r="H843" s="8" t="b">
        <v>0</v>
      </c>
      <c r="I843" s="388" t="str">
        <f>IFERROR(__xludf.DUMMYFUNCTION("""COMPUTED_VALUE"""),"")</f>
        <v/>
      </c>
      <c r="J843" s="7"/>
      <c r="K843" s="8"/>
      <c r="L843" s="8"/>
      <c r="M843" s="8"/>
      <c r="N843" s="8" t="str">
        <f>IFERROR(__xludf.DUMMYFUNCTION("""COMPUTED_VALUE"""),"")</f>
        <v/>
      </c>
      <c r="O843" s="8" t="str">
        <f>IFERROR(__xludf.DUMMYFUNCTION("""COMPUTED_VALUE"""),"")</f>
        <v/>
      </c>
      <c r="P843" s="8"/>
      <c r="Q843" s="8"/>
    </row>
    <row r="844">
      <c r="A844" s="8"/>
      <c r="B844" s="25"/>
      <c r="C844" s="385" t="s">
        <v>1426</v>
      </c>
      <c r="D844" s="392"/>
      <c r="E844" s="8"/>
      <c r="F844" s="8"/>
      <c r="G844" s="389"/>
      <c r="H844" s="8" t="b">
        <v>0</v>
      </c>
      <c r="I844" s="388" t="str">
        <f>IFERROR(__xludf.DUMMYFUNCTION("""COMPUTED_VALUE"""),"")</f>
        <v/>
      </c>
      <c r="J844" s="7"/>
      <c r="K844" s="8"/>
      <c r="L844" s="8"/>
      <c r="M844" s="8"/>
      <c r="N844" s="8" t="str">
        <f>IFERROR(__xludf.DUMMYFUNCTION("""COMPUTED_VALUE"""),"")</f>
        <v/>
      </c>
      <c r="O844" s="8" t="str">
        <f>IFERROR(__xludf.DUMMYFUNCTION("""COMPUTED_VALUE"""),"")</f>
        <v/>
      </c>
      <c r="P844" s="8"/>
      <c r="Q844" s="8"/>
    </row>
    <row r="845">
      <c r="A845" s="8"/>
      <c r="B845" s="25"/>
      <c r="C845" s="385" t="s">
        <v>1426</v>
      </c>
      <c r="D845" s="392"/>
      <c r="E845" s="8"/>
      <c r="F845" s="8"/>
      <c r="G845" s="389"/>
      <c r="H845" s="8" t="b">
        <v>0</v>
      </c>
      <c r="I845" s="388" t="str">
        <f>IFERROR(__xludf.DUMMYFUNCTION("""COMPUTED_VALUE"""),"")</f>
        <v/>
      </c>
      <c r="J845" s="7"/>
      <c r="K845" s="8"/>
      <c r="L845" s="8"/>
      <c r="M845" s="8"/>
      <c r="N845" s="8" t="str">
        <f>IFERROR(__xludf.DUMMYFUNCTION("""COMPUTED_VALUE"""),"")</f>
        <v/>
      </c>
      <c r="O845" s="8" t="str">
        <f>IFERROR(__xludf.DUMMYFUNCTION("""COMPUTED_VALUE"""),"")</f>
        <v/>
      </c>
      <c r="P845" s="8"/>
      <c r="Q845" s="8"/>
    </row>
    <row r="846">
      <c r="A846" s="8"/>
      <c r="B846" s="25"/>
      <c r="C846" s="385" t="s">
        <v>1426</v>
      </c>
      <c r="D846" s="392"/>
      <c r="E846" s="8"/>
      <c r="F846" s="8"/>
      <c r="G846" s="389"/>
      <c r="H846" s="8" t="b">
        <v>0</v>
      </c>
      <c r="I846" s="388" t="str">
        <f>IFERROR(__xludf.DUMMYFUNCTION("""COMPUTED_VALUE"""),"")</f>
        <v/>
      </c>
      <c r="J846" s="7"/>
      <c r="K846" s="8"/>
      <c r="L846" s="8"/>
      <c r="M846" s="8"/>
      <c r="N846" s="8" t="str">
        <f>IFERROR(__xludf.DUMMYFUNCTION("""COMPUTED_VALUE"""),"")</f>
        <v/>
      </c>
      <c r="O846" s="8" t="str">
        <f>IFERROR(__xludf.DUMMYFUNCTION("""COMPUTED_VALUE"""),"")</f>
        <v/>
      </c>
      <c r="P846" s="8"/>
      <c r="Q846" s="8"/>
    </row>
    <row r="847">
      <c r="A847" s="8"/>
      <c r="B847" s="25"/>
      <c r="C847" s="385" t="s">
        <v>1426</v>
      </c>
      <c r="D847" s="392"/>
      <c r="E847" s="8"/>
      <c r="F847" s="8"/>
      <c r="G847" s="389"/>
      <c r="H847" s="8" t="b">
        <v>0</v>
      </c>
      <c r="I847" s="388" t="str">
        <f>IFERROR(__xludf.DUMMYFUNCTION("""COMPUTED_VALUE"""),"")</f>
        <v/>
      </c>
      <c r="J847" s="7"/>
      <c r="K847" s="8"/>
      <c r="L847" s="8"/>
      <c r="M847" s="8"/>
      <c r="N847" s="8" t="str">
        <f>IFERROR(__xludf.DUMMYFUNCTION("""COMPUTED_VALUE"""),"")</f>
        <v/>
      </c>
      <c r="O847" s="8" t="str">
        <f>IFERROR(__xludf.DUMMYFUNCTION("""COMPUTED_VALUE"""),"")</f>
        <v/>
      </c>
      <c r="P847" s="8"/>
      <c r="Q847" s="8"/>
    </row>
    <row r="848">
      <c r="A848" s="8"/>
      <c r="B848" s="25"/>
      <c r="C848" s="385" t="s">
        <v>1426</v>
      </c>
      <c r="D848" s="392"/>
      <c r="E848" s="8"/>
      <c r="F848" s="8"/>
      <c r="G848" s="389"/>
      <c r="H848" s="8" t="b">
        <v>0</v>
      </c>
      <c r="I848" s="388" t="str">
        <f>IFERROR(__xludf.DUMMYFUNCTION("""COMPUTED_VALUE"""),"")</f>
        <v/>
      </c>
      <c r="J848" s="7"/>
      <c r="K848" s="8"/>
      <c r="L848" s="8"/>
      <c r="M848" s="8"/>
      <c r="N848" s="8" t="str">
        <f>IFERROR(__xludf.DUMMYFUNCTION("""COMPUTED_VALUE"""),"")</f>
        <v/>
      </c>
      <c r="O848" s="8" t="str">
        <f>IFERROR(__xludf.DUMMYFUNCTION("""COMPUTED_VALUE"""),"")</f>
        <v/>
      </c>
      <c r="P848" s="8"/>
      <c r="Q848" s="8"/>
    </row>
    <row r="849">
      <c r="A849" s="8"/>
      <c r="B849" s="25"/>
      <c r="C849" s="385" t="s">
        <v>1426</v>
      </c>
      <c r="D849" s="392"/>
      <c r="E849" s="8"/>
      <c r="F849" s="8"/>
      <c r="G849" s="389"/>
      <c r="H849" s="8" t="b">
        <v>0</v>
      </c>
      <c r="I849" s="388" t="str">
        <f>IFERROR(__xludf.DUMMYFUNCTION("""COMPUTED_VALUE"""),"")</f>
        <v/>
      </c>
      <c r="J849" s="7"/>
      <c r="K849" s="8"/>
      <c r="L849" s="8"/>
      <c r="M849" s="8"/>
      <c r="N849" s="8" t="str">
        <f>IFERROR(__xludf.DUMMYFUNCTION("""COMPUTED_VALUE"""),"")</f>
        <v/>
      </c>
      <c r="O849" s="8" t="str">
        <f>IFERROR(__xludf.DUMMYFUNCTION("""COMPUTED_VALUE"""),"")</f>
        <v/>
      </c>
      <c r="P849" s="8"/>
      <c r="Q849" s="8"/>
    </row>
    <row r="850">
      <c r="A850" s="8"/>
      <c r="B850" s="25"/>
      <c r="C850" s="385" t="s">
        <v>1426</v>
      </c>
      <c r="D850" s="392"/>
      <c r="E850" s="8"/>
      <c r="F850" s="8"/>
      <c r="G850" s="389"/>
      <c r="H850" s="8" t="b">
        <v>0</v>
      </c>
      <c r="I850" s="388" t="str">
        <f>IFERROR(__xludf.DUMMYFUNCTION("""COMPUTED_VALUE"""),"")</f>
        <v/>
      </c>
      <c r="J850" s="7"/>
      <c r="K850" s="8"/>
      <c r="L850" s="8"/>
      <c r="M850" s="8"/>
      <c r="N850" s="8" t="str">
        <f>IFERROR(__xludf.DUMMYFUNCTION("""COMPUTED_VALUE"""),"")</f>
        <v/>
      </c>
      <c r="O850" s="8" t="str">
        <f>IFERROR(__xludf.DUMMYFUNCTION("""COMPUTED_VALUE"""),"")</f>
        <v/>
      </c>
      <c r="P850" s="8"/>
      <c r="Q850" s="8"/>
    </row>
    <row r="851">
      <c r="A851" s="8"/>
      <c r="B851" s="25"/>
      <c r="C851" s="385" t="s">
        <v>1426</v>
      </c>
      <c r="D851" s="392"/>
      <c r="E851" s="8"/>
      <c r="F851" s="8"/>
      <c r="G851" s="389"/>
      <c r="H851" s="8" t="b">
        <v>0</v>
      </c>
      <c r="I851" s="388" t="str">
        <f>IFERROR(__xludf.DUMMYFUNCTION("""COMPUTED_VALUE"""),"")</f>
        <v/>
      </c>
      <c r="J851" s="7"/>
      <c r="K851" s="8"/>
      <c r="L851" s="8"/>
      <c r="M851" s="8"/>
      <c r="N851" s="8" t="str">
        <f>IFERROR(__xludf.DUMMYFUNCTION("""COMPUTED_VALUE"""),"")</f>
        <v/>
      </c>
      <c r="O851" s="8" t="str">
        <f>IFERROR(__xludf.DUMMYFUNCTION("""COMPUTED_VALUE"""),"")</f>
        <v/>
      </c>
      <c r="P851" s="8"/>
      <c r="Q851" s="8"/>
    </row>
    <row r="852">
      <c r="A852" s="8"/>
      <c r="B852" s="25"/>
      <c r="C852" s="385" t="s">
        <v>1426</v>
      </c>
      <c r="D852" s="392"/>
      <c r="E852" s="8"/>
      <c r="F852" s="8"/>
      <c r="G852" s="389"/>
      <c r="H852" s="8" t="b">
        <v>0</v>
      </c>
      <c r="I852" s="388" t="str">
        <f>IFERROR(__xludf.DUMMYFUNCTION("""COMPUTED_VALUE"""),"")</f>
        <v/>
      </c>
      <c r="J852" s="7"/>
      <c r="K852" s="8"/>
      <c r="L852" s="8"/>
      <c r="M852" s="8"/>
      <c r="N852" s="8" t="str">
        <f>IFERROR(__xludf.DUMMYFUNCTION("""COMPUTED_VALUE"""),"")</f>
        <v/>
      </c>
      <c r="O852" s="8" t="str">
        <f>IFERROR(__xludf.DUMMYFUNCTION("""COMPUTED_VALUE"""),"")</f>
        <v/>
      </c>
      <c r="P852" s="8"/>
      <c r="Q852" s="8"/>
    </row>
    <row r="853">
      <c r="A853" s="8"/>
      <c r="B853" s="25"/>
      <c r="C853" s="385" t="s">
        <v>1426</v>
      </c>
      <c r="D853" s="392"/>
      <c r="E853" s="8"/>
      <c r="F853" s="8"/>
      <c r="G853" s="389"/>
      <c r="H853" s="8" t="b">
        <v>0</v>
      </c>
      <c r="I853" s="388" t="str">
        <f>IFERROR(__xludf.DUMMYFUNCTION("""COMPUTED_VALUE"""),"")</f>
        <v/>
      </c>
      <c r="J853" s="7"/>
      <c r="K853" s="8"/>
      <c r="L853" s="8"/>
      <c r="M853" s="8"/>
      <c r="N853" s="8" t="str">
        <f>IFERROR(__xludf.DUMMYFUNCTION("""COMPUTED_VALUE"""),"")</f>
        <v/>
      </c>
      <c r="O853" s="8" t="str">
        <f>IFERROR(__xludf.DUMMYFUNCTION("""COMPUTED_VALUE"""),"")</f>
        <v/>
      </c>
      <c r="P853" s="8"/>
      <c r="Q853" s="8"/>
    </row>
    <row r="854">
      <c r="A854" s="8"/>
      <c r="B854" s="25"/>
      <c r="C854" s="385" t="s">
        <v>1426</v>
      </c>
      <c r="D854" s="392"/>
      <c r="E854" s="8"/>
      <c r="F854" s="8"/>
      <c r="G854" s="389"/>
      <c r="H854" s="8" t="b">
        <v>0</v>
      </c>
      <c r="I854" s="388" t="str">
        <f>IFERROR(__xludf.DUMMYFUNCTION("""COMPUTED_VALUE"""),"")</f>
        <v/>
      </c>
      <c r="J854" s="7"/>
      <c r="K854" s="8"/>
      <c r="L854" s="8"/>
      <c r="M854" s="8"/>
      <c r="N854" s="8" t="str">
        <f>IFERROR(__xludf.DUMMYFUNCTION("""COMPUTED_VALUE"""),"")</f>
        <v/>
      </c>
      <c r="O854" s="8" t="str">
        <f>IFERROR(__xludf.DUMMYFUNCTION("""COMPUTED_VALUE"""),"")</f>
        <v/>
      </c>
      <c r="P854" s="8"/>
      <c r="Q854" s="8"/>
    </row>
    <row r="855">
      <c r="A855" s="8"/>
      <c r="B855" s="25"/>
      <c r="C855" s="385" t="s">
        <v>1426</v>
      </c>
      <c r="D855" s="392"/>
      <c r="E855" s="8"/>
      <c r="F855" s="8"/>
      <c r="G855" s="389"/>
      <c r="H855" s="8" t="b">
        <v>0</v>
      </c>
      <c r="I855" s="388" t="str">
        <f>IFERROR(__xludf.DUMMYFUNCTION("""COMPUTED_VALUE"""),"")</f>
        <v/>
      </c>
      <c r="J855" s="7"/>
      <c r="K855" s="8"/>
      <c r="L855" s="8"/>
      <c r="M855" s="8"/>
      <c r="N855" s="8" t="str">
        <f>IFERROR(__xludf.DUMMYFUNCTION("""COMPUTED_VALUE"""),"")</f>
        <v/>
      </c>
      <c r="O855" s="8" t="str">
        <f>IFERROR(__xludf.DUMMYFUNCTION("""COMPUTED_VALUE"""),"")</f>
        <v/>
      </c>
      <c r="P855" s="8"/>
      <c r="Q855" s="8"/>
    </row>
    <row r="856">
      <c r="A856" s="8"/>
      <c r="B856" s="25"/>
      <c r="C856" s="385" t="s">
        <v>1426</v>
      </c>
      <c r="D856" s="392"/>
      <c r="E856" s="8"/>
      <c r="F856" s="8"/>
      <c r="G856" s="389"/>
      <c r="H856" s="8" t="b">
        <v>0</v>
      </c>
      <c r="I856" s="388" t="str">
        <f>IFERROR(__xludf.DUMMYFUNCTION("""COMPUTED_VALUE"""),"")</f>
        <v/>
      </c>
      <c r="J856" s="7"/>
      <c r="K856" s="8"/>
      <c r="L856" s="8"/>
      <c r="M856" s="8"/>
      <c r="N856" s="8" t="str">
        <f>IFERROR(__xludf.DUMMYFUNCTION("""COMPUTED_VALUE"""),"")</f>
        <v/>
      </c>
      <c r="O856" s="8" t="str">
        <f>IFERROR(__xludf.DUMMYFUNCTION("""COMPUTED_VALUE"""),"")</f>
        <v/>
      </c>
      <c r="P856" s="8"/>
      <c r="Q856" s="8"/>
    </row>
    <row r="857">
      <c r="A857" s="8"/>
      <c r="B857" s="25"/>
      <c r="C857" s="385" t="s">
        <v>1426</v>
      </c>
      <c r="D857" s="392"/>
      <c r="E857" s="8"/>
      <c r="F857" s="8"/>
      <c r="G857" s="389"/>
      <c r="H857" s="8" t="b">
        <v>0</v>
      </c>
      <c r="I857" s="388" t="str">
        <f>IFERROR(__xludf.DUMMYFUNCTION("""COMPUTED_VALUE"""),"")</f>
        <v/>
      </c>
      <c r="J857" s="7"/>
      <c r="K857" s="8"/>
      <c r="L857" s="8"/>
      <c r="M857" s="8"/>
      <c r="N857" s="8" t="str">
        <f>IFERROR(__xludf.DUMMYFUNCTION("""COMPUTED_VALUE"""),"")</f>
        <v/>
      </c>
      <c r="O857" s="8" t="str">
        <f>IFERROR(__xludf.DUMMYFUNCTION("""COMPUTED_VALUE"""),"")</f>
        <v/>
      </c>
      <c r="P857" s="8"/>
      <c r="Q857" s="8"/>
    </row>
    <row r="858">
      <c r="A858" s="8"/>
      <c r="B858" s="25"/>
      <c r="C858" s="385" t="s">
        <v>1426</v>
      </c>
      <c r="D858" s="392"/>
      <c r="E858" s="8"/>
      <c r="F858" s="8"/>
      <c r="G858" s="389"/>
      <c r="H858" s="8" t="b">
        <v>0</v>
      </c>
      <c r="I858" s="388" t="str">
        <f>IFERROR(__xludf.DUMMYFUNCTION("""COMPUTED_VALUE"""),"")</f>
        <v/>
      </c>
      <c r="J858" s="7"/>
      <c r="K858" s="8"/>
      <c r="L858" s="8"/>
      <c r="M858" s="8"/>
      <c r="N858" s="8" t="str">
        <f>IFERROR(__xludf.DUMMYFUNCTION("""COMPUTED_VALUE"""),"")</f>
        <v/>
      </c>
      <c r="O858" s="8" t="str">
        <f>IFERROR(__xludf.DUMMYFUNCTION("""COMPUTED_VALUE"""),"")</f>
        <v/>
      </c>
      <c r="P858" s="8"/>
      <c r="Q858" s="8"/>
    </row>
    <row r="859">
      <c r="A859" s="8"/>
      <c r="B859" s="25"/>
      <c r="C859" s="385" t="s">
        <v>1426</v>
      </c>
      <c r="D859" s="392"/>
      <c r="E859" s="8"/>
      <c r="F859" s="8"/>
      <c r="G859" s="389"/>
      <c r="H859" s="8" t="b">
        <v>0</v>
      </c>
      <c r="I859" s="388" t="str">
        <f>IFERROR(__xludf.DUMMYFUNCTION("""COMPUTED_VALUE"""),"")</f>
        <v/>
      </c>
      <c r="J859" s="7"/>
      <c r="K859" s="8"/>
      <c r="L859" s="8"/>
      <c r="M859" s="8"/>
      <c r="N859" s="8" t="str">
        <f>IFERROR(__xludf.DUMMYFUNCTION("""COMPUTED_VALUE"""),"")</f>
        <v/>
      </c>
      <c r="O859" s="8" t="str">
        <f>IFERROR(__xludf.DUMMYFUNCTION("""COMPUTED_VALUE"""),"")</f>
        <v/>
      </c>
      <c r="P859" s="8"/>
      <c r="Q859" s="8"/>
    </row>
    <row r="860">
      <c r="A860" s="8"/>
      <c r="B860" s="25"/>
      <c r="C860" s="385" t="s">
        <v>1426</v>
      </c>
      <c r="D860" s="392"/>
      <c r="E860" s="8"/>
      <c r="F860" s="8"/>
      <c r="G860" s="389"/>
      <c r="H860" s="8" t="b">
        <v>0</v>
      </c>
      <c r="I860" s="388" t="str">
        <f>IFERROR(__xludf.DUMMYFUNCTION("""COMPUTED_VALUE"""),"")</f>
        <v/>
      </c>
      <c r="J860" s="7"/>
      <c r="K860" s="8"/>
      <c r="L860" s="8"/>
      <c r="M860" s="8"/>
      <c r="N860" s="8" t="str">
        <f>IFERROR(__xludf.DUMMYFUNCTION("""COMPUTED_VALUE"""),"")</f>
        <v/>
      </c>
      <c r="O860" s="8" t="str">
        <f>IFERROR(__xludf.DUMMYFUNCTION("""COMPUTED_VALUE"""),"")</f>
        <v/>
      </c>
      <c r="P860" s="8"/>
      <c r="Q860" s="8"/>
    </row>
    <row r="861">
      <c r="A861" s="8"/>
      <c r="B861" s="25"/>
      <c r="C861" s="385" t="s">
        <v>1426</v>
      </c>
      <c r="D861" s="392"/>
      <c r="E861" s="8"/>
      <c r="F861" s="8"/>
      <c r="G861" s="389"/>
      <c r="H861" s="8" t="b">
        <v>0</v>
      </c>
      <c r="I861" s="388" t="str">
        <f>IFERROR(__xludf.DUMMYFUNCTION("""COMPUTED_VALUE"""),"")</f>
        <v/>
      </c>
      <c r="J861" s="7"/>
      <c r="K861" s="8"/>
      <c r="L861" s="8"/>
      <c r="M861" s="8"/>
      <c r="N861" s="8" t="str">
        <f>IFERROR(__xludf.DUMMYFUNCTION("""COMPUTED_VALUE"""),"")</f>
        <v/>
      </c>
      <c r="O861" s="8" t="str">
        <f>IFERROR(__xludf.DUMMYFUNCTION("""COMPUTED_VALUE"""),"")</f>
        <v/>
      </c>
      <c r="P861" s="8"/>
      <c r="Q861" s="8"/>
    </row>
    <row r="862">
      <c r="A862" s="8"/>
      <c r="B862" s="25"/>
      <c r="C862" s="385" t="s">
        <v>1426</v>
      </c>
      <c r="D862" s="392"/>
      <c r="E862" s="8"/>
      <c r="F862" s="8"/>
      <c r="G862" s="389"/>
      <c r="H862" s="8" t="b">
        <v>0</v>
      </c>
      <c r="I862" s="388" t="str">
        <f>IFERROR(__xludf.DUMMYFUNCTION("""COMPUTED_VALUE"""),"")</f>
        <v/>
      </c>
      <c r="J862" s="7"/>
      <c r="K862" s="8"/>
      <c r="L862" s="8"/>
      <c r="M862" s="8"/>
      <c r="N862" s="8" t="str">
        <f>IFERROR(__xludf.DUMMYFUNCTION("""COMPUTED_VALUE"""),"")</f>
        <v/>
      </c>
      <c r="O862" s="8" t="str">
        <f>IFERROR(__xludf.DUMMYFUNCTION("""COMPUTED_VALUE"""),"")</f>
        <v/>
      </c>
      <c r="P862" s="8"/>
      <c r="Q862" s="8"/>
    </row>
    <row r="863">
      <c r="A863" s="8"/>
      <c r="B863" s="25"/>
      <c r="C863" s="385" t="s">
        <v>1426</v>
      </c>
      <c r="D863" s="392"/>
      <c r="E863" s="8"/>
      <c r="F863" s="8"/>
      <c r="G863" s="389"/>
      <c r="H863" s="8" t="b">
        <v>0</v>
      </c>
      <c r="I863" s="388" t="str">
        <f>IFERROR(__xludf.DUMMYFUNCTION("""COMPUTED_VALUE"""),"")</f>
        <v/>
      </c>
      <c r="J863" s="7"/>
      <c r="K863" s="8"/>
      <c r="L863" s="8"/>
      <c r="M863" s="8"/>
      <c r="N863" s="8" t="str">
        <f>IFERROR(__xludf.DUMMYFUNCTION("""COMPUTED_VALUE"""),"")</f>
        <v/>
      </c>
      <c r="O863" s="8" t="str">
        <f>IFERROR(__xludf.DUMMYFUNCTION("""COMPUTED_VALUE"""),"")</f>
        <v/>
      </c>
      <c r="P863" s="8"/>
      <c r="Q863" s="8"/>
    </row>
    <row r="864">
      <c r="A864" s="8"/>
      <c r="B864" s="25"/>
      <c r="C864" s="385" t="s">
        <v>1426</v>
      </c>
      <c r="D864" s="392"/>
      <c r="E864" s="8"/>
      <c r="F864" s="8"/>
      <c r="G864" s="389"/>
      <c r="H864" s="8" t="b">
        <v>0</v>
      </c>
      <c r="I864" s="388" t="str">
        <f>IFERROR(__xludf.DUMMYFUNCTION("""COMPUTED_VALUE"""),"")</f>
        <v/>
      </c>
      <c r="J864" s="7"/>
      <c r="K864" s="8"/>
      <c r="L864" s="8"/>
      <c r="M864" s="8"/>
      <c r="N864" s="8" t="str">
        <f>IFERROR(__xludf.DUMMYFUNCTION("""COMPUTED_VALUE"""),"")</f>
        <v/>
      </c>
      <c r="O864" s="8" t="str">
        <f>IFERROR(__xludf.DUMMYFUNCTION("""COMPUTED_VALUE"""),"")</f>
        <v/>
      </c>
      <c r="P864" s="8"/>
      <c r="Q864" s="8"/>
    </row>
    <row r="865">
      <c r="A865" s="8"/>
      <c r="B865" s="25"/>
      <c r="C865" s="385" t="s">
        <v>1426</v>
      </c>
      <c r="D865" s="392"/>
      <c r="E865" s="8"/>
      <c r="F865" s="8"/>
      <c r="G865" s="389"/>
      <c r="H865" s="8" t="b">
        <v>0</v>
      </c>
      <c r="I865" s="388" t="str">
        <f>IFERROR(__xludf.DUMMYFUNCTION("""COMPUTED_VALUE"""),"")</f>
        <v/>
      </c>
      <c r="J865" s="7"/>
      <c r="K865" s="8"/>
      <c r="L865" s="8"/>
      <c r="M865" s="8"/>
      <c r="N865" s="8" t="str">
        <f>IFERROR(__xludf.DUMMYFUNCTION("""COMPUTED_VALUE"""),"")</f>
        <v/>
      </c>
      <c r="O865" s="8" t="str">
        <f>IFERROR(__xludf.DUMMYFUNCTION("""COMPUTED_VALUE"""),"")</f>
        <v/>
      </c>
      <c r="P865" s="8"/>
      <c r="Q865" s="8"/>
    </row>
    <row r="866">
      <c r="A866" s="8"/>
      <c r="B866" s="25"/>
      <c r="C866" s="385" t="s">
        <v>1426</v>
      </c>
      <c r="D866" s="392"/>
      <c r="E866" s="8"/>
      <c r="F866" s="8"/>
      <c r="G866" s="389"/>
      <c r="H866" s="8" t="b">
        <v>0</v>
      </c>
      <c r="I866" s="388" t="str">
        <f>IFERROR(__xludf.DUMMYFUNCTION("""COMPUTED_VALUE"""),"")</f>
        <v/>
      </c>
      <c r="J866" s="7"/>
      <c r="K866" s="8"/>
      <c r="L866" s="8"/>
      <c r="M866" s="8"/>
      <c r="N866" s="8" t="str">
        <f>IFERROR(__xludf.DUMMYFUNCTION("""COMPUTED_VALUE"""),"")</f>
        <v/>
      </c>
      <c r="O866" s="8" t="str">
        <f>IFERROR(__xludf.DUMMYFUNCTION("""COMPUTED_VALUE"""),"")</f>
        <v/>
      </c>
      <c r="P866" s="8"/>
      <c r="Q866" s="8"/>
    </row>
    <row r="867">
      <c r="A867" s="8"/>
      <c r="B867" s="25"/>
      <c r="C867" s="385" t="s">
        <v>1426</v>
      </c>
      <c r="D867" s="392"/>
      <c r="E867" s="8"/>
      <c r="F867" s="8"/>
      <c r="G867" s="389"/>
      <c r="H867" s="8" t="b">
        <v>0</v>
      </c>
      <c r="I867" s="388" t="str">
        <f>IFERROR(__xludf.DUMMYFUNCTION("""COMPUTED_VALUE"""),"")</f>
        <v/>
      </c>
      <c r="J867" s="7"/>
      <c r="K867" s="8"/>
      <c r="L867" s="8"/>
      <c r="M867" s="8"/>
      <c r="N867" s="8" t="str">
        <f>IFERROR(__xludf.DUMMYFUNCTION("""COMPUTED_VALUE"""),"")</f>
        <v/>
      </c>
      <c r="O867" s="8" t="str">
        <f>IFERROR(__xludf.DUMMYFUNCTION("""COMPUTED_VALUE"""),"")</f>
        <v/>
      </c>
      <c r="P867" s="8"/>
      <c r="Q867" s="8"/>
    </row>
    <row r="868">
      <c r="A868" s="8"/>
      <c r="B868" s="25"/>
      <c r="C868" s="385" t="s">
        <v>1426</v>
      </c>
      <c r="D868" s="392"/>
      <c r="E868" s="8"/>
      <c r="F868" s="8"/>
      <c r="G868" s="389"/>
      <c r="H868" s="8" t="b">
        <v>0</v>
      </c>
      <c r="I868" s="388" t="str">
        <f>IFERROR(__xludf.DUMMYFUNCTION("""COMPUTED_VALUE"""),"")</f>
        <v/>
      </c>
      <c r="J868" s="7"/>
      <c r="K868" s="8"/>
      <c r="L868" s="8"/>
      <c r="M868" s="8"/>
      <c r="N868" s="8" t="str">
        <f>IFERROR(__xludf.DUMMYFUNCTION("""COMPUTED_VALUE"""),"")</f>
        <v/>
      </c>
      <c r="O868" s="8" t="str">
        <f>IFERROR(__xludf.DUMMYFUNCTION("""COMPUTED_VALUE"""),"")</f>
        <v/>
      </c>
      <c r="P868" s="8"/>
      <c r="Q868" s="8"/>
    </row>
    <row r="869">
      <c r="A869" s="8"/>
      <c r="B869" s="25"/>
      <c r="C869" s="385" t="s">
        <v>1426</v>
      </c>
      <c r="D869" s="392"/>
      <c r="E869" s="8"/>
      <c r="F869" s="8"/>
      <c r="G869" s="389"/>
      <c r="H869" s="8" t="b">
        <v>0</v>
      </c>
      <c r="I869" s="388" t="str">
        <f>IFERROR(__xludf.DUMMYFUNCTION("""COMPUTED_VALUE"""),"")</f>
        <v/>
      </c>
      <c r="J869" s="7"/>
      <c r="K869" s="8"/>
      <c r="L869" s="8"/>
      <c r="M869" s="8"/>
      <c r="N869" s="8" t="str">
        <f>IFERROR(__xludf.DUMMYFUNCTION("""COMPUTED_VALUE"""),"")</f>
        <v/>
      </c>
      <c r="O869" s="8" t="str">
        <f>IFERROR(__xludf.DUMMYFUNCTION("""COMPUTED_VALUE"""),"")</f>
        <v/>
      </c>
      <c r="P869" s="8"/>
      <c r="Q869" s="8"/>
    </row>
    <row r="870">
      <c r="A870" s="8"/>
      <c r="B870" s="25"/>
      <c r="C870" s="385" t="s">
        <v>1426</v>
      </c>
      <c r="D870" s="392"/>
      <c r="E870" s="8"/>
      <c r="F870" s="8"/>
      <c r="G870" s="389"/>
      <c r="H870" s="8" t="b">
        <v>0</v>
      </c>
      <c r="I870" s="388" t="str">
        <f>IFERROR(__xludf.DUMMYFUNCTION("""COMPUTED_VALUE"""),"")</f>
        <v/>
      </c>
      <c r="J870" s="7"/>
      <c r="K870" s="8"/>
      <c r="L870" s="8"/>
      <c r="M870" s="8"/>
      <c r="N870" s="8" t="str">
        <f>IFERROR(__xludf.DUMMYFUNCTION("""COMPUTED_VALUE"""),"")</f>
        <v/>
      </c>
      <c r="O870" s="8" t="str">
        <f>IFERROR(__xludf.DUMMYFUNCTION("""COMPUTED_VALUE"""),"")</f>
        <v/>
      </c>
      <c r="P870" s="8"/>
      <c r="Q870" s="8"/>
    </row>
    <row r="871">
      <c r="A871" s="8"/>
      <c r="B871" s="25"/>
      <c r="C871" s="385" t="s">
        <v>1426</v>
      </c>
      <c r="D871" s="392"/>
      <c r="E871" s="8"/>
      <c r="F871" s="8"/>
      <c r="G871" s="389"/>
      <c r="H871" s="8" t="b">
        <v>0</v>
      </c>
      <c r="I871" s="388" t="str">
        <f>IFERROR(__xludf.DUMMYFUNCTION("""COMPUTED_VALUE"""),"")</f>
        <v/>
      </c>
      <c r="J871" s="7"/>
      <c r="K871" s="8"/>
      <c r="L871" s="8"/>
      <c r="M871" s="8"/>
      <c r="N871" s="8" t="str">
        <f>IFERROR(__xludf.DUMMYFUNCTION("""COMPUTED_VALUE"""),"")</f>
        <v/>
      </c>
      <c r="O871" s="8" t="str">
        <f>IFERROR(__xludf.DUMMYFUNCTION("""COMPUTED_VALUE"""),"")</f>
        <v/>
      </c>
      <c r="P871" s="8"/>
      <c r="Q871" s="8"/>
    </row>
    <row r="872">
      <c r="A872" s="8"/>
      <c r="B872" s="25"/>
      <c r="C872" s="385" t="s">
        <v>1426</v>
      </c>
      <c r="D872" s="392"/>
      <c r="E872" s="8"/>
      <c r="F872" s="8"/>
      <c r="G872" s="389"/>
      <c r="H872" s="8" t="b">
        <v>0</v>
      </c>
      <c r="I872" s="388" t="str">
        <f>IFERROR(__xludf.DUMMYFUNCTION("""COMPUTED_VALUE"""),"")</f>
        <v/>
      </c>
      <c r="J872" s="7"/>
      <c r="K872" s="8"/>
      <c r="L872" s="8"/>
      <c r="M872" s="8"/>
      <c r="N872" s="8" t="str">
        <f>IFERROR(__xludf.DUMMYFUNCTION("""COMPUTED_VALUE"""),"")</f>
        <v/>
      </c>
      <c r="O872" s="8" t="str">
        <f>IFERROR(__xludf.DUMMYFUNCTION("""COMPUTED_VALUE"""),"")</f>
        <v/>
      </c>
      <c r="P872" s="8"/>
      <c r="Q872" s="8"/>
    </row>
    <row r="873">
      <c r="A873" s="8"/>
      <c r="B873" s="25"/>
      <c r="C873" s="385" t="s">
        <v>1426</v>
      </c>
      <c r="D873" s="392"/>
      <c r="E873" s="8"/>
      <c r="F873" s="8"/>
      <c r="G873" s="389"/>
      <c r="H873" s="8" t="b">
        <v>0</v>
      </c>
      <c r="I873" s="388" t="str">
        <f>IFERROR(__xludf.DUMMYFUNCTION("""COMPUTED_VALUE"""),"")</f>
        <v/>
      </c>
      <c r="J873" s="7"/>
      <c r="K873" s="8"/>
      <c r="L873" s="8"/>
      <c r="M873" s="8"/>
      <c r="N873" s="8" t="str">
        <f>IFERROR(__xludf.DUMMYFUNCTION("""COMPUTED_VALUE"""),"")</f>
        <v/>
      </c>
      <c r="O873" s="8" t="str">
        <f>IFERROR(__xludf.DUMMYFUNCTION("""COMPUTED_VALUE"""),"")</f>
        <v/>
      </c>
      <c r="P873" s="8"/>
      <c r="Q873" s="8"/>
    </row>
    <row r="874">
      <c r="A874" s="8"/>
      <c r="B874" s="25"/>
      <c r="C874" s="385" t="s">
        <v>1426</v>
      </c>
      <c r="D874" s="392"/>
      <c r="E874" s="8"/>
      <c r="F874" s="8"/>
      <c r="G874" s="389"/>
      <c r="H874" s="8" t="b">
        <v>0</v>
      </c>
      <c r="I874" s="388" t="str">
        <f>IFERROR(__xludf.DUMMYFUNCTION("""COMPUTED_VALUE"""),"")</f>
        <v/>
      </c>
      <c r="J874" s="7"/>
      <c r="K874" s="8"/>
      <c r="L874" s="8"/>
      <c r="M874" s="8"/>
      <c r="N874" s="8" t="str">
        <f>IFERROR(__xludf.DUMMYFUNCTION("""COMPUTED_VALUE"""),"")</f>
        <v/>
      </c>
      <c r="O874" s="8" t="str">
        <f>IFERROR(__xludf.DUMMYFUNCTION("""COMPUTED_VALUE"""),"")</f>
        <v/>
      </c>
      <c r="P874" s="8"/>
      <c r="Q874" s="8"/>
    </row>
    <row r="875">
      <c r="A875" s="8"/>
      <c r="B875" s="25"/>
      <c r="C875" s="385" t="s">
        <v>1426</v>
      </c>
      <c r="D875" s="392"/>
      <c r="E875" s="8"/>
      <c r="F875" s="8"/>
      <c r="G875" s="389"/>
      <c r="H875" s="8" t="b">
        <v>0</v>
      </c>
      <c r="I875" s="388" t="str">
        <f>IFERROR(__xludf.DUMMYFUNCTION("""COMPUTED_VALUE"""),"")</f>
        <v/>
      </c>
      <c r="J875" s="7"/>
      <c r="K875" s="8"/>
      <c r="L875" s="8"/>
      <c r="M875" s="8"/>
      <c r="N875" s="8" t="str">
        <f>IFERROR(__xludf.DUMMYFUNCTION("""COMPUTED_VALUE"""),"")</f>
        <v/>
      </c>
      <c r="O875" s="8" t="str">
        <f>IFERROR(__xludf.DUMMYFUNCTION("""COMPUTED_VALUE"""),"")</f>
        <v/>
      </c>
      <c r="P875" s="8"/>
      <c r="Q875" s="8"/>
    </row>
    <row r="876">
      <c r="A876" s="8"/>
      <c r="B876" s="25"/>
      <c r="C876" s="385" t="s">
        <v>1426</v>
      </c>
      <c r="D876" s="392"/>
      <c r="E876" s="8"/>
      <c r="F876" s="8"/>
      <c r="G876" s="389"/>
      <c r="H876" s="8" t="b">
        <v>0</v>
      </c>
      <c r="I876" s="388" t="str">
        <f>IFERROR(__xludf.DUMMYFUNCTION("""COMPUTED_VALUE"""),"")</f>
        <v/>
      </c>
      <c r="J876" s="7"/>
      <c r="K876" s="8"/>
      <c r="L876" s="8"/>
      <c r="M876" s="8"/>
      <c r="N876" s="8" t="str">
        <f>IFERROR(__xludf.DUMMYFUNCTION("""COMPUTED_VALUE"""),"")</f>
        <v/>
      </c>
      <c r="O876" s="8" t="str">
        <f>IFERROR(__xludf.DUMMYFUNCTION("""COMPUTED_VALUE"""),"")</f>
        <v/>
      </c>
      <c r="P876" s="8"/>
      <c r="Q876" s="8"/>
    </row>
    <row r="877">
      <c r="A877" s="8"/>
      <c r="B877" s="25"/>
      <c r="C877" s="385" t="s">
        <v>1426</v>
      </c>
      <c r="D877" s="392"/>
      <c r="E877" s="8"/>
      <c r="F877" s="8"/>
      <c r="G877" s="389"/>
      <c r="H877" s="8" t="b">
        <v>0</v>
      </c>
      <c r="I877" s="388" t="str">
        <f>IFERROR(__xludf.DUMMYFUNCTION("""COMPUTED_VALUE"""),"")</f>
        <v/>
      </c>
      <c r="J877" s="7"/>
      <c r="K877" s="8"/>
      <c r="L877" s="8"/>
      <c r="M877" s="8"/>
      <c r="N877" s="8" t="str">
        <f>IFERROR(__xludf.DUMMYFUNCTION("""COMPUTED_VALUE"""),"")</f>
        <v/>
      </c>
      <c r="O877" s="8" t="str">
        <f>IFERROR(__xludf.DUMMYFUNCTION("""COMPUTED_VALUE"""),"")</f>
        <v/>
      </c>
      <c r="P877" s="8"/>
      <c r="Q877" s="8"/>
    </row>
    <row r="878">
      <c r="A878" s="8"/>
      <c r="B878" s="25"/>
      <c r="C878" s="385" t="s">
        <v>1426</v>
      </c>
      <c r="D878" s="392"/>
      <c r="E878" s="8"/>
      <c r="F878" s="8"/>
      <c r="G878" s="389"/>
      <c r="H878" s="8" t="b">
        <v>0</v>
      </c>
      <c r="I878" s="388" t="str">
        <f>IFERROR(__xludf.DUMMYFUNCTION("""COMPUTED_VALUE"""),"")</f>
        <v/>
      </c>
      <c r="J878" s="7"/>
      <c r="K878" s="8"/>
      <c r="L878" s="8"/>
      <c r="M878" s="8"/>
      <c r="N878" s="8" t="str">
        <f>IFERROR(__xludf.DUMMYFUNCTION("""COMPUTED_VALUE"""),"")</f>
        <v/>
      </c>
      <c r="O878" s="8" t="str">
        <f>IFERROR(__xludf.DUMMYFUNCTION("""COMPUTED_VALUE"""),"")</f>
        <v/>
      </c>
      <c r="P878" s="8"/>
      <c r="Q878" s="8"/>
    </row>
    <row r="879">
      <c r="A879" s="8"/>
      <c r="B879" s="25"/>
      <c r="C879" s="385" t="s">
        <v>1426</v>
      </c>
      <c r="D879" s="392"/>
      <c r="E879" s="8"/>
      <c r="F879" s="8"/>
      <c r="G879" s="389"/>
      <c r="H879" s="8" t="b">
        <v>0</v>
      </c>
      <c r="I879" s="388" t="str">
        <f>IFERROR(__xludf.DUMMYFUNCTION("""COMPUTED_VALUE"""),"")</f>
        <v/>
      </c>
      <c r="J879" s="7"/>
      <c r="K879" s="8"/>
      <c r="L879" s="8"/>
      <c r="M879" s="8"/>
      <c r="N879" s="8" t="str">
        <f>IFERROR(__xludf.DUMMYFUNCTION("""COMPUTED_VALUE"""),"")</f>
        <v/>
      </c>
      <c r="O879" s="8" t="str">
        <f>IFERROR(__xludf.DUMMYFUNCTION("""COMPUTED_VALUE"""),"")</f>
        <v/>
      </c>
      <c r="P879" s="8"/>
      <c r="Q879" s="8"/>
    </row>
    <row r="880">
      <c r="A880" s="8"/>
      <c r="B880" s="25"/>
      <c r="C880" s="385" t="s">
        <v>1426</v>
      </c>
      <c r="D880" s="392"/>
      <c r="E880" s="8"/>
      <c r="F880" s="8"/>
      <c r="G880" s="389"/>
      <c r="H880" s="8" t="b">
        <v>0</v>
      </c>
      <c r="I880" s="388" t="str">
        <f>IFERROR(__xludf.DUMMYFUNCTION("""COMPUTED_VALUE"""),"")</f>
        <v/>
      </c>
      <c r="J880" s="7"/>
      <c r="K880" s="8"/>
      <c r="L880" s="8"/>
      <c r="M880" s="8"/>
      <c r="N880" s="8" t="str">
        <f>IFERROR(__xludf.DUMMYFUNCTION("""COMPUTED_VALUE"""),"")</f>
        <v/>
      </c>
      <c r="O880" s="8" t="str">
        <f>IFERROR(__xludf.DUMMYFUNCTION("""COMPUTED_VALUE"""),"")</f>
        <v/>
      </c>
      <c r="P880" s="8"/>
      <c r="Q880" s="8"/>
    </row>
    <row r="881">
      <c r="A881" s="8"/>
      <c r="B881" s="25"/>
      <c r="C881" s="385" t="s">
        <v>1426</v>
      </c>
      <c r="D881" s="392"/>
      <c r="E881" s="8"/>
      <c r="F881" s="8"/>
      <c r="G881" s="389"/>
      <c r="H881" s="8" t="b">
        <v>0</v>
      </c>
      <c r="I881" s="388" t="str">
        <f>IFERROR(__xludf.DUMMYFUNCTION("""COMPUTED_VALUE"""),"")</f>
        <v/>
      </c>
      <c r="J881" s="7"/>
      <c r="K881" s="8"/>
      <c r="L881" s="8"/>
      <c r="M881" s="8"/>
      <c r="N881" s="8" t="str">
        <f>IFERROR(__xludf.DUMMYFUNCTION("""COMPUTED_VALUE"""),"")</f>
        <v/>
      </c>
      <c r="O881" s="8" t="str">
        <f>IFERROR(__xludf.DUMMYFUNCTION("""COMPUTED_VALUE"""),"")</f>
        <v/>
      </c>
      <c r="P881" s="8"/>
      <c r="Q881" s="8"/>
    </row>
    <row r="882">
      <c r="A882" s="8"/>
      <c r="B882" s="25"/>
      <c r="C882" s="385" t="s">
        <v>1426</v>
      </c>
      <c r="D882" s="392"/>
      <c r="E882" s="8"/>
      <c r="F882" s="8"/>
      <c r="G882" s="389"/>
      <c r="H882" s="8" t="b">
        <v>0</v>
      </c>
      <c r="I882" s="388" t="str">
        <f>IFERROR(__xludf.DUMMYFUNCTION("""COMPUTED_VALUE"""),"")</f>
        <v/>
      </c>
      <c r="J882" s="7"/>
      <c r="K882" s="8"/>
      <c r="L882" s="8"/>
      <c r="M882" s="8"/>
      <c r="N882" s="8" t="str">
        <f>IFERROR(__xludf.DUMMYFUNCTION("""COMPUTED_VALUE"""),"")</f>
        <v/>
      </c>
      <c r="O882" s="8" t="str">
        <f>IFERROR(__xludf.DUMMYFUNCTION("""COMPUTED_VALUE"""),"")</f>
        <v/>
      </c>
      <c r="P882" s="8"/>
      <c r="Q882" s="8"/>
    </row>
    <row r="883">
      <c r="A883" s="8"/>
      <c r="B883" s="25"/>
      <c r="C883" s="385" t="s">
        <v>1426</v>
      </c>
      <c r="D883" s="392"/>
      <c r="E883" s="8"/>
      <c r="F883" s="8"/>
      <c r="G883" s="389"/>
      <c r="H883" s="8" t="b">
        <v>0</v>
      </c>
      <c r="I883" s="388" t="str">
        <f>IFERROR(__xludf.DUMMYFUNCTION("""COMPUTED_VALUE"""),"")</f>
        <v/>
      </c>
      <c r="J883" s="7"/>
      <c r="K883" s="8"/>
      <c r="L883" s="8"/>
      <c r="M883" s="8"/>
      <c r="N883" s="8" t="str">
        <f>IFERROR(__xludf.DUMMYFUNCTION("""COMPUTED_VALUE"""),"")</f>
        <v/>
      </c>
      <c r="O883" s="8" t="str">
        <f>IFERROR(__xludf.DUMMYFUNCTION("""COMPUTED_VALUE"""),"")</f>
        <v/>
      </c>
      <c r="P883" s="8"/>
      <c r="Q883" s="8"/>
    </row>
    <row r="884">
      <c r="A884" s="8"/>
      <c r="B884" s="25"/>
      <c r="C884" s="385" t="s">
        <v>1426</v>
      </c>
      <c r="D884" s="392"/>
      <c r="E884" s="8"/>
      <c r="F884" s="8"/>
      <c r="G884" s="389"/>
      <c r="H884" s="8" t="b">
        <v>0</v>
      </c>
      <c r="I884" s="388" t="str">
        <f>IFERROR(__xludf.DUMMYFUNCTION("""COMPUTED_VALUE"""),"")</f>
        <v/>
      </c>
      <c r="J884" s="7"/>
      <c r="K884" s="8"/>
      <c r="L884" s="8"/>
      <c r="M884" s="8"/>
      <c r="N884" s="8" t="str">
        <f>IFERROR(__xludf.DUMMYFUNCTION("""COMPUTED_VALUE"""),"")</f>
        <v/>
      </c>
      <c r="O884" s="8" t="str">
        <f>IFERROR(__xludf.DUMMYFUNCTION("""COMPUTED_VALUE"""),"")</f>
        <v/>
      </c>
      <c r="P884" s="8"/>
      <c r="Q884" s="8"/>
    </row>
    <row r="885">
      <c r="A885" s="8"/>
      <c r="B885" s="25"/>
      <c r="C885" s="385" t="s">
        <v>1426</v>
      </c>
      <c r="D885" s="392"/>
      <c r="E885" s="8"/>
      <c r="F885" s="8"/>
      <c r="G885" s="389"/>
      <c r="H885" s="8" t="b">
        <v>0</v>
      </c>
      <c r="I885" s="388" t="str">
        <f>IFERROR(__xludf.DUMMYFUNCTION("""COMPUTED_VALUE"""),"")</f>
        <v/>
      </c>
      <c r="J885" s="7"/>
      <c r="K885" s="8"/>
      <c r="L885" s="8"/>
      <c r="M885" s="8"/>
      <c r="N885" s="8" t="str">
        <f>IFERROR(__xludf.DUMMYFUNCTION("""COMPUTED_VALUE"""),"")</f>
        <v/>
      </c>
      <c r="O885" s="8" t="str">
        <f>IFERROR(__xludf.DUMMYFUNCTION("""COMPUTED_VALUE"""),"")</f>
        <v/>
      </c>
      <c r="P885" s="8"/>
      <c r="Q885" s="8"/>
    </row>
    <row r="886">
      <c r="A886" s="8"/>
      <c r="B886" s="25"/>
      <c r="C886" s="385" t="s">
        <v>1426</v>
      </c>
      <c r="D886" s="392"/>
      <c r="E886" s="8"/>
      <c r="F886" s="8"/>
      <c r="G886" s="389"/>
      <c r="H886" s="8" t="b">
        <v>0</v>
      </c>
      <c r="I886" s="388" t="str">
        <f>IFERROR(__xludf.DUMMYFUNCTION("""COMPUTED_VALUE"""),"")</f>
        <v/>
      </c>
      <c r="J886" s="7"/>
      <c r="K886" s="8"/>
      <c r="L886" s="8"/>
      <c r="M886" s="8"/>
      <c r="N886" s="8" t="str">
        <f>IFERROR(__xludf.DUMMYFUNCTION("""COMPUTED_VALUE"""),"")</f>
        <v/>
      </c>
      <c r="O886" s="8" t="str">
        <f>IFERROR(__xludf.DUMMYFUNCTION("""COMPUTED_VALUE"""),"")</f>
        <v/>
      </c>
      <c r="P886" s="8"/>
      <c r="Q886" s="8"/>
    </row>
    <row r="887">
      <c r="A887" s="8"/>
      <c r="B887" s="25"/>
      <c r="C887" s="385" t="s">
        <v>1426</v>
      </c>
      <c r="D887" s="392"/>
      <c r="E887" s="8"/>
      <c r="F887" s="8"/>
      <c r="G887" s="389"/>
      <c r="H887" s="8" t="b">
        <v>0</v>
      </c>
      <c r="I887" s="388" t="str">
        <f>IFERROR(__xludf.DUMMYFUNCTION("""COMPUTED_VALUE"""),"")</f>
        <v/>
      </c>
      <c r="J887" s="7"/>
      <c r="K887" s="8"/>
      <c r="L887" s="8"/>
      <c r="M887" s="8"/>
      <c r="N887" s="8" t="str">
        <f>IFERROR(__xludf.DUMMYFUNCTION("""COMPUTED_VALUE"""),"")</f>
        <v/>
      </c>
      <c r="O887" s="8" t="str">
        <f>IFERROR(__xludf.DUMMYFUNCTION("""COMPUTED_VALUE"""),"")</f>
        <v/>
      </c>
      <c r="P887" s="8"/>
      <c r="Q887" s="8"/>
    </row>
    <row r="888">
      <c r="A888" s="8"/>
      <c r="B888" s="25"/>
      <c r="C888" s="385" t="s">
        <v>1426</v>
      </c>
      <c r="D888" s="392"/>
      <c r="E888" s="8"/>
      <c r="F888" s="8"/>
      <c r="G888" s="389"/>
      <c r="H888" s="8" t="b">
        <v>0</v>
      </c>
      <c r="I888" s="388" t="str">
        <f>IFERROR(__xludf.DUMMYFUNCTION("""COMPUTED_VALUE"""),"")</f>
        <v/>
      </c>
      <c r="J888" s="7"/>
      <c r="K888" s="8"/>
      <c r="L888" s="8"/>
      <c r="M888" s="8"/>
      <c r="N888" s="8" t="str">
        <f>IFERROR(__xludf.DUMMYFUNCTION("""COMPUTED_VALUE"""),"")</f>
        <v/>
      </c>
      <c r="O888" s="8" t="str">
        <f>IFERROR(__xludf.DUMMYFUNCTION("""COMPUTED_VALUE"""),"")</f>
        <v/>
      </c>
      <c r="P888" s="8"/>
      <c r="Q888" s="8"/>
    </row>
    <row r="889">
      <c r="A889" s="8"/>
      <c r="B889" s="25"/>
      <c r="C889" s="385" t="s">
        <v>1426</v>
      </c>
      <c r="D889" s="392"/>
      <c r="E889" s="8"/>
      <c r="F889" s="8"/>
      <c r="G889" s="389"/>
      <c r="H889" s="8" t="b">
        <v>0</v>
      </c>
      <c r="I889" s="388" t="str">
        <f>IFERROR(__xludf.DUMMYFUNCTION("""COMPUTED_VALUE"""),"")</f>
        <v/>
      </c>
      <c r="J889" s="7"/>
      <c r="K889" s="8"/>
      <c r="L889" s="8"/>
      <c r="M889" s="8"/>
      <c r="N889" s="8" t="str">
        <f>IFERROR(__xludf.DUMMYFUNCTION("""COMPUTED_VALUE"""),"")</f>
        <v/>
      </c>
      <c r="O889" s="8" t="str">
        <f>IFERROR(__xludf.DUMMYFUNCTION("""COMPUTED_VALUE"""),"")</f>
        <v/>
      </c>
      <c r="P889" s="8"/>
      <c r="Q889" s="8"/>
    </row>
    <row r="890">
      <c r="A890" s="8"/>
      <c r="B890" s="25"/>
      <c r="C890" s="385" t="s">
        <v>1426</v>
      </c>
      <c r="D890" s="392"/>
      <c r="E890" s="8"/>
      <c r="F890" s="8"/>
      <c r="G890" s="389"/>
      <c r="H890" s="8" t="b">
        <v>0</v>
      </c>
      <c r="I890" s="388" t="str">
        <f>IFERROR(__xludf.DUMMYFUNCTION("""COMPUTED_VALUE"""),"")</f>
        <v/>
      </c>
      <c r="J890" s="7"/>
      <c r="K890" s="8"/>
      <c r="L890" s="8"/>
      <c r="M890" s="8"/>
      <c r="N890" s="8" t="str">
        <f>IFERROR(__xludf.DUMMYFUNCTION("""COMPUTED_VALUE"""),"")</f>
        <v/>
      </c>
      <c r="O890" s="8" t="str">
        <f>IFERROR(__xludf.DUMMYFUNCTION("""COMPUTED_VALUE"""),"")</f>
        <v/>
      </c>
      <c r="P890" s="8"/>
      <c r="Q890" s="8"/>
    </row>
    <row r="891">
      <c r="A891" s="8"/>
      <c r="B891" s="25"/>
      <c r="C891" s="385" t="s">
        <v>1426</v>
      </c>
      <c r="D891" s="392"/>
      <c r="E891" s="8"/>
      <c r="F891" s="8"/>
      <c r="G891" s="389"/>
      <c r="H891" s="8" t="b">
        <v>0</v>
      </c>
      <c r="I891" s="388" t="str">
        <f>IFERROR(__xludf.DUMMYFUNCTION("""COMPUTED_VALUE"""),"")</f>
        <v/>
      </c>
      <c r="J891" s="7"/>
      <c r="K891" s="8"/>
      <c r="L891" s="8"/>
      <c r="M891" s="8"/>
      <c r="N891" s="8" t="str">
        <f>IFERROR(__xludf.DUMMYFUNCTION("""COMPUTED_VALUE"""),"")</f>
        <v/>
      </c>
      <c r="O891" s="8" t="str">
        <f>IFERROR(__xludf.DUMMYFUNCTION("""COMPUTED_VALUE"""),"")</f>
        <v/>
      </c>
      <c r="P891" s="8"/>
      <c r="Q891" s="8"/>
    </row>
    <row r="892">
      <c r="A892" s="8"/>
      <c r="B892" s="25"/>
      <c r="C892" s="385" t="s">
        <v>1426</v>
      </c>
      <c r="D892" s="392"/>
      <c r="E892" s="8"/>
      <c r="F892" s="8"/>
      <c r="G892" s="389"/>
      <c r="H892" s="8" t="b">
        <v>0</v>
      </c>
      <c r="I892" s="388" t="str">
        <f>IFERROR(__xludf.DUMMYFUNCTION("""COMPUTED_VALUE"""),"")</f>
        <v/>
      </c>
      <c r="J892" s="7"/>
      <c r="K892" s="8"/>
      <c r="L892" s="8"/>
      <c r="M892" s="8"/>
      <c r="N892" s="8" t="str">
        <f>IFERROR(__xludf.DUMMYFUNCTION("""COMPUTED_VALUE"""),"")</f>
        <v/>
      </c>
      <c r="O892" s="8" t="str">
        <f>IFERROR(__xludf.DUMMYFUNCTION("""COMPUTED_VALUE"""),"")</f>
        <v/>
      </c>
      <c r="P892" s="8"/>
      <c r="Q892" s="8"/>
    </row>
    <row r="893">
      <c r="A893" s="8"/>
      <c r="B893" s="25"/>
      <c r="C893" s="385" t="s">
        <v>1426</v>
      </c>
      <c r="D893" s="392"/>
      <c r="E893" s="8"/>
      <c r="F893" s="8"/>
      <c r="G893" s="389"/>
      <c r="H893" s="8" t="b">
        <v>0</v>
      </c>
      <c r="I893" s="388" t="str">
        <f>IFERROR(__xludf.DUMMYFUNCTION("""COMPUTED_VALUE"""),"")</f>
        <v/>
      </c>
      <c r="J893" s="7"/>
      <c r="K893" s="8"/>
      <c r="L893" s="8"/>
      <c r="M893" s="8"/>
      <c r="N893" s="8" t="str">
        <f>IFERROR(__xludf.DUMMYFUNCTION("""COMPUTED_VALUE"""),"")</f>
        <v/>
      </c>
      <c r="O893" s="8" t="str">
        <f>IFERROR(__xludf.DUMMYFUNCTION("""COMPUTED_VALUE"""),"")</f>
        <v/>
      </c>
      <c r="P893" s="8"/>
      <c r="Q893" s="8"/>
    </row>
    <row r="894">
      <c r="A894" s="8"/>
      <c r="B894" s="25"/>
      <c r="C894" s="385" t="s">
        <v>1426</v>
      </c>
      <c r="D894" s="392"/>
      <c r="E894" s="8"/>
      <c r="F894" s="8"/>
      <c r="G894" s="389"/>
      <c r="H894" s="8" t="b">
        <v>0</v>
      </c>
      <c r="I894" s="388" t="str">
        <f>IFERROR(__xludf.DUMMYFUNCTION("""COMPUTED_VALUE"""),"")</f>
        <v/>
      </c>
      <c r="J894" s="7"/>
      <c r="K894" s="8"/>
      <c r="L894" s="8"/>
      <c r="M894" s="8"/>
      <c r="N894" s="8" t="str">
        <f>IFERROR(__xludf.DUMMYFUNCTION("""COMPUTED_VALUE"""),"")</f>
        <v/>
      </c>
      <c r="O894" s="8" t="str">
        <f>IFERROR(__xludf.DUMMYFUNCTION("""COMPUTED_VALUE"""),"")</f>
        <v/>
      </c>
      <c r="P894" s="8"/>
      <c r="Q894" s="8"/>
    </row>
    <row r="895">
      <c r="A895" s="8"/>
      <c r="B895" s="25"/>
      <c r="C895" s="385" t="s">
        <v>1426</v>
      </c>
      <c r="D895" s="392"/>
      <c r="E895" s="8"/>
      <c r="F895" s="8"/>
      <c r="G895" s="389"/>
      <c r="H895" s="8" t="b">
        <v>0</v>
      </c>
      <c r="I895" s="388" t="str">
        <f>IFERROR(__xludf.DUMMYFUNCTION("""COMPUTED_VALUE"""),"")</f>
        <v/>
      </c>
      <c r="J895" s="7"/>
      <c r="K895" s="8"/>
      <c r="L895" s="8"/>
      <c r="M895" s="8"/>
      <c r="N895" s="8" t="str">
        <f>IFERROR(__xludf.DUMMYFUNCTION("""COMPUTED_VALUE"""),"")</f>
        <v/>
      </c>
      <c r="O895" s="8" t="str">
        <f>IFERROR(__xludf.DUMMYFUNCTION("""COMPUTED_VALUE"""),"")</f>
        <v/>
      </c>
      <c r="P895" s="8"/>
      <c r="Q895" s="8"/>
    </row>
    <row r="896">
      <c r="A896" s="8"/>
      <c r="B896" s="25"/>
      <c r="C896" s="385" t="s">
        <v>1426</v>
      </c>
      <c r="D896" s="392"/>
      <c r="E896" s="8"/>
      <c r="F896" s="8"/>
      <c r="G896" s="389"/>
      <c r="H896" s="8" t="b">
        <v>0</v>
      </c>
      <c r="I896" s="388" t="str">
        <f>IFERROR(__xludf.DUMMYFUNCTION("""COMPUTED_VALUE"""),"")</f>
        <v/>
      </c>
      <c r="J896" s="7"/>
      <c r="K896" s="8"/>
      <c r="L896" s="8"/>
      <c r="M896" s="8"/>
      <c r="N896" s="8" t="str">
        <f>IFERROR(__xludf.DUMMYFUNCTION("""COMPUTED_VALUE"""),"")</f>
        <v/>
      </c>
      <c r="O896" s="8" t="str">
        <f>IFERROR(__xludf.DUMMYFUNCTION("""COMPUTED_VALUE"""),"")</f>
        <v/>
      </c>
      <c r="P896" s="8"/>
      <c r="Q896" s="8"/>
    </row>
    <row r="897">
      <c r="A897" s="8"/>
      <c r="B897" s="25"/>
      <c r="C897" s="385" t="s">
        <v>1426</v>
      </c>
      <c r="D897" s="392"/>
      <c r="E897" s="8"/>
      <c r="F897" s="8"/>
      <c r="G897" s="389"/>
      <c r="H897" s="8" t="b">
        <v>0</v>
      </c>
      <c r="I897" s="388" t="str">
        <f>IFERROR(__xludf.DUMMYFUNCTION("""COMPUTED_VALUE"""),"")</f>
        <v/>
      </c>
      <c r="J897" s="7"/>
      <c r="K897" s="8"/>
      <c r="L897" s="8"/>
      <c r="M897" s="8"/>
      <c r="N897" s="8" t="str">
        <f>IFERROR(__xludf.DUMMYFUNCTION("""COMPUTED_VALUE"""),"")</f>
        <v/>
      </c>
      <c r="O897" s="8" t="str">
        <f>IFERROR(__xludf.DUMMYFUNCTION("""COMPUTED_VALUE"""),"")</f>
        <v/>
      </c>
      <c r="P897" s="8"/>
      <c r="Q897" s="8"/>
    </row>
    <row r="898">
      <c r="A898" s="8"/>
      <c r="B898" s="25"/>
      <c r="C898" s="385" t="s">
        <v>1426</v>
      </c>
      <c r="D898" s="392"/>
      <c r="E898" s="8"/>
      <c r="F898" s="8"/>
      <c r="G898" s="389"/>
      <c r="H898" s="8" t="b">
        <v>0</v>
      </c>
      <c r="I898" s="388" t="str">
        <f>IFERROR(__xludf.DUMMYFUNCTION("""COMPUTED_VALUE"""),"")</f>
        <v/>
      </c>
      <c r="J898" s="7"/>
      <c r="K898" s="8"/>
      <c r="L898" s="8"/>
      <c r="M898" s="8"/>
      <c r="N898" s="8" t="str">
        <f>IFERROR(__xludf.DUMMYFUNCTION("""COMPUTED_VALUE"""),"")</f>
        <v/>
      </c>
      <c r="O898" s="8" t="str">
        <f>IFERROR(__xludf.DUMMYFUNCTION("""COMPUTED_VALUE"""),"")</f>
        <v/>
      </c>
      <c r="P898" s="8"/>
      <c r="Q898" s="8"/>
    </row>
    <row r="899">
      <c r="A899" s="8"/>
      <c r="B899" s="25"/>
      <c r="C899" s="385" t="s">
        <v>1426</v>
      </c>
      <c r="D899" s="392"/>
      <c r="E899" s="8"/>
      <c r="F899" s="8"/>
      <c r="G899" s="389"/>
      <c r="H899" s="8" t="b">
        <v>0</v>
      </c>
      <c r="I899" s="388" t="str">
        <f>IFERROR(__xludf.DUMMYFUNCTION("""COMPUTED_VALUE"""),"")</f>
        <v/>
      </c>
      <c r="J899" s="7"/>
      <c r="K899" s="8"/>
      <c r="L899" s="8"/>
      <c r="M899" s="8"/>
      <c r="N899" s="8" t="str">
        <f>IFERROR(__xludf.DUMMYFUNCTION("""COMPUTED_VALUE"""),"")</f>
        <v/>
      </c>
      <c r="O899" s="8" t="str">
        <f>IFERROR(__xludf.DUMMYFUNCTION("""COMPUTED_VALUE"""),"")</f>
        <v/>
      </c>
      <c r="P899" s="8"/>
      <c r="Q899" s="8"/>
    </row>
    <row r="900">
      <c r="A900" s="8"/>
      <c r="B900" s="25"/>
      <c r="C900" s="385" t="s">
        <v>1426</v>
      </c>
      <c r="D900" s="392"/>
      <c r="E900" s="8"/>
      <c r="F900" s="8"/>
      <c r="G900" s="389"/>
      <c r="H900" s="8" t="b">
        <v>0</v>
      </c>
      <c r="I900" s="388" t="str">
        <f>IFERROR(__xludf.DUMMYFUNCTION("""COMPUTED_VALUE"""),"")</f>
        <v/>
      </c>
      <c r="J900" s="7"/>
      <c r="K900" s="8"/>
      <c r="L900" s="8"/>
      <c r="M900" s="8"/>
      <c r="N900" s="8" t="str">
        <f>IFERROR(__xludf.DUMMYFUNCTION("""COMPUTED_VALUE"""),"")</f>
        <v/>
      </c>
      <c r="O900" s="8" t="str">
        <f>IFERROR(__xludf.DUMMYFUNCTION("""COMPUTED_VALUE"""),"")</f>
        <v/>
      </c>
      <c r="P900" s="8"/>
      <c r="Q900" s="8"/>
    </row>
    <row r="901">
      <c r="A901" s="8"/>
      <c r="B901" s="25"/>
      <c r="C901" s="385" t="s">
        <v>1426</v>
      </c>
      <c r="D901" s="392"/>
      <c r="E901" s="8"/>
      <c r="F901" s="8"/>
      <c r="G901" s="389"/>
      <c r="H901" s="8" t="b">
        <v>0</v>
      </c>
      <c r="I901" s="388" t="str">
        <f>IFERROR(__xludf.DUMMYFUNCTION("""COMPUTED_VALUE"""),"")</f>
        <v/>
      </c>
      <c r="J901" s="7"/>
      <c r="K901" s="8"/>
      <c r="L901" s="8"/>
      <c r="M901" s="8"/>
      <c r="N901" s="8" t="str">
        <f>IFERROR(__xludf.DUMMYFUNCTION("""COMPUTED_VALUE"""),"")</f>
        <v/>
      </c>
      <c r="O901" s="8" t="str">
        <f>IFERROR(__xludf.DUMMYFUNCTION("""COMPUTED_VALUE"""),"")</f>
        <v/>
      </c>
      <c r="P901" s="8"/>
      <c r="Q901" s="8"/>
    </row>
    <row r="902">
      <c r="A902" s="8"/>
      <c r="B902" s="25"/>
      <c r="C902" s="385" t="s">
        <v>1426</v>
      </c>
      <c r="D902" s="392"/>
      <c r="E902" s="8"/>
      <c r="F902" s="8"/>
      <c r="G902" s="389"/>
      <c r="H902" s="8" t="b">
        <v>0</v>
      </c>
      <c r="I902" s="388" t="str">
        <f>IFERROR(__xludf.DUMMYFUNCTION("""COMPUTED_VALUE"""),"")</f>
        <v/>
      </c>
      <c r="J902" s="7"/>
      <c r="K902" s="8"/>
      <c r="L902" s="8"/>
      <c r="M902" s="8"/>
      <c r="N902" s="8" t="str">
        <f>IFERROR(__xludf.DUMMYFUNCTION("""COMPUTED_VALUE"""),"")</f>
        <v/>
      </c>
      <c r="O902" s="8" t="str">
        <f>IFERROR(__xludf.DUMMYFUNCTION("""COMPUTED_VALUE"""),"")</f>
        <v/>
      </c>
      <c r="P902" s="8"/>
      <c r="Q902" s="8"/>
    </row>
    <row r="903">
      <c r="A903" s="8"/>
      <c r="B903" s="25"/>
      <c r="C903" s="385" t="s">
        <v>1426</v>
      </c>
      <c r="D903" s="392"/>
      <c r="E903" s="8"/>
      <c r="F903" s="8"/>
      <c r="G903" s="389"/>
      <c r="H903" s="8" t="b">
        <v>0</v>
      </c>
      <c r="I903" s="388" t="str">
        <f>IFERROR(__xludf.DUMMYFUNCTION("""COMPUTED_VALUE"""),"")</f>
        <v/>
      </c>
      <c r="J903" s="7"/>
      <c r="K903" s="8"/>
      <c r="L903" s="8"/>
      <c r="M903" s="8"/>
      <c r="N903" s="8" t="str">
        <f>IFERROR(__xludf.DUMMYFUNCTION("""COMPUTED_VALUE"""),"")</f>
        <v/>
      </c>
      <c r="O903" s="8" t="str">
        <f>IFERROR(__xludf.DUMMYFUNCTION("""COMPUTED_VALUE"""),"")</f>
        <v/>
      </c>
      <c r="P903" s="8"/>
      <c r="Q903" s="8"/>
    </row>
    <row r="904">
      <c r="A904" s="8"/>
      <c r="B904" s="25"/>
      <c r="C904" s="385" t="s">
        <v>1426</v>
      </c>
      <c r="D904" s="392"/>
      <c r="E904" s="8"/>
      <c r="F904" s="8"/>
      <c r="G904" s="389"/>
      <c r="H904" s="8" t="b">
        <v>0</v>
      </c>
      <c r="I904" s="388" t="str">
        <f>IFERROR(__xludf.DUMMYFUNCTION("""COMPUTED_VALUE"""),"")</f>
        <v/>
      </c>
      <c r="J904" s="7"/>
      <c r="K904" s="8"/>
      <c r="L904" s="8"/>
      <c r="M904" s="8"/>
      <c r="N904" s="8" t="str">
        <f>IFERROR(__xludf.DUMMYFUNCTION("""COMPUTED_VALUE"""),"")</f>
        <v/>
      </c>
      <c r="O904" s="8" t="str">
        <f>IFERROR(__xludf.DUMMYFUNCTION("""COMPUTED_VALUE"""),"")</f>
        <v/>
      </c>
      <c r="P904" s="8"/>
      <c r="Q904" s="8"/>
    </row>
    <row r="905">
      <c r="A905" s="8"/>
      <c r="B905" s="25"/>
      <c r="C905" s="385" t="s">
        <v>1426</v>
      </c>
      <c r="D905" s="392"/>
      <c r="E905" s="8"/>
      <c r="F905" s="8"/>
      <c r="G905" s="389"/>
      <c r="H905" s="8" t="b">
        <v>0</v>
      </c>
      <c r="I905" s="388" t="str">
        <f>IFERROR(__xludf.DUMMYFUNCTION("""COMPUTED_VALUE"""),"")</f>
        <v/>
      </c>
      <c r="J905" s="7"/>
      <c r="K905" s="8"/>
      <c r="L905" s="8"/>
      <c r="M905" s="8"/>
      <c r="N905" s="8" t="str">
        <f>IFERROR(__xludf.DUMMYFUNCTION("""COMPUTED_VALUE"""),"")</f>
        <v/>
      </c>
      <c r="O905" s="8" t="str">
        <f>IFERROR(__xludf.DUMMYFUNCTION("""COMPUTED_VALUE"""),"")</f>
        <v/>
      </c>
      <c r="P905" s="8"/>
      <c r="Q905" s="8"/>
    </row>
    <row r="906">
      <c r="A906" s="8"/>
      <c r="B906" s="25"/>
      <c r="C906" s="385" t="s">
        <v>1426</v>
      </c>
      <c r="D906" s="392"/>
      <c r="E906" s="8"/>
      <c r="F906" s="8"/>
      <c r="G906" s="389"/>
      <c r="H906" s="8" t="b">
        <v>0</v>
      </c>
      <c r="I906" s="388" t="str">
        <f>IFERROR(__xludf.DUMMYFUNCTION("""COMPUTED_VALUE"""),"")</f>
        <v/>
      </c>
      <c r="J906" s="7"/>
      <c r="K906" s="8"/>
      <c r="L906" s="8"/>
      <c r="M906" s="8"/>
      <c r="N906" s="8" t="str">
        <f>IFERROR(__xludf.DUMMYFUNCTION("""COMPUTED_VALUE"""),"")</f>
        <v/>
      </c>
      <c r="O906" s="8" t="str">
        <f>IFERROR(__xludf.DUMMYFUNCTION("""COMPUTED_VALUE"""),"")</f>
        <v/>
      </c>
      <c r="P906" s="8"/>
      <c r="Q906" s="8"/>
    </row>
    <row r="907">
      <c r="A907" s="8"/>
      <c r="B907" s="25"/>
      <c r="C907" s="385" t="s">
        <v>1426</v>
      </c>
      <c r="D907" s="392"/>
      <c r="E907" s="8"/>
      <c r="F907" s="8"/>
      <c r="G907" s="389"/>
      <c r="H907" s="8" t="b">
        <v>0</v>
      </c>
      <c r="I907" s="388" t="str">
        <f>IFERROR(__xludf.DUMMYFUNCTION("""COMPUTED_VALUE"""),"")</f>
        <v/>
      </c>
      <c r="J907" s="7"/>
      <c r="K907" s="8"/>
      <c r="L907" s="8"/>
      <c r="M907" s="8"/>
      <c r="N907" s="8" t="str">
        <f>IFERROR(__xludf.DUMMYFUNCTION("""COMPUTED_VALUE"""),"")</f>
        <v/>
      </c>
      <c r="O907" s="8" t="str">
        <f>IFERROR(__xludf.DUMMYFUNCTION("""COMPUTED_VALUE"""),"")</f>
        <v/>
      </c>
      <c r="P907" s="8"/>
      <c r="Q907" s="8"/>
    </row>
    <row r="908">
      <c r="A908" s="8"/>
      <c r="B908" s="25"/>
      <c r="C908" s="385" t="s">
        <v>1426</v>
      </c>
      <c r="D908" s="392"/>
      <c r="E908" s="8"/>
      <c r="F908" s="8"/>
      <c r="G908" s="389"/>
      <c r="H908" s="8" t="b">
        <v>0</v>
      </c>
      <c r="I908" s="388" t="str">
        <f>IFERROR(__xludf.DUMMYFUNCTION("""COMPUTED_VALUE"""),"")</f>
        <v/>
      </c>
      <c r="J908" s="7"/>
      <c r="K908" s="8"/>
      <c r="L908" s="8"/>
      <c r="M908" s="8"/>
      <c r="N908" s="8" t="str">
        <f>IFERROR(__xludf.DUMMYFUNCTION("""COMPUTED_VALUE"""),"")</f>
        <v/>
      </c>
      <c r="O908" s="8" t="str">
        <f>IFERROR(__xludf.DUMMYFUNCTION("""COMPUTED_VALUE"""),"")</f>
        <v/>
      </c>
      <c r="P908" s="8"/>
      <c r="Q908" s="8"/>
    </row>
    <row r="909">
      <c r="A909" s="8"/>
      <c r="B909" s="25"/>
      <c r="C909" s="385" t="s">
        <v>1426</v>
      </c>
      <c r="D909" s="392"/>
      <c r="E909" s="8"/>
      <c r="F909" s="8"/>
      <c r="G909" s="389"/>
      <c r="H909" s="8" t="b">
        <v>0</v>
      </c>
      <c r="I909" s="388" t="str">
        <f>IFERROR(__xludf.DUMMYFUNCTION("""COMPUTED_VALUE"""),"")</f>
        <v/>
      </c>
      <c r="J909" s="7"/>
      <c r="K909" s="8"/>
      <c r="L909" s="8"/>
      <c r="M909" s="8"/>
      <c r="N909" s="8" t="str">
        <f>IFERROR(__xludf.DUMMYFUNCTION("""COMPUTED_VALUE"""),"")</f>
        <v/>
      </c>
      <c r="O909" s="8" t="str">
        <f>IFERROR(__xludf.DUMMYFUNCTION("""COMPUTED_VALUE"""),"")</f>
        <v/>
      </c>
      <c r="P909" s="8"/>
      <c r="Q909" s="8"/>
    </row>
    <row r="910">
      <c r="A910" s="8"/>
      <c r="B910" s="25"/>
      <c r="C910" s="385" t="s">
        <v>1426</v>
      </c>
      <c r="D910" s="392"/>
      <c r="E910" s="8"/>
      <c r="F910" s="8"/>
      <c r="G910" s="389"/>
      <c r="H910" s="8" t="b">
        <v>0</v>
      </c>
      <c r="I910" s="388" t="str">
        <f>IFERROR(__xludf.DUMMYFUNCTION("""COMPUTED_VALUE"""),"")</f>
        <v/>
      </c>
      <c r="J910" s="7"/>
      <c r="K910" s="8"/>
      <c r="L910" s="8"/>
      <c r="M910" s="8"/>
      <c r="N910" s="8" t="str">
        <f>IFERROR(__xludf.DUMMYFUNCTION("""COMPUTED_VALUE"""),"")</f>
        <v/>
      </c>
      <c r="O910" s="8" t="str">
        <f>IFERROR(__xludf.DUMMYFUNCTION("""COMPUTED_VALUE"""),"")</f>
        <v/>
      </c>
      <c r="P910" s="8"/>
      <c r="Q910" s="8"/>
    </row>
    <row r="911">
      <c r="A911" s="8"/>
      <c r="B911" s="25"/>
      <c r="C911" s="385" t="s">
        <v>1426</v>
      </c>
      <c r="D911" s="392"/>
      <c r="E911" s="8"/>
      <c r="F911" s="8"/>
      <c r="G911" s="389"/>
      <c r="H911" s="8" t="b">
        <v>0</v>
      </c>
      <c r="I911" s="388" t="str">
        <f>IFERROR(__xludf.DUMMYFUNCTION("""COMPUTED_VALUE"""),"")</f>
        <v/>
      </c>
      <c r="J911" s="7"/>
      <c r="K911" s="8"/>
      <c r="L911" s="8"/>
      <c r="M911" s="8"/>
      <c r="N911" s="8" t="str">
        <f>IFERROR(__xludf.DUMMYFUNCTION("""COMPUTED_VALUE"""),"")</f>
        <v/>
      </c>
      <c r="O911" s="8" t="str">
        <f>IFERROR(__xludf.DUMMYFUNCTION("""COMPUTED_VALUE"""),"")</f>
        <v/>
      </c>
      <c r="P911" s="8"/>
      <c r="Q911" s="8"/>
    </row>
    <row r="912">
      <c r="A912" s="8"/>
      <c r="B912" s="25"/>
      <c r="C912" s="385" t="s">
        <v>1426</v>
      </c>
      <c r="D912" s="392"/>
      <c r="E912" s="8"/>
      <c r="F912" s="8"/>
      <c r="G912" s="389"/>
      <c r="H912" s="8" t="b">
        <v>0</v>
      </c>
      <c r="I912" s="388" t="str">
        <f>IFERROR(__xludf.DUMMYFUNCTION("""COMPUTED_VALUE"""),"")</f>
        <v/>
      </c>
      <c r="J912" s="7"/>
      <c r="K912" s="8"/>
      <c r="L912" s="8"/>
      <c r="M912" s="8"/>
      <c r="N912" s="8" t="str">
        <f>IFERROR(__xludf.DUMMYFUNCTION("""COMPUTED_VALUE"""),"")</f>
        <v/>
      </c>
      <c r="O912" s="8" t="str">
        <f>IFERROR(__xludf.DUMMYFUNCTION("""COMPUTED_VALUE"""),"")</f>
        <v/>
      </c>
      <c r="P912" s="8"/>
      <c r="Q912" s="8"/>
    </row>
    <row r="913">
      <c r="A913" s="8"/>
      <c r="B913" s="25"/>
      <c r="C913" s="385" t="s">
        <v>1426</v>
      </c>
      <c r="D913" s="392"/>
      <c r="E913" s="8"/>
      <c r="F913" s="8"/>
      <c r="G913" s="389"/>
      <c r="H913" s="8" t="b">
        <v>0</v>
      </c>
      <c r="I913" s="388" t="str">
        <f>IFERROR(__xludf.DUMMYFUNCTION("""COMPUTED_VALUE"""),"")</f>
        <v/>
      </c>
      <c r="J913" s="7"/>
      <c r="K913" s="8"/>
      <c r="L913" s="8"/>
      <c r="M913" s="8"/>
      <c r="N913" s="8" t="str">
        <f>IFERROR(__xludf.DUMMYFUNCTION("""COMPUTED_VALUE"""),"")</f>
        <v/>
      </c>
      <c r="O913" s="8" t="str">
        <f>IFERROR(__xludf.DUMMYFUNCTION("""COMPUTED_VALUE"""),"")</f>
        <v/>
      </c>
      <c r="P913" s="8"/>
      <c r="Q913" s="8"/>
    </row>
    <row r="914">
      <c r="A914" s="8"/>
      <c r="B914" s="25"/>
      <c r="C914" s="385" t="s">
        <v>1426</v>
      </c>
      <c r="D914" s="392"/>
      <c r="E914" s="8"/>
      <c r="F914" s="8"/>
      <c r="G914" s="389"/>
      <c r="H914" s="8" t="b">
        <v>0</v>
      </c>
      <c r="I914" s="388" t="str">
        <f>IFERROR(__xludf.DUMMYFUNCTION("""COMPUTED_VALUE"""),"")</f>
        <v/>
      </c>
      <c r="J914" s="7"/>
      <c r="K914" s="8"/>
      <c r="L914" s="8"/>
      <c r="M914" s="8"/>
      <c r="N914" s="8" t="str">
        <f>IFERROR(__xludf.DUMMYFUNCTION("""COMPUTED_VALUE"""),"")</f>
        <v/>
      </c>
      <c r="O914" s="8" t="str">
        <f>IFERROR(__xludf.DUMMYFUNCTION("""COMPUTED_VALUE"""),"")</f>
        <v/>
      </c>
      <c r="P914" s="8"/>
      <c r="Q914" s="8"/>
    </row>
    <row r="915">
      <c r="A915" s="8"/>
      <c r="B915" s="25"/>
      <c r="C915" s="385" t="s">
        <v>1426</v>
      </c>
      <c r="D915" s="392"/>
      <c r="E915" s="8"/>
      <c r="F915" s="8"/>
      <c r="G915" s="389"/>
      <c r="H915" s="8" t="b">
        <v>0</v>
      </c>
      <c r="I915" s="388" t="str">
        <f>IFERROR(__xludf.DUMMYFUNCTION("""COMPUTED_VALUE"""),"")</f>
        <v/>
      </c>
      <c r="J915" s="7"/>
      <c r="K915" s="8"/>
      <c r="L915" s="8"/>
      <c r="M915" s="8"/>
      <c r="N915" s="8" t="str">
        <f>IFERROR(__xludf.DUMMYFUNCTION("""COMPUTED_VALUE"""),"")</f>
        <v/>
      </c>
      <c r="O915" s="8" t="str">
        <f>IFERROR(__xludf.DUMMYFUNCTION("""COMPUTED_VALUE"""),"")</f>
        <v/>
      </c>
      <c r="P915" s="8"/>
      <c r="Q915" s="8"/>
    </row>
    <row r="916">
      <c r="A916" s="8"/>
      <c r="B916" s="25"/>
      <c r="C916" s="385" t="s">
        <v>1426</v>
      </c>
      <c r="D916" s="392"/>
      <c r="E916" s="8"/>
      <c r="F916" s="8"/>
      <c r="G916" s="389"/>
      <c r="H916" s="8" t="b">
        <v>0</v>
      </c>
      <c r="I916" s="388" t="str">
        <f>IFERROR(__xludf.DUMMYFUNCTION("""COMPUTED_VALUE"""),"")</f>
        <v/>
      </c>
      <c r="J916" s="7"/>
      <c r="K916" s="8"/>
      <c r="L916" s="8"/>
      <c r="M916" s="8"/>
      <c r="N916" s="8" t="str">
        <f>IFERROR(__xludf.DUMMYFUNCTION("""COMPUTED_VALUE"""),"")</f>
        <v/>
      </c>
      <c r="O916" s="8" t="str">
        <f>IFERROR(__xludf.DUMMYFUNCTION("""COMPUTED_VALUE"""),"")</f>
        <v/>
      </c>
      <c r="P916" s="8"/>
      <c r="Q916" s="8"/>
    </row>
    <row r="917">
      <c r="A917" s="8"/>
      <c r="B917" s="25"/>
      <c r="C917" s="385" t="s">
        <v>1426</v>
      </c>
      <c r="D917" s="392"/>
      <c r="E917" s="8"/>
      <c r="F917" s="8"/>
      <c r="G917" s="389"/>
      <c r="H917" s="8" t="b">
        <v>0</v>
      </c>
      <c r="I917" s="388" t="str">
        <f>IFERROR(__xludf.DUMMYFUNCTION("""COMPUTED_VALUE"""),"")</f>
        <v/>
      </c>
      <c r="J917" s="7"/>
      <c r="K917" s="8"/>
      <c r="L917" s="8"/>
      <c r="M917" s="8"/>
      <c r="N917" s="8" t="str">
        <f>IFERROR(__xludf.DUMMYFUNCTION("""COMPUTED_VALUE"""),"")</f>
        <v/>
      </c>
      <c r="O917" s="8" t="str">
        <f>IFERROR(__xludf.DUMMYFUNCTION("""COMPUTED_VALUE"""),"")</f>
        <v/>
      </c>
      <c r="P917" s="8"/>
      <c r="Q917" s="8"/>
    </row>
    <row r="918">
      <c r="A918" s="8"/>
      <c r="B918" s="25"/>
      <c r="C918" s="385" t="s">
        <v>1426</v>
      </c>
      <c r="D918" s="392"/>
      <c r="E918" s="8"/>
      <c r="F918" s="8"/>
      <c r="G918" s="389"/>
      <c r="H918" s="8" t="b">
        <v>0</v>
      </c>
      <c r="I918" s="388" t="str">
        <f>IFERROR(__xludf.DUMMYFUNCTION("""COMPUTED_VALUE"""),"")</f>
        <v/>
      </c>
      <c r="J918" s="7"/>
      <c r="K918" s="8"/>
      <c r="L918" s="8"/>
      <c r="M918" s="8"/>
      <c r="N918" s="8" t="str">
        <f>IFERROR(__xludf.DUMMYFUNCTION("""COMPUTED_VALUE"""),"")</f>
        <v/>
      </c>
      <c r="O918" s="8" t="str">
        <f>IFERROR(__xludf.DUMMYFUNCTION("""COMPUTED_VALUE"""),"")</f>
        <v/>
      </c>
      <c r="P918" s="8"/>
      <c r="Q918" s="8"/>
    </row>
    <row r="919">
      <c r="A919" s="8"/>
      <c r="B919" s="25"/>
      <c r="C919" s="385" t="s">
        <v>1426</v>
      </c>
      <c r="D919" s="392"/>
      <c r="E919" s="8"/>
      <c r="F919" s="8"/>
      <c r="G919" s="389"/>
      <c r="H919" s="8" t="b">
        <v>0</v>
      </c>
      <c r="I919" s="388" t="str">
        <f>IFERROR(__xludf.DUMMYFUNCTION("""COMPUTED_VALUE"""),"")</f>
        <v/>
      </c>
      <c r="J919" s="7"/>
      <c r="K919" s="8"/>
      <c r="L919" s="8"/>
      <c r="M919" s="8"/>
      <c r="N919" s="8" t="str">
        <f>IFERROR(__xludf.DUMMYFUNCTION("""COMPUTED_VALUE"""),"")</f>
        <v/>
      </c>
      <c r="O919" s="8" t="str">
        <f>IFERROR(__xludf.DUMMYFUNCTION("""COMPUTED_VALUE"""),"")</f>
        <v/>
      </c>
      <c r="P919" s="8"/>
      <c r="Q919" s="8"/>
    </row>
    <row r="920">
      <c r="A920" s="8"/>
      <c r="B920" s="25"/>
      <c r="C920" s="385" t="s">
        <v>1426</v>
      </c>
      <c r="D920" s="392"/>
      <c r="E920" s="8"/>
      <c r="F920" s="8"/>
      <c r="G920" s="389"/>
      <c r="H920" s="8" t="b">
        <v>0</v>
      </c>
      <c r="I920" s="388" t="str">
        <f>IFERROR(__xludf.DUMMYFUNCTION("""COMPUTED_VALUE"""),"")</f>
        <v/>
      </c>
      <c r="J920" s="7"/>
      <c r="K920" s="8"/>
      <c r="L920" s="8"/>
      <c r="M920" s="8"/>
      <c r="N920" s="8" t="str">
        <f>IFERROR(__xludf.DUMMYFUNCTION("""COMPUTED_VALUE"""),"")</f>
        <v/>
      </c>
      <c r="O920" s="8" t="str">
        <f>IFERROR(__xludf.DUMMYFUNCTION("""COMPUTED_VALUE"""),"")</f>
        <v/>
      </c>
      <c r="P920" s="8"/>
      <c r="Q920" s="8"/>
    </row>
    <row r="921">
      <c r="A921" s="8"/>
      <c r="B921" s="25"/>
      <c r="C921" s="385" t="s">
        <v>1426</v>
      </c>
      <c r="D921" s="392"/>
      <c r="E921" s="8"/>
      <c r="F921" s="8"/>
      <c r="G921" s="389"/>
      <c r="H921" s="8" t="b">
        <v>0</v>
      </c>
      <c r="I921" s="388" t="str">
        <f>IFERROR(__xludf.DUMMYFUNCTION("""COMPUTED_VALUE"""),"")</f>
        <v/>
      </c>
      <c r="J921" s="7"/>
      <c r="K921" s="8"/>
      <c r="L921" s="8"/>
      <c r="M921" s="8"/>
      <c r="N921" s="8" t="str">
        <f>IFERROR(__xludf.DUMMYFUNCTION("""COMPUTED_VALUE"""),"")</f>
        <v/>
      </c>
      <c r="O921" s="8" t="str">
        <f>IFERROR(__xludf.DUMMYFUNCTION("""COMPUTED_VALUE"""),"")</f>
        <v/>
      </c>
      <c r="P921" s="8"/>
      <c r="Q921" s="8"/>
    </row>
    <row r="922">
      <c r="A922" s="8"/>
      <c r="B922" s="25"/>
      <c r="C922" s="385" t="s">
        <v>1426</v>
      </c>
      <c r="D922" s="392"/>
      <c r="E922" s="8"/>
      <c r="F922" s="8"/>
      <c r="G922" s="389"/>
      <c r="H922" s="8" t="b">
        <v>0</v>
      </c>
      <c r="I922" s="388" t="str">
        <f>IFERROR(__xludf.DUMMYFUNCTION("""COMPUTED_VALUE"""),"")</f>
        <v/>
      </c>
      <c r="J922" s="7"/>
      <c r="K922" s="8"/>
      <c r="L922" s="8"/>
      <c r="M922" s="8"/>
      <c r="N922" s="8" t="str">
        <f>IFERROR(__xludf.DUMMYFUNCTION("""COMPUTED_VALUE"""),"")</f>
        <v/>
      </c>
      <c r="O922" s="8" t="str">
        <f>IFERROR(__xludf.DUMMYFUNCTION("""COMPUTED_VALUE"""),"")</f>
        <v/>
      </c>
      <c r="P922" s="8"/>
      <c r="Q922" s="8"/>
    </row>
    <row r="923">
      <c r="A923" s="8"/>
      <c r="B923" s="25"/>
      <c r="C923" s="385" t="s">
        <v>1426</v>
      </c>
      <c r="D923" s="392"/>
      <c r="E923" s="8"/>
      <c r="F923" s="8"/>
      <c r="G923" s="389"/>
      <c r="H923" s="8" t="b">
        <v>0</v>
      </c>
      <c r="I923" s="388" t="str">
        <f>IFERROR(__xludf.DUMMYFUNCTION("""COMPUTED_VALUE"""),"")</f>
        <v/>
      </c>
      <c r="J923" s="7"/>
      <c r="K923" s="8"/>
      <c r="L923" s="8"/>
      <c r="M923" s="8"/>
      <c r="N923" s="8" t="str">
        <f>IFERROR(__xludf.DUMMYFUNCTION("""COMPUTED_VALUE"""),"")</f>
        <v/>
      </c>
      <c r="O923" s="8" t="str">
        <f>IFERROR(__xludf.DUMMYFUNCTION("""COMPUTED_VALUE"""),"")</f>
        <v/>
      </c>
      <c r="P923" s="8"/>
      <c r="Q923" s="8"/>
    </row>
    <row r="924">
      <c r="A924" s="8"/>
      <c r="B924" s="25"/>
      <c r="C924" s="385" t="s">
        <v>1426</v>
      </c>
      <c r="D924" s="392"/>
      <c r="E924" s="8"/>
      <c r="F924" s="8"/>
      <c r="G924" s="389"/>
      <c r="H924" s="8" t="b">
        <v>0</v>
      </c>
      <c r="I924" s="388" t="str">
        <f>IFERROR(__xludf.DUMMYFUNCTION("""COMPUTED_VALUE"""),"")</f>
        <v/>
      </c>
      <c r="J924" s="7"/>
      <c r="K924" s="8"/>
      <c r="L924" s="8"/>
      <c r="M924" s="8"/>
      <c r="N924" s="8" t="str">
        <f>IFERROR(__xludf.DUMMYFUNCTION("""COMPUTED_VALUE"""),"")</f>
        <v/>
      </c>
      <c r="O924" s="8" t="str">
        <f>IFERROR(__xludf.DUMMYFUNCTION("""COMPUTED_VALUE"""),"")</f>
        <v/>
      </c>
      <c r="P924" s="8"/>
      <c r="Q924" s="8"/>
    </row>
    <row r="925">
      <c r="A925" s="8"/>
      <c r="B925" s="25"/>
      <c r="C925" s="385" t="s">
        <v>1426</v>
      </c>
      <c r="D925" s="392"/>
      <c r="E925" s="8"/>
      <c r="F925" s="8"/>
      <c r="G925" s="389"/>
      <c r="H925" s="8" t="b">
        <v>0</v>
      </c>
      <c r="I925" s="388" t="str">
        <f>IFERROR(__xludf.DUMMYFUNCTION("""COMPUTED_VALUE"""),"")</f>
        <v/>
      </c>
      <c r="J925" s="7"/>
      <c r="K925" s="8"/>
      <c r="L925" s="8"/>
      <c r="M925" s="8"/>
      <c r="N925" s="8" t="str">
        <f>IFERROR(__xludf.DUMMYFUNCTION("""COMPUTED_VALUE"""),"")</f>
        <v/>
      </c>
      <c r="O925" s="8" t="str">
        <f>IFERROR(__xludf.DUMMYFUNCTION("""COMPUTED_VALUE"""),"")</f>
        <v/>
      </c>
      <c r="P925" s="8"/>
      <c r="Q925" s="8"/>
    </row>
    <row r="926">
      <c r="A926" s="8"/>
      <c r="B926" s="25"/>
      <c r="C926" s="385" t="s">
        <v>1426</v>
      </c>
      <c r="D926" s="392"/>
      <c r="E926" s="8"/>
      <c r="F926" s="8"/>
      <c r="G926" s="389"/>
      <c r="H926" s="8" t="b">
        <v>0</v>
      </c>
      <c r="I926" s="388" t="str">
        <f>IFERROR(__xludf.DUMMYFUNCTION("""COMPUTED_VALUE"""),"")</f>
        <v/>
      </c>
      <c r="J926" s="7"/>
      <c r="K926" s="8"/>
      <c r="L926" s="8"/>
      <c r="M926" s="8"/>
      <c r="N926" s="8" t="str">
        <f>IFERROR(__xludf.DUMMYFUNCTION("""COMPUTED_VALUE"""),"")</f>
        <v/>
      </c>
      <c r="O926" s="8" t="str">
        <f>IFERROR(__xludf.DUMMYFUNCTION("""COMPUTED_VALUE"""),"")</f>
        <v/>
      </c>
      <c r="P926" s="8"/>
      <c r="Q926" s="8"/>
    </row>
    <row r="927">
      <c r="A927" s="8"/>
      <c r="B927" s="25"/>
      <c r="C927" s="385" t="s">
        <v>1426</v>
      </c>
      <c r="D927" s="392"/>
      <c r="E927" s="8"/>
      <c r="F927" s="8"/>
      <c r="G927" s="389"/>
      <c r="H927" s="8" t="b">
        <v>0</v>
      </c>
      <c r="I927" s="388" t="str">
        <f>IFERROR(__xludf.DUMMYFUNCTION("""COMPUTED_VALUE"""),"")</f>
        <v/>
      </c>
      <c r="J927" s="7"/>
      <c r="K927" s="8"/>
      <c r="L927" s="8"/>
      <c r="M927" s="8"/>
      <c r="N927" s="8" t="str">
        <f>IFERROR(__xludf.DUMMYFUNCTION("""COMPUTED_VALUE"""),"")</f>
        <v/>
      </c>
      <c r="O927" s="8" t="str">
        <f>IFERROR(__xludf.DUMMYFUNCTION("""COMPUTED_VALUE"""),"")</f>
        <v/>
      </c>
      <c r="P927" s="8"/>
      <c r="Q927" s="8"/>
    </row>
    <row r="928">
      <c r="A928" s="8"/>
      <c r="B928" s="25"/>
      <c r="C928" s="385" t="s">
        <v>1426</v>
      </c>
      <c r="D928" s="392"/>
      <c r="E928" s="8"/>
      <c r="F928" s="8"/>
      <c r="G928" s="389"/>
      <c r="H928" s="8" t="b">
        <v>0</v>
      </c>
      <c r="I928" s="388" t="str">
        <f>IFERROR(__xludf.DUMMYFUNCTION("""COMPUTED_VALUE"""),"")</f>
        <v/>
      </c>
      <c r="J928" s="7"/>
      <c r="K928" s="8"/>
      <c r="L928" s="8"/>
      <c r="M928" s="8"/>
      <c r="N928" s="8" t="str">
        <f>IFERROR(__xludf.DUMMYFUNCTION("""COMPUTED_VALUE"""),"")</f>
        <v/>
      </c>
      <c r="O928" s="8" t="str">
        <f>IFERROR(__xludf.DUMMYFUNCTION("""COMPUTED_VALUE"""),"")</f>
        <v/>
      </c>
      <c r="P928" s="8"/>
      <c r="Q928" s="8"/>
    </row>
    <row r="929">
      <c r="A929" s="8"/>
      <c r="B929" s="25"/>
      <c r="C929" s="385" t="s">
        <v>1426</v>
      </c>
      <c r="D929" s="392"/>
      <c r="E929" s="8"/>
      <c r="F929" s="8"/>
      <c r="G929" s="389"/>
      <c r="H929" s="8" t="b">
        <v>0</v>
      </c>
      <c r="I929" s="388" t="str">
        <f>IFERROR(__xludf.DUMMYFUNCTION("""COMPUTED_VALUE"""),"")</f>
        <v/>
      </c>
      <c r="J929" s="7"/>
      <c r="K929" s="8"/>
      <c r="L929" s="8"/>
      <c r="M929" s="8"/>
      <c r="N929" s="8" t="str">
        <f>IFERROR(__xludf.DUMMYFUNCTION("""COMPUTED_VALUE"""),"")</f>
        <v/>
      </c>
      <c r="O929" s="8" t="str">
        <f>IFERROR(__xludf.DUMMYFUNCTION("""COMPUTED_VALUE"""),"")</f>
        <v/>
      </c>
      <c r="P929" s="8"/>
      <c r="Q929" s="8"/>
    </row>
    <row r="930">
      <c r="A930" s="8"/>
      <c r="B930" s="25"/>
      <c r="C930" s="385" t="s">
        <v>1426</v>
      </c>
      <c r="D930" s="392"/>
      <c r="E930" s="8"/>
      <c r="F930" s="8"/>
      <c r="G930" s="389"/>
      <c r="H930" s="8" t="b">
        <v>0</v>
      </c>
      <c r="I930" s="388" t="str">
        <f>IFERROR(__xludf.DUMMYFUNCTION("""COMPUTED_VALUE"""),"")</f>
        <v/>
      </c>
      <c r="J930" s="7"/>
      <c r="K930" s="8"/>
      <c r="L930" s="8"/>
      <c r="M930" s="8"/>
      <c r="N930" s="8" t="str">
        <f>IFERROR(__xludf.DUMMYFUNCTION("""COMPUTED_VALUE"""),"")</f>
        <v/>
      </c>
      <c r="O930" s="8" t="str">
        <f>IFERROR(__xludf.DUMMYFUNCTION("""COMPUTED_VALUE"""),"")</f>
        <v/>
      </c>
      <c r="P930" s="8"/>
      <c r="Q930" s="8"/>
    </row>
    <row r="931">
      <c r="A931" s="8"/>
      <c r="B931" s="25"/>
      <c r="C931" s="385" t="s">
        <v>1426</v>
      </c>
      <c r="D931" s="392"/>
      <c r="E931" s="8"/>
      <c r="F931" s="8"/>
      <c r="G931" s="389"/>
      <c r="H931" s="8" t="b">
        <v>0</v>
      </c>
      <c r="I931" s="388" t="str">
        <f>IFERROR(__xludf.DUMMYFUNCTION("""COMPUTED_VALUE"""),"")</f>
        <v/>
      </c>
      <c r="J931" s="7"/>
      <c r="K931" s="8"/>
      <c r="L931" s="8"/>
      <c r="M931" s="8"/>
      <c r="N931" s="8" t="str">
        <f>IFERROR(__xludf.DUMMYFUNCTION("""COMPUTED_VALUE"""),"")</f>
        <v/>
      </c>
      <c r="O931" s="8" t="str">
        <f>IFERROR(__xludf.DUMMYFUNCTION("""COMPUTED_VALUE"""),"")</f>
        <v/>
      </c>
      <c r="P931" s="8"/>
      <c r="Q931" s="8"/>
    </row>
    <row r="932">
      <c r="A932" s="8"/>
      <c r="B932" s="25"/>
      <c r="C932" s="385" t="s">
        <v>1426</v>
      </c>
      <c r="D932" s="392"/>
      <c r="E932" s="8"/>
      <c r="F932" s="8"/>
      <c r="G932" s="389"/>
      <c r="H932" s="8" t="b">
        <v>0</v>
      </c>
      <c r="I932" s="388" t="str">
        <f>IFERROR(__xludf.DUMMYFUNCTION("""COMPUTED_VALUE"""),"")</f>
        <v/>
      </c>
      <c r="J932" s="7"/>
      <c r="K932" s="8"/>
      <c r="L932" s="8"/>
      <c r="M932" s="8"/>
      <c r="N932" s="8" t="str">
        <f>IFERROR(__xludf.DUMMYFUNCTION("""COMPUTED_VALUE"""),"")</f>
        <v/>
      </c>
      <c r="O932" s="8" t="str">
        <f>IFERROR(__xludf.DUMMYFUNCTION("""COMPUTED_VALUE"""),"")</f>
        <v/>
      </c>
      <c r="P932" s="8"/>
      <c r="Q932" s="8"/>
    </row>
    <row r="933">
      <c r="A933" s="8"/>
      <c r="B933" s="25"/>
      <c r="C933" s="385" t="s">
        <v>1426</v>
      </c>
      <c r="D933" s="392"/>
      <c r="E933" s="8"/>
      <c r="F933" s="8"/>
      <c r="G933" s="389"/>
      <c r="H933" s="8" t="b">
        <v>0</v>
      </c>
      <c r="I933" s="388" t="str">
        <f>IFERROR(__xludf.DUMMYFUNCTION("""COMPUTED_VALUE"""),"")</f>
        <v/>
      </c>
      <c r="J933" s="7"/>
      <c r="K933" s="8"/>
      <c r="L933" s="8"/>
      <c r="M933" s="8"/>
      <c r="N933" s="8" t="str">
        <f>IFERROR(__xludf.DUMMYFUNCTION("""COMPUTED_VALUE"""),"")</f>
        <v/>
      </c>
      <c r="O933" s="8" t="str">
        <f>IFERROR(__xludf.DUMMYFUNCTION("""COMPUTED_VALUE"""),"")</f>
        <v/>
      </c>
      <c r="P933" s="8"/>
      <c r="Q933" s="8"/>
    </row>
    <row r="934">
      <c r="A934" s="8"/>
      <c r="B934" s="25"/>
      <c r="C934" s="385" t="s">
        <v>1426</v>
      </c>
      <c r="D934" s="392"/>
      <c r="E934" s="8"/>
      <c r="F934" s="8"/>
      <c r="G934" s="389"/>
      <c r="H934" s="8" t="b">
        <v>0</v>
      </c>
      <c r="I934" s="388" t="str">
        <f>IFERROR(__xludf.DUMMYFUNCTION("""COMPUTED_VALUE"""),"")</f>
        <v/>
      </c>
      <c r="J934" s="7"/>
      <c r="K934" s="8"/>
      <c r="L934" s="8"/>
      <c r="M934" s="8"/>
      <c r="N934" s="8" t="str">
        <f>IFERROR(__xludf.DUMMYFUNCTION("""COMPUTED_VALUE"""),"")</f>
        <v/>
      </c>
      <c r="O934" s="8" t="str">
        <f>IFERROR(__xludf.DUMMYFUNCTION("""COMPUTED_VALUE"""),"")</f>
        <v/>
      </c>
      <c r="P934" s="8"/>
      <c r="Q934" s="8"/>
    </row>
    <row r="935">
      <c r="A935" s="8"/>
      <c r="B935" s="25"/>
      <c r="C935" s="385" t="s">
        <v>1426</v>
      </c>
      <c r="D935" s="392"/>
      <c r="E935" s="8"/>
      <c r="F935" s="8"/>
      <c r="G935" s="389"/>
      <c r="H935" s="8" t="b">
        <v>0</v>
      </c>
      <c r="I935" s="388" t="str">
        <f>IFERROR(__xludf.DUMMYFUNCTION("""COMPUTED_VALUE"""),"")</f>
        <v/>
      </c>
      <c r="J935" s="7"/>
      <c r="K935" s="8"/>
      <c r="L935" s="8"/>
      <c r="M935" s="8"/>
      <c r="N935" s="8" t="str">
        <f>IFERROR(__xludf.DUMMYFUNCTION("""COMPUTED_VALUE"""),"")</f>
        <v/>
      </c>
      <c r="O935" s="8" t="str">
        <f>IFERROR(__xludf.DUMMYFUNCTION("""COMPUTED_VALUE"""),"")</f>
        <v/>
      </c>
      <c r="P935" s="8"/>
      <c r="Q935" s="8"/>
    </row>
    <row r="936">
      <c r="A936" s="8"/>
      <c r="B936" s="25"/>
      <c r="C936" s="385" t="s">
        <v>1426</v>
      </c>
      <c r="D936" s="392"/>
      <c r="E936" s="8"/>
      <c r="F936" s="8"/>
      <c r="G936" s="389"/>
      <c r="H936" s="8" t="b">
        <v>0</v>
      </c>
      <c r="I936" s="388" t="str">
        <f>IFERROR(__xludf.DUMMYFUNCTION("""COMPUTED_VALUE"""),"")</f>
        <v/>
      </c>
      <c r="J936" s="7"/>
      <c r="K936" s="8"/>
      <c r="L936" s="8"/>
      <c r="M936" s="8"/>
      <c r="N936" s="8" t="str">
        <f>IFERROR(__xludf.DUMMYFUNCTION("""COMPUTED_VALUE"""),"")</f>
        <v/>
      </c>
      <c r="O936" s="8" t="str">
        <f>IFERROR(__xludf.DUMMYFUNCTION("""COMPUTED_VALUE"""),"")</f>
        <v/>
      </c>
      <c r="P936" s="8"/>
      <c r="Q936" s="8"/>
    </row>
    <row r="937">
      <c r="A937" s="8"/>
      <c r="B937" s="25"/>
      <c r="C937" s="385" t="s">
        <v>1426</v>
      </c>
      <c r="D937" s="392"/>
      <c r="E937" s="8"/>
      <c r="F937" s="8"/>
      <c r="G937" s="389"/>
      <c r="H937" s="8" t="b">
        <v>0</v>
      </c>
      <c r="I937" s="388" t="str">
        <f>IFERROR(__xludf.DUMMYFUNCTION("""COMPUTED_VALUE"""),"")</f>
        <v/>
      </c>
      <c r="J937" s="7"/>
      <c r="K937" s="8"/>
      <c r="L937" s="8"/>
      <c r="M937" s="8"/>
      <c r="N937" s="8" t="str">
        <f>IFERROR(__xludf.DUMMYFUNCTION("""COMPUTED_VALUE"""),"")</f>
        <v/>
      </c>
      <c r="O937" s="8" t="str">
        <f>IFERROR(__xludf.DUMMYFUNCTION("""COMPUTED_VALUE"""),"")</f>
        <v/>
      </c>
      <c r="P937" s="8"/>
      <c r="Q937" s="8"/>
    </row>
    <row r="938">
      <c r="A938" s="8"/>
      <c r="B938" s="25"/>
      <c r="C938" s="385" t="s">
        <v>1426</v>
      </c>
      <c r="D938" s="392"/>
      <c r="E938" s="8"/>
      <c r="F938" s="8"/>
      <c r="G938" s="389"/>
      <c r="H938" s="8" t="b">
        <v>0</v>
      </c>
      <c r="I938" s="388" t="str">
        <f>IFERROR(__xludf.DUMMYFUNCTION("""COMPUTED_VALUE"""),"")</f>
        <v/>
      </c>
      <c r="J938" s="7"/>
      <c r="K938" s="8"/>
      <c r="L938" s="8"/>
      <c r="M938" s="8"/>
      <c r="N938" s="8" t="str">
        <f>IFERROR(__xludf.DUMMYFUNCTION("""COMPUTED_VALUE"""),"")</f>
        <v/>
      </c>
      <c r="O938" s="8" t="str">
        <f>IFERROR(__xludf.DUMMYFUNCTION("""COMPUTED_VALUE"""),"")</f>
        <v/>
      </c>
      <c r="P938" s="8"/>
      <c r="Q938" s="8"/>
    </row>
    <row r="939">
      <c r="A939" s="8"/>
      <c r="B939" s="25"/>
      <c r="C939" s="385" t="s">
        <v>1426</v>
      </c>
      <c r="D939" s="392"/>
      <c r="E939" s="8"/>
      <c r="F939" s="8"/>
      <c r="G939" s="389"/>
      <c r="H939" s="8" t="b">
        <v>0</v>
      </c>
      <c r="I939" s="388" t="str">
        <f>IFERROR(__xludf.DUMMYFUNCTION("""COMPUTED_VALUE"""),"")</f>
        <v/>
      </c>
      <c r="J939" s="7"/>
      <c r="K939" s="8"/>
      <c r="L939" s="8"/>
      <c r="M939" s="8"/>
      <c r="N939" s="8" t="str">
        <f>IFERROR(__xludf.DUMMYFUNCTION("""COMPUTED_VALUE"""),"")</f>
        <v/>
      </c>
      <c r="O939" s="8" t="str">
        <f>IFERROR(__xludf.DUMMYFUNCTION("""COMPUTED_VALUE"""),"")</f>
        <v/>
      </c>
      <c r="P939" s="8"/>
      <c r="Q939" s="8"/>
    </row>
    <row r="940">
      <c r="A940" s="8"/>
      <c r="B940" s="25"/>
      <c r="C940" s="385" t="s">
        <v>1426</v>
      </c>
      <c r="D940" s="392"/>
      <c r="E940" s="8"/>
      <c r="F940" s="8"/>
      <c r="G940" s="389"/>
      <c r="H940" s="8" t="b">
        <v>0</v>
      </c>
      <c r="I940" s="388" t="str">
        <f>IFERROR(__xludf.DUMMYFUNCTION("""COMPUTED_VALUE"""),"")</f>
        <v/>
      </c>
      <c r="J940" s="7"/>
      <c r="K940" s="8"/>
      <c r="L940" s="8"/>
      <c r="M940" s="8"/>
      <c r="N940" s="8" t="str">
        <f>IFERROR(__xludf.DUMMYFUNCTION("""COMPUTED_VALUE"""),"")</f>
        <v/>
      </c>
      <c r="O940" s="8" t="str">
        <f>IFERROR(__xludf.DUMMYFUNCTION("""COMPUTED_VALUE"""),"")</f>
        <v/>
      </c>
      <c r="P940" s="8"/>
      <c r="Q940" s="8"/>
    </row>
    <row r="941">
      <c r="A941" s="8"/>
      <c r="B941" s="25"/>
      <c r="C941" s="385" t="s">
        <v>1426</v>
      </c>
      <c r="D941" s="392"/>
      <c r="E941" s="8"/>
      <c r="F941" s="8"/>
      <c r="G941" s="389"/>
      <c r="H941" s="8" t="b">
        <v>0</v>
      </c>
      <c r="I941" s="388" t="str">
        <f>IFERROR(__xludf.DUMMYFUNCTION("""COMPUTED_VALUE"""),"")</f>
        <v/>
      </c>
      <c r="J941" s="7"/>
      <c r="K941" s="8"/>
      <c r="L941" s="8"/>
      <c r="M941" s="8"/>
      <c r="N941" s="8" t="str">
        <f>IFERROR(__xludf.DUMMYFUNCTION("""COMPUTED_VALUE"""),"")</f>
        <v/>
      </c>
      <c r="O941" s="8" t="str">
        <f>IFERROR(__xludf.DUMMYFUNCTION("""COMPUTED_VALUE"""),"")</f>
        <v/>
      </c>
      <c r="P941" s="8"/>
      <c r="Q941" s="8"/>
    </row>
    <row r="942">
      <c r="A942" s="8"/>
      <c r="B942" s="25"/>
      <c r="C942" s="385" t="s">
        <v>1426</v>
      </c>
      <c r="D942" s="392"/>
      <c r="E942" s="8"/>
      <c r="F942" s="8"/>
      <c r="G942" s="389"/>
      <c r="H942" s="8" t="b">
        <v>0</v>
      </c>
      <c r="I942" s="388" t="str">
        <f>IFERROR(__xludf.DUMMYFUNCTION("""COMPUTED_VALUE"""),"")</f>
        <v/>
      </c>
      <c r="J942" s="7"/>
      <c r="K942" s="8"/>
      <c r="L942" s="8"/>
      <c r="M942" s="8"/>
      <c r="N942" s="8" t="str">
        <f>IFERROR(__xludf.DUMMYFUNCTION("""COMPUTED_VALUE"""),"")</f>
        <v/>
      </c>
      <c r="O942" s="8" t="str">
        <f>IFERROR(__xludf.DUMMYFUNCTION("""COMPUTED_VALUE"""),"")</f>
        <v/>
      </c>
      <c r="P942" s="8"/>
      <c r="Q942" s="8"/>
    </row>
    <row r="943">
      <c r="A943" s="8"/>
      <c r="B943" s="25"/>
      <c r="C943" s="385" t="s">
        <v>1426</v>
      </c>
      <c r="D943" s="392"/>
      <c r="E943" s="8"/>
      <c r="F943" s="8"/>
      <c r="G943" s="389"/>
      <c r="H943" s="8" t="b">
        <v>0</v>
      </c>
      <c r="I943" s="388" t="str">
        <f>IFERROR(__xludf.DUMMYFUNCTION("""COMPUTED_VALUE"""),"")</f>
        <v/>
      </c>
      <c r="J943" s="7"/>
      <c r="K943" s="8"/>
      <c r="L943" s="8"/>
      <c r="M943" s="8"/>
      <c r="N943" s="8" t="str">
        <f>IFERROR(__xludf.DUMMYFUNCTION("""COMPUTED_VALUE"""),"")</f>
        <v/>
      </c>
      <c r="O943" s="8" t="str">
        <f>IFERROR(__xludf.DUMMYFUNCTION("""COMPUTED_VALUE"""),"")</f>
        <v/>
      </c>
      <c r="P943" s="8"/>
      <c r="Q943" s="8"/>
    </row>
    <row r="944">
      <c r="A944" s="8"/>
      <c r="B944" s="25"/>
      <c r="C944" s="385" t="s">
        <v>1426</v>
      </c>
      <c r="D944" s="392"/>
      <c r="E944" s="8"/>
      <c r="F944" s="8"/>
      <c r="G944" s="389"/>
      <c r="H944" s="8" t="b">
        <v>0</v>
      </c>
      <c r="I944" s="388" t="str">
        <f>IFERROR(__xludf.DUMMYFUNCTION("""COMPUTED_VALUE"""),"")</f>
        <v/>
      </c>
      <c r="J944" s="7"/>
      <c r="K944" s="8"/>
      <c r="L944" s="8"/>
      <c r="M944" s="8"/>
      <c r="N944" s="8" t="str">
        <f>IFERROR(__xludf.DUMMYFUNCTION("""COMPUTED_VALUE"""),"")</f>
        <v/>
      </c>
      <c r="O944" s="8" t="str">
        <f>IFERROR(__xludf.DUMMYFUNCTION("""COMPUTED_VALUE"""),"")</f>
        <v/>
      </c>
      <c r="P944" s="8"/>
      <c r="Q944" s="8"/>
    </row>
    <row r="945">
      <c r="A945" s="8"/>
      <c r="B945" s="25"/>
      <c r="C945" s="385" t="s">
        <v>1426</v>
      </c>
      <c r="D945" s="392"/>
      <c r="E945" s="8"/>
      <c r="F945" s="8"/>
      <c r="G945" s="389"/>
      <c r="H945" s="8" t="b">
        <v>0</v>
      </c>
      <c r="I945" s="388" t="str">
        <f>IFERROR(__xludf.DUMMYFUNCTION("""COMPUTED_VALUE"""),"")</f>
        <v/>
      </c>
      <c r="J945" s="7"/>
      <c r="K945" s="8"/>
      <c r="L945" s="8"/>
      <c r="M945" s="8"/>
      <c r="N945" s="8" t="str">
        <f>IFERROR(__xludf.DUMMYFUNCTION("""COMPUTED_VALUE"""),"")</f>
        <v/>
      </c>
      <c r="O945" s="8" t="str">
        <f>IFERROR(__xludf.DUMMYFUNCTION("""COMPUTED_VALUE"""),"")</f>
        <v/>
      </c>
      <c r="P945" s="8"/>
      <c r="Q945" s="8"/>
    </row>
    <row r="946">
      <c r="A946" s="8"/>
      <c r="B946" s="25"/>
      <c r="C946" s="385" t="s">
        <v>1426</v>
      </c>
      <c r="D946" s="392"/>
      <c r="E946" s="8"/>
      <c r="F946" s="8"/>
      <c r="G946" s="389"/>
      <c r="H946" s="8" t="b">
        <v>0</v>
      </c>
      <c r="I946" s="388" t="str">
        <f>IFERROR(__xludf.DUMMYFUNCTION("""COMPUTED_VALUE"""),"")</f>
        <v/>
      </c>
      <c r="J946" s="7"/>
      <c r="K946" s="8"/>
      <c r="L946" s="8"/>
      <c r="M946" s="8"/>
      <c r="N946" s="8" t="str">
        <f>IFERROR(__xludf.DUMMYFUNCTION("""COMPUTED_VALUE"""),"")</f>
        <v/>
      </c>
      <c r="O946" s="8" t="str">
        <f>IFERROR(__xludf.DUMMYFUNCTION("""COMPUTED_VALUE"""),"")</f>
        <v/>
      </c>
      <c r="P946" s="8"/>
      <c r="Q946" s="8"/>
    </row>
    <row r="947">
      <c r="A947" s="8"/>
      <c r="B947" s="25"/>
      <c r="C947" s="385" t="s">
        <v>1426</v>
      </c>
      <c r="D947" s="392"/>
      <c r="E947" s="8"/>
      <c r="F947" s="8"/>
      <c r="G947" s="389"/>
      <c r="H947" s="8" t="b">
        <v>0</v>
      </c>
      <c r="I947" s="388" t="str">
        <f>IFERROR(__xludf.DUMMYFUNCTION("""COMPUTED_VALUE"""),"")</f>
        <v/>
      </c>
      <c r="J947" s="7"/>
      <c r="K947" s="8"/>
      <c r="L947" s="8"/>
      <c r="M947" s="8"/>
      <c r="N947" s="8" t="str">
        <f>IFERROR(__xludf.DUMMYFUNCTION("""COMPUTED_VALUE"""),"")</f>
        <v/>
      </c>
      <c r="O947" s="8" t="str">
        <f>IFERROR(__xludf.DUMMYFUNCTION("""COMPUTED_VALUE"""),"")</f>
        <v/>
      </c>
      <c r="P947" s="8"/>
      <c r="Q947" s="8"/>
    </row>
    <row r="948">
      <c r="A948" s="8"/>
      <c r="B948" s="25"/>
      <c r="C948" s="385" t="s">
        <v>1426</v>
      </c>
      <c r="D948" s="392"/>
      <c r="E948" s="8"/>
      <c r="F948" s="8"/>
      <c r="G948" s="389"/>
      <c r="H948" s="8" t="b">
        <v>0</v>
      </c>
      <c r="I948" s="388" t="str">
        <f>IFERROR(__xludf.DUMMYFUNCTION("""COMPUTED_VALUE"""),"")</f>
        <v/>
      </c>
      <c r="J948" s="7"/>
      <c r="K948" s="8"/>
      <c r="L948" s="8"/>
      <c r="M948" s="8"/>
      <c r="N948" s="8" t="str">
        <f>IFERROR(__xludf.DUMMYFUNCTION("""COMPUTED_VALUE"""),"")</f>
        <v/>
      </c>
      <c r="O948" s="8" t="str">
        <f>IFERROR(__xludf.DUMMYFUNCTION("""COMPUTED_VALUE"""),"")</f>
        <v/>
      </c>
      <c r="P948" s="8"/>
      <c r="Q948" s="8"/>
    </row>
    <row r="949">
      <c r="A949" s="8"/>
      <c r="B949" s="25"/>
      <c r="C949" s="385" t="s">
        <v>1426</v>
      </c>
      <c r="D949" s="392"/>
      <c r="E949" s="8"/>
      <c r="F949" s="8"/>
      <c r="G949" s="389"/>
      <c r="H949" s="8" t="b">
        <v>0</v>
      </c>
      <c r="I949" s="388" t="str">
        <f>IFERROR(__xludf.DUMMYFUNCTION("""COMPUTED_VALUE"""),"")</f>
        <v/>
      </c>
      <c r="J949" s="7"/>
      <c r="K949" s="8"/>
      <c r="L949" s="8"/>
      <c r="M949" s="8"/>
      <c r="N949" s="8" t="str">
        <f>IFERROR(__xludf.DUMMYFUNCTION("""COMPUTED_VALUE"""),"")</f>
        <v/>
      </c>
      <c r="O949" s="8" t="str">
        <f>IFERROR(__xludf.DUMMYFUNCTION("""COMPUTED_VALUE"""),"")</f>
        <v/>
      </c>
      <c r="P949" s="8"/>
      <c r="Q949" s="8"/>
    </row>
    <row r="950">
      <c r="A950" s="8"/>
      <c r="B950" s="25"/>
      <c r="C950" s="385" t="s">
        <v>1426</v>
      </c>
      <c r="D950" s="392"/>
      <c r="E950" s="8"/>
      <c r="F950" s="8"/>
      <c r="G950" s="389"/>
      <c r="H950" s="8" t="b">
        <v>0</v>
      </c>
      <c r="I950" s="388" t="str">
        <f>IFERROR(__xludf.DUMMYFUNCTION("""COMPUTED_VALUE"""),"")</f>
        <v/>
      </c>
      <c r="J950" s="7"/>
      <c r="K950" s="8"/>
      <c r="L950" s="8"/>
      <c r="M950" s="8"/>
      <c r="N950" s="8" t="str">
        <f>IFERROR(__xludf.DUMMYFUNCTION("""COMPUTED_VALUE"""),"")</f>
        <v/>
      </c>
      <c r="O950" s="8" t="str">
        <f>IFERROR(__xludf.DUMMYFUNCTION("""COMPUTED_VALUE"""),"")</f>
        <v/>
      </c>
      <c r="P950" s="8"/>
      <c r="Q950" s="8"/>
    </row>
    <row r="951">
      <c r="A951" s="8"/>
      <c r="B951" s="25"/>
      <c r="C951" s="385" t="s">
        <v>1426</v>
      </c>
      <c r="D951" s="392"/>
      <c r="E951" s="8"/>
      <c r="F951" s="8"/>
      <c r="G951" s="389"/>
      <c r="H951" s="8" t="b">
        <v>0</v>
      </c>
      <c r="I951" s="388" t="str">
        <f>IFERROR(__xludf.DUMMYFUNCTION("""COMPUTED_VALUE"""),"")</f>
        <v/>
      </c>
      <c r="J951" s="7"/>
      <c r="K951" s="8"/>
      <c r="L951" s="8"/>
      <c r="M951" s="8"/>
      <c r="N951" s="8" t="str">
        <f>IFERROR(__xludf.DUMMYFUNCTION("""COMPUTED_VALUE"""),"")</f>
        <v/>
      </c>
      <c r="O951" s="8" t="str">
        <f>IFERROR(__xludf.DUMMYFUNCTION("""COMPUTED_VALUE"""),"")</f>
        <v/>
      </c>
      <c r="P951" s="8"/>
      <c r="Q951" s="8"/>
    </row>
    <row r="952">
      <c r="A952" s="8"/>
      <c r="B952" s="25"/>
      <c r="C952" s="385" t="s">
        <v>1426</v>
      </c>
      <c r="D952" s="392"/>
      <c r="E952" s="8"/>
      <c r="F952" s="8"/>
      <c r="G952" s="389"/>
      <c r="H952" s="8" t="b">
        <v>0</v>
      </c>
      <c r="I952" s="388" t="str">
        <f>IFERROR(__xludf.DUMMYFUNCTION("""COMPUTED_VALUE"""),"")</f>
        <v/>
      </c>
      <c r="J952" s="7"/>
      <c r="K952" s="8"/>
      <c r="L952" s="8"/>
      <c r="M952" s="8"/>
      <c r="N952" s="8" t="str">
        <f>IFERROR(__xludf.DUMMYFUNCTION("""COMPUTED_VALUE"""),"")</f>
        <v/>
      </c>
      <c r="O952" s="8" t="str">
        <f>IFERROR(__xludf.DUMMYFUNCTION("""COMPUTED_VALUE"""),"")</f>
        <v/>
      </c>
      <c r="P952" s="8"/>
      <c r="Q952" s="8"/>
    </row>
    <row r="953">
      <c r="A953" s="8"/>
      <c r="B953" s="25"/>
      <c r="C953" s="385" t="s">
        <v>1426</v>
      </c>
      <c r="D953" s="392"/>
      <c r="E953" s="8"/>
      <c r="F953" s="8"/>
      <c r="G953" s="389"/>
      <c r="H953" s="8" t="b">
        <v>0</v>
      </c>
      <c r="I953" s="388" t="str">
        <f>IFERROR(__xludf.DUMMYFUNCTION("""COMPUTED_VALUE"""),"")</f>
        <v/>
      </c>
      <c r="J953" s="7"/>
      <c r="K953" s="8"/>
      <c r="L953" s="8"/>
      <c r="M953" s="8"/>
      <c r="N953" s="8" t="str">
        <f>IFERROR(__xludf.DUMMYFUNCTION("""COMPUTED_VALUE"""),"")</f>
        <v/>
      </c>
      <c r="O953" s="8" t="str">
        <f>IFERROR(__xludf.DUMMYFUNCTION("""COMPUTED_VALUE"""),"")</f>
        <v/>
      </c>
      <c r="P953" s="8"/>
      <c r="Q953" s="8"/>
    </row>
    <row r="954">
      <c r="A954" s="8"/>
      <c r="B954" s="25"/>
      <c r="C954" s="385" t="s">
        <v>1426</v>
      </c>
      <c r="D954" s="392"/>
      <c r="E954" s="8"/>
      <c r="F954" s="8"/>
      <c r="G954" s="389"/>
      <c r="H954" s="8" t="b">
        <v>0</v>
      </c>
      <c r="I954" s="388" t="str">
        <f>IFERROR(__xludf.DUMMYFUNCTION("""COMPUTED_VALUE"""),"")</f>
        <v/>
      </c>
      <c r="J954" s="7"/>
      <c r="K954" s="8"/>
      <c r="L954" s="8"/>
      <c r="M954" s="8"/>
      <c r="N954" s="8" t="str">
        <f>IFERROR(__xludf.DUMMYFUNCTION("""COMPUTED_VALUE"""),"")</f>
        <v/>
      </c>
      <c r="O954" s="8" t="str">
        <f>IFERROR(__xludf.DUMMYFUNCTION("""COMPUTED_VALUE"""),"")</f>
        <v/>
      </c>
      <c r="P954" s="8"/>
      <c r="Q954" s="8"/>
    </row>
    <row r="955">
      <c r="A955" s="8"/>
      <c r="B955" s="25"/>
      <c r="C955" s="385" t="s">
        <v>1426</v>
      </c>
      <c r="D955" s="392"/>
      <c r="E955" s="8"/>
      <c r="F955" s="8"/>
      <c r="G955" s="389"/>
      <c r="H955" s="8" t="b">
        <v>0</v>
      </c>
      <c r="I955" s="388" t="str">
        <f>IFERROR(__xludf.DUMMYFUNCTION("""COMPUTED_VALUE"""),"")</f>
        <v/>
      </c>
      <c r="J955" s="7"/>
      <c r="K955" s="8"/>
      <c r="L955" s="8"/>
      <c r="M955" s="8"/>
      <c r="N955" s="8" t="str">
        <f>IFERROR(__xludf.DUMMYFUNCTION("""COMPUTED_VALUE"""),"")</f>
        <v/>
      </c>
      <c r="O955" s="8" t="str">
        <f>IFERROR(__xludf.DUMMYFUNCTION("""COMPUTED_VALUE"""),"")</f>
        <v/>
      </c>
      <c r="P955" s="8"/>
      <c r="Q955" s="8"/>
    </row>
    <row r="956">
      <c r="A956" s="8"/>
      <c r="B956" s="25"/>
      <c r="C956" s="385" t="s">
        <v>1426</v>
      </c>
      <c r="D956" s="392"/>
      <c r="E956" s="8"/>
      <c r="F956" s="8"/>
      <c r="G956" s="389"/>
      <c r="H956" s="8" t="b">
        <v>0</v>
      </c>
      <c r="I956" s="388" t="str">
        <f>IFERROR(__xludf.DUMMYFUNCTION("""COMPUTED_VALUE"""),"")</f>
        <v/>
      </c>
      <c r="J956" s="7"/>
      <c r="K956" s="8"/>
      <c r="L956" s="8"/>
      <c r="M956" s="8"/>
      <c r="N956" s="8" t="str">
        <f>IFERROR(__xludf.DUMMYFUNCTION("""COMPUTED_VALUE"""),"")</f>
        <v/>
      </c>
      <c r="O956" s="8" t="str">
        <f>IFERROR(__xludf.DUMMYFUNCTION("""COMPUTED_VALUE"""),"")</f>
        <v/>
      </c>
      <c r="P956" s="8"/>
      <c r="Q956" s="8"/>
    </row>
    <row r="957">
      <c r="A957" s="8"/>
      <c r="B957" s="25"/>
      <c r="C957" s="385" t="s">
        <v>1426</v>
      </c>
      <c r="D957" s="392"/>
      <c r="E957" s="8"/>
      <c r="F957" s="8"/>
      <c r="G957" s="389"/>
      <c r="H957" s="8" t="b">
        <v>0</v>
      </c>
      <c r="I957" s="388" t="str">
        <f>IFERROR(__xludf.DUMMYFUNCTION("""COMPUTED_VALUE"""),"")</f>
        <v/>
      </c>
      <c r="J957" s="7"/>
      <c r="K957" s="8"/>
      <c r="L957" s="8"/>
      <c r="M957" s="8"/>
      <c r="N957" s="8" t="str">
        <f>IFERROR(__xludf.DUMMYFUNCTION("""COMPUTED_VALUE"""),"")</f>
        <v/>
      </c>
      <c r="O957" s="8" t="str">
        <f>IFERROR(__xludf.DUMMYFUNCTION("""COMPUTED_VALUE"""),"")</f>
        <v/>
      </c>
      <c r="P957" s="8"/>
      <c r="Q957" s="8"/>
    </row>
    <row r="958">
      <c r="A958" s="8"/>
      <c r="B958" s="25"/>
      <c r="C958" s="385" t="s">
        <v>1426</v>
      </c>
      <c r="D958" s="392"/>
      <c r="E958" s="8"/>
      <c r="F958" s="8"/>
      <c r="G958" s="389"/>
      <c r="H958" s="8" t="b">
        <v>0</v>
      </c>
      <c r="I958" s="388" t="str">
        <f>IFERROR(__xludf.DUMMYFUNCTION("""COMPUTED_VALUE"""),"")</f>
        <v/>
      </c>
      <c r="J958" s="7"/>
      <c r="K958" s="8"/>
      <c r="L958" s="8"/>
      <c r="M958" s="8"/>
      <c r="N958" s="8" t="str">
        <f>IFERROR(__xludf.DUMMYFUNCTION("""COMPUTED_VALUE"""),"")</f>
        <v/>
      </c>
      <c r="O958" s="8" t="str">
        <f>IFERROR(__xludf.DUMMYFUNCTION("""COMPUTED_VALUE"""),"")</f>
        <v/>
      </c>
      <c r="P958" s="8"/>
      <c r="Q958" s="8"/>
    </row>
    <row r="959">
      <c r="A959" s="8"/>
      <c r="B959" s="25"/>
      <c r="C959" s="385" t="s">
        <v>1426</v>
      </c>
      <c r="D959" s="392"/>
      <c r="E959" s="8"/>
      <c r="F959" s="8"/>
      <c r="G959" s="389"/>
      <c r="H959" s="8" t="b">
        <v>0</v>
      </c>
      <c r="I959" s="388" t="str">
        <f>IFERROR(__xludf.DUMMYFUNCTION("""COMPUTED_VALUE"""),"")</f>
        <v/>
      </c>
      <c r="J959" s="7"/>
      <c r="K959" s="8"/>
      <c r="L959" s="8"/>
      <c r="M959" s="8"/>
      <c r="N959" s="8" t="str">
        <f>IFERROR(__xludf.DUMMYFUNCTION("""COMPUTED_VALUE"""),"")</f>
        <v/>
      </c>
      <c r="O959" s="8" t="str">
        <f>IFERROR(__xludf.DUMMYFUNCTION("""COMPUTED_VALUE"""),"")</f>
        <v/>
      </c>
      <c r="P959" s="8"/>
      <c r="Q959" s="8"/>
    </row>
    <row r="960">
      <c r="A960" s="8"/>
      <c r="B960" s="25"/>
      <c r="C960" s="385" t="s">
        <v>1426</v>
      </c>
      <c r="D960" s="392"/>
      <c r="E960" s="8"/>
      <c r="F960" s="8"/>
      <c r="G960" s="389"/>
      <c r="H960" s="8" t="b">
        <v>0</v>
      </c>
      <c r="I960" s="388" t="str">
        <f>IFERROR(__xludf.DUMMYFUNCTION("""COMPUTED_VALUE"""),"")</f>
        <v/>
      </c>
      <c r="J960" s="7"/>
      <c r="K960" s="8"/>
      <c r="L960" s="8"/>
      <c r="M960" s="8"/>
      <c r="N960" s="8" t="str">
        <f>IFERROR(__xludf.DUMMYFUNCTION("""COMPUTED_VALUE"""),"")</f>
        <v/>
      </c>
      <c r="O960" s="8" t="str">
        <f>IFERROR(__xludf.DUMMYFUNCTION("""COMPUTED_VALUE"""),"")</f>
        <v/>
      </c>
      <c r="P960" s="8"/>
      <c r="Q960" s="8"/>
    </row>
    <row r="961">
      <c r="A961" s="8"/>
      <c r="B961" s="25"/>
      <c r="C961" s="385" t="s">
        <v>1426</v>
      </c>
      <c r="D961" s="392"/>
      <c r="E961" s="8"/>
      <c r="F961" s="8"/>
      <c r="G961" s="389"/>
      <c r="H961" s="8" t="b">
        <v>0</v>
      </c>
      <c r="I961" s="388" t="str">
        <f>IFERROR(__xludf.DUMMYFUNCTION("""COMPUTED_VALUE"""),"")</f>
        <v/>
      </c>
      <c r="J961" s="7"/>
      <c r="K961" s="8"/>
      <c r="L961" s="8"/>
      <c r="M961" s="8"/>
      <c r="N961" s="8" t="str">
        <f>IFERROR(__xludf.DUMMYFUNCTION("""COMPUTED_VALUE"""),"")</f>
        <v/>
      </c>
      <c r="O961" s="8" t="str">
        <f>IFERROR(__xludf.DUMMYFUNCTION("""COMPUTED_VALUE"""),"")</f>
        <v/>
      </c>
      <c r="P961" s="8"/>
      <c r="Q961" s="8"/>
    </row>
    <row r="962">
      <c r="A962" s="8"/>
      <c r="B962" s="25"/>
      <c r="C962" s="385" t="s">
        <v>1426</v>
      </c>
      <c r="D962" s="392"/>
      <c r="E962" s="8"/>
      <c r="F962" s="8"/>
      <c r="G962" s="389"/>
      <c r="H962" s="8" t="b">
        <v>0</v>
      </c>
      <c r="I962" s="388" t="str">
        <f>IFERROR(__xludf.DUMMYFUNCTION("""COMPUTED_VALUE"""),"")</f>
        <v/>
      </c>
      <c r="J962" s="7"/>
      <c r="K962" s="8"/>
      <c r="L962" s="8"/>
      <c r="M962" s="8"/>
      <c r="N962" s="8" t="str">
        <f>IFERROR(__xludf.DUMMYFUNCTION("""COMPUTED_VALUE"""),"")</f>
        <v/>
      </c>
      <c r="O962" s="8" t="str">
        <f>IFERROR(__xludf.DUMMYFUNCTION("""COMPUTED_VALUE"""),"")</f>
        <v/>
      </c>
      <c r="P962" s="8"/>
      <c r="Q962" s="8"/>
    </row>
    <row r="963">
      <c r="A963" s="8"/>
      <c r="B963" s="25"/>
      <c r="C963" s="385" t="s">
        <v>1426</v>
      </c>
      <c r="D963" s="392"/>
      <c r="E963" s="8"/>
      <c r="F963" s="8"/>
      <c r="G963" s="389"/>
      <c r="H963" s="8" t="b">
        <v>0</v>
      </c>
      <c r="I963" s="388" t="str">
        <f>IFERROR(__xludf.DUMMYFUNCTION("""COMPUTED_VALUE"""),"")</f>
        <v/>
      </c>
      <c r="J963" s="7"/>
      <c r="K963" s="8"/>
      <c r="L963" s="8"/>
      <c r="M963" s="8"/>
      <c r="N963" s="8" t="str">
        <f>IFERROR(__xludf.DUMMYFUNCTION("""COMPUTED_VALUE"""),"")</f>
        <v/>
      </c>
      <c r="O963" s="8" t="str">
        <f>IFERROR(__xludf.DUMMYFUNCTION("""COMPUTED_VALUE"""),"")</f>
        <v/>
      </c>
      <c r="P963" s="8"/>
      <c r="Q963" s="8"/>
    </row>
    <row r="964">
      <c r="A964" s="8"/>
      <c r="B964" s="25"/>
      <c r="C964" s="385" t="s">
        <v>1426</v>
      </c>
      <c r="D964" s="392"/>
      <c r="E964" s="8"/>
      <c r="F964" s="8"/>
      <c r="G964" s="389"/>
      <c r="H964" s="8" t="b">
        <v>0</v>
      </c>
      <c r="I964" s="388" t="str">
        <f>IFERROR(__xludf.DUMMYFUNCTION("""COMPUTED_VALUE"""),"")</f>
        <v/>
      </c>
      <c r="J964" s="7"/>
      <c r="K964" s="8"/>
      <c r="L964" s="8"/>
      <c r="M964" s="8"/>
      <c r="N964" s="8" t="str">
        <f>IFERROR(__xludf.DUMMYFUNCTION("""COMPUTED_VALUE"""),"")</f>
        <v/>
      </c>
      <c r="O964" s="8" t="str">
        <f>IFERROR(__xludf.DUMMYFUNCTION("""COMPUTED_VALUE"""),"")</f>
        <v/>
      </c>
      <c r="P964" s="8"/>
      <c r="Q964" s="8"/>
    </row>
    <row r="965">
      <c r="A965" s="8"/>
      <c r="B965" s="25"/>
      <c r="C965" s="385" t="s">
        <v>1426</v>
      </c>
      <c r="D965" s="392"/>
      <c r="E965" s="8"/>
      <c r="F965" s="8"/>
      <c r="G965" s="389"/>
      <c r="H965" s="8" t="b">
        <v>0</v>
      </c>
      <c r="I965" s="388" t="str">
        <f>IFERROR(__xludf.DUMMYFUNCTION("""COMPUTED_VALUE"""),"")</f>
        <v/>
      </c>
      <c r="J965" s="7"/>
      <c r="K965" s="8"/>
      <c r="L965" s="8"/>
      <c r="M965" s="8"/>
      <c r="N965" s="8" t="str">
        <f>IFERROR(__xludf.DUMMYFUNCTION("""COMPUTED_VALUE"""),"")</f>
        <v/>
      </c>
      <c r="O965" s="8" t="str">
        <f>IFERROR(__xludf.DUMMYFUNCTION("""COMPUTED_VALUE"""),"")</f>
        <v/>
      </c>
      <c r="P965" s="8"/>
      <c r="Q965" s="8"/>
    </row>
    <row r="966">
      <c r="A966" s="8"/>
      <c r="B966" s="25"/>
      <c r="C966" s="385" t="s">
        <v>1426</v>
      </c>
      <c r="D966" s="392"/>
      <c r="E966" s="8"/>
      <c r="F966" s="8"/>
      <c r="G966" s="389"/>
      <c r="H966" s="8" t="b">
        <v>0</v>
      </c>
      <c r="I966" s="388" t="str">
        <f>IFERROR(__xludf.DUMMYFUNCTION("""COMPUTED_VALUE"""),"")</f>
        <v/>
      </c>
      <c r="J966" s="7"/>
      <c r="K966" s="8"/>
      <c r="L966" s="8"/>
      <c r="M966" s="8"/>
      <c r="N966" s="8" t="str">
        <f>IFERROR(__xludf.DUMMYFUNCTION("""COMPUTED_VALUE"""),"")</f>
        <v/>
      </c>
      <c r="O966" s="8" t="str">
        <f>IFERROR(__xludf.DUMMYFUNCTION("""COMPUTED_VALUE"""),"")</f>
        <v/>
      </c>
      <c r="P966" s="8"/>
      <c r="Q966" s="8"/>
    </row>
    <row r="967">
      <c r="A967" s="8"/>
      <c r="B967" s="25"/>
      <c r="C967" s="385" t="s">
        <v>1426</v>
      </c>
      <c r="D967" s="392"/>
      <c r="E967" s="8"/>
      <c r="F967" s="8"/>
      <c r="G967" s="389"/>
      <c r="H967" s="8" t="b">
        <v>0</v>
      </c>
      <c r="I967" s="388" t="str">
        <f>IFERROR(__xludf.DUMMYFUNCTION("""COMPUTED_VALUE"""),"")</f>
        <v/>
      </c>
      <c r="J967" s="7"/>
      <c r="K967" s="8"/>
      <c r="L967" s="8"/>
      <c r="M967" s="8"/>
      <c r="N967" s="8" t="str">
        <f>IFERROR(__xludf.DUMMYFUNCTION("""COMPUTED_VALUE"""),"")</f>
        <v/>
      </c>
      <c r="O967" s="8" t="str">
        <f>IFERROR(__xludf.DUMMYFUNCTION("""COMPUTED_VALUE"""),"")</f>
        <v/>
      </c>
      <c r="P967" s="8"/>
      <c r="Q967" s="8"/>
    </row>
    <row r="968">
      <c r="A968" s="8"/>
      <c r="B968" s="25"/>
      <c r="C968" s="385" t="s">
        <v>1426</v>
      </c>
      <c r="D968" s="392"/>
      <c r="E968" s="8"/>
      <c r="F968" s="8"/>
      <c r="G968" s="389"/>
      <c r="H968" s="8" t="b">
        <v>0</v>
      </c>
      <c r="I968" s="388" t="str">
        <f>IFERROR(__xludf.DUMMYFUNCTION("""COMPUTED_VALUE"""),"")</f>
        <v/>
      </c>
      <c r="J968" s="7"/>
      <c r="K968" s="8"/>
      <c r="L968" s="8"/>
      <c r="M968" s="8"/>
      <c r="N968" s="8" t="str">
        <f>IFERROR(__xludf.DUMMYFUNCTION("""COMPUTED_VALUE"""),"")</f>
        <v/>
      </c>
      <c r="O968" s="8" t="str">
        <f>IFERROR(__xludf.DUMMYFUNCTION("""COMPUTED_VALUE"""),"")</f>
        <v/>
      </c>
      <c r="P968" s="8"/>
      <c r="Q968" s="8"/>
    </row>
    <row r="969">
      <c r="A969" s="8"/>
      <c r="B969" s="25"/>
      <c r="C969" s="385" t="s">
        <v>1426</v>
      </c>
      <c r="D969" s="392"/>
      <c r="E969" s="8"/>
      <c r="F969" s="8"/>
      <c r="G969" s="389"/>
      <c r="H969" s="8" t="b">
        <v>0</v>
      </c>
      <c r="I969" s="388" t="str">
        <f>IFERROR(__xludf.DUMMYFUNCTION("""COMPUTED_VALUE"""),"")</f>
        <v/>
      </c>
      <c r="J969" s="7"/>
      <c r="K969" s="8"/>
      <c r="L969" s="8"/>
      <c r="M969" s="8"/>
      <c r="N969" s="8" t="str">
        <f>IFERROR(__xludf.DUMMYFUNCTION("""COMPUTED_VALUE"""),"")</f>
        <v/>
      </c>
      <c r="O969" s="8" t="str">
        <f>IFERROR(__xludf.DUMMYFUNCTION("""COMPUTED_VALUE"""),"")</f>
        <v/>
      </c>
      <c r="P969" s="8"/>
      <c r="Q969" s="8"/>
    </row>
    <row r="970">
      <c r="A970" s="8"/>
      <c r="B970" s="25"/>
      <c r="C970" s="385" t="s">
        <v>1426</v>
      </c>
      <c r="D970" s="392"/>
      <c r="E970" s="8"/>
      <c r="F970" s="8"/>
      <c r="G970" s="389"/>
      <c r="H970" s="8" t="b">
        <v>0</v>
      </c>
      <c r="I970" s="388" t="str">
        <f>IFERROR(__xludf.DUMMYFUNCTION("""COMPUTED_VALUE"""),"")</f>
        <v/>
      </c>
      <c r="J970" s="7"/>
      <c r="K970" s="8"/>
      <c r="L970" s="8"/>
      <c r="M970" s="8"/>
      <c r="N970" s="8" t="str">
        <f>IFERROR(__xludf.DUMMYFUNCTION("""COMPUTED_VALUE"""),"")</f>
        <v/>
      </c>
      <c r="O970" s="8" t="str">
        <f>IFERROR(__xludf.DUMMYFUNCTION("""COMPUTED_VALUE"""),"")</f>
        <v/>
      </c>
      <c r="P970" s="8"/>
      <c r="Q970" s="8"/>
    </row>
    <row r="971">
      <c r="A971" s="8"/>
      <c r="B971" s="25"/>
      <c r="C971" s="385" t="s">
        <v>1426</v>
      </c>
      <c r="D971" s="392"/>
      <c r="E971" s="8"/>
      <c r="F971" s="8"/>
      <c r="G971" s="389"/>
      <c r="H971" s="8" t="b">
        <v>0</v>
      </c>
      <c r="I971" s="388" t="str">
        <f>IFERROR(__xludf.DUMMYFUNCTION("""COMPUTED_VALUE"""),"")</f>
        <v/>
      </c>
      <c r="J971" s="7"/>
      <c r="K971" s="8"/>
      <c r="L971" s="8"/>
      <c r="M971" s="8"/>
      <c r="N971" s="8" t="str">
        <f>IFERROR(__xludf.DUMMYFUNCTION("""COMPUTED_VALUE"""),"")</f>
        <v/>
      </c>
      <c r="O971" s="8" t="str">
        <f>IFERROR(__xludf.DUMMYFUNCTION("""COMPUTED_VALUE"""),"")</f>
        <v/>
      </c>
      <c r="P971" s="8"/>
      <c r="Q971" s="8"/>
    </row>
    <row r="972">
      <c r="A972" s="8"/>
      <c r="B972" s="25"/>
      <c r="C972" s="385" t="s">
        <v>1426</v>
      </c>
      <c r="D972" s="392"/>
      <c r="E972" s="8"/>
      <c r="F972" s="8"/>
      <c r="G972" s="389"/>
      <c r="H972" s="8" t="b">
        <v>0</v>
      </c>
      <c r="I972" s="388" t="str">
        <f>IFERROR(__xludf.DUMMYFUNCTION("""COMPUTED_VALUE"""),"")</f>
        <v/>
      </c>
      <c r="J972" s="7"/>
      <c r="K972" s="8"/>
      <c r="L972" s="8"/>
      <c r="M972" s="8"/>
      <c r="N972" s="8" t="str">
        <f>IFERROR(__xludf.DUMMYFUNCTION("""COMPUTED_VALUE"""),"")</f>
        <v/>
      </c>
      <c r="O972" s="8" t="str">
        <f>IFERROR(__xludf.DUMMYFUNCTION("""COMPUTED_VALUE"""),"")</f>
        <v/>
      </c>
      <c r="P972" s="8"/>
      <c r="Q972" s="8"/>
    </row>
    <row r="973">
      <c r="A973" s="8"/>
      <c r="B973" s="25"/>
      <c r="C973" s="385" t="s">
        <v>1426</v>
      </c>
      <c r="D973" s="392"/>
      <c r="E973" s="8"/>
      <c r="F973" s="8"/>
      <c r="G973" s="389"/>
      <c r="H973" s="8" t="b">
        <v>0</v>
      </c>
      <c r="I973" s="388" t="str">
        <f>IFERROR(__xludf.DUMMYFUNCTION("""COMPUTED_VALUE"""),"")</f>
        <v/>
      </c>
      <c r="J973" s="7"/>
      <c r="K973" s="8"/>
      <c r="L973" s="8"/>
      <c r="M973" s="8"/>
      <c r="N973" s="8" t="str">
        <f>IFERROR(__xludf.DUMMYFUNCTION("""COMPUTED_VALUE"""),"")</f>
        <v/>
      </c>
      <c r="O973" s="8" t="str">
        <f>IFERROR(__xludf.DUMMYFUNCTION("""COMPUTED_VALUE"""),"")</f>
        <v/>
      </c>
      <c r="P973" s="8"/>
      <c r="Q973" s="8"/>
    </row>
    <row r="974">
      <c r="A974" s="8"/>
      <c r="B974" s="25"/>
      <c r="C974" s="385" t="s">
        <v>1426</v>
      </c>
      <c r="D974" s="392"/>
      <c r="E974" s="8"/>
      <c r="F974" s="8"/>
      <c r="G974" s="389"/>
      <c r="H974" s="8" t="b">
        <v>0</v>
      </c>
      <c r="I974" s="388" t="str">
        <f>IFERROR(__xludf.DUMMYFUNCTION("""COMPUTED_VALUE"""),"")</f>
        <v/>
      </c>
      <c r="J974" s="7"/>
      <c r="K974" s="8"/>
      <c r="L974" s="8"/>
      <c r="M974" s="8"/>
      <c r="N974" s="8" t="str">
        <f>IFERROR(__xludf.DUMMYFUNCTION("""COMPUTED_VALUE"""),"")</f>
        <v/>
      </c>
      <c r="O974" s="8" t="str">
        <f>IFERROR(__xludf.DUMMYFUNCTION("""COMPUTED_VALUE"""),"")</f>
        <v/>
      </c>
      <c r="P974" s="8"/>
      <c r="Q974" s="8"/>
    </row>
    <row r="975">
      <c r="A975" s="8"/>
      <c r="B975" s="25"/>
      <c r="C975" s="385" t="s">
        <v>1426</v>
      </c>
      <c r="D975" s="392"/>
      <c r="E975" s="8"/>
      <c r="F975" s="8"/>
      <c r="G975" s="389"/>
      <c r="H975" s="8" t="b">
        <v>0</v>
      </c>
      <c r="I975" s="388" t="str">
        <f>IFERROR(__xludf.DUMMYFUNCTION("""COMPUTED_VALUE"""),"")</f>
        <v/>
      </c>
      <c r="J975" s="7"/>
      <c r="K975" s="8"/>
      <c r="L975" s="8"/>
      <c r="M975" s="8"/>
      <c r="N975" s="8" t="str">
        <f>IFERROR(__xludf.DUMMYFUNCTION("""COMPUTED_VALUE"""),"")</f>
        <v/>
      </c>
      <c r="O975" s="8" t="str">
        <f>IFERROR(__xludf.DUMMYFUNCTION("""COMPUTED_VALUE"""),"")</f>
        <v/>
      </c>
      <c r="P975" s="8"/>
      <c r="Q975" s="8"/>
    </row>
    <row r="976">
      <c r="A976" s="8"/>
      <c r="B976" s="25"/>
      <c r="C976" s="385" t="s">
        <v>1426</v>
      </c>
      <c r="D976" s="392"/>
      <c r="E976" s="8"/>
      <c r="F976" s="8"/>
      <c r="G976" s="389"/>
      <c r="H976" s="8" t="b">
        <v>0</v>
      </c>
      <c r="I976" s="388" t="str">
        <f>IFERROR(__xludf.DUMMYFUNCTION("""COMPUTED_VALUE"""),"")</f>
        <v/>
      </c>
      <c r="J976" s="7"/>
      <c r="K976" s="8"/>
      <c r="L976" s="8"/>
      <c r="M976" s="8"/>
      <c r="N976" s="8" t="str">
        <f>IFERROR(__xludf.DUMMYFUNCTION("""COMPUTED_VALUE"""),"")</f>
        <v/>
      </c>
      <c r="O976" s="8" t="str">
        <f>IFERROR(__xludf.DUMMYFUNCTION("""COMPUTED_VALUE"""),"")</f>
        <v/>
      </c>
      <c r="P976" s="8"/>
      <c r="Q976" s="8"/>
    </row>
    <row r="977">
      <c r="A977" s="8"/>
      <c r="B977" s="25"/>
      <c r="C977" s="385" t="s">
        <v>1426</v>
      </c>
      <c r="D977" s="392"/>
      <c r="E977" s="8"/>
      <c r="F977" s="8"/>
      <c r="G977" s="389"/>
      <c r="H977" s="8" t="b">
        <v>0</v>
      </c>
      <c r="I977" s="388" t="str">
        <f>IFERROR(__xludf.DUMMYFUNCTION("""COMPUTED_VALUE"""),"")</f>
        <v/>
      </c>
      <c r="J977" s="7"/>
      <c r="K977" s="8"/>
      <c r="L977" s="8"/>
      <c r="M977" s="8"/>
      <c r="N977" s="8" t="str">
        <f>IFERROR(__xludf.DUMMYFUNCTION("""COMPUTED_VALUE"""),"")</f>
        <v/>
      </c>
      <c r="O977" s="8" t="str">
        <f>IFERROR(__xludf.DUMMYFUNCTION("""COMPUTED_VALUE"""),"")</f>
        <v/>
      </c>
      <c r="P977" s="8"/>
      <c r="Q977" s="8"/>
    </row>
    <row r="978">
      <c r="A978" s="8"/>
      <c r="B978" s="25"/>
      <c r="C978" s="385" t="s">
        <v>1426</v>
      </c>
      <c r="D978" s="392"/>
      <c r="E978" s="8"/>
      <c r="F978" s="8"/>
      <c r="G978" s="389"/>
      <c r="H978" s="8" t="b">
        <v>0</v>
      </c>
      <c r="I978" s="388" t="str">
        <f>IFERROR(__xludf.DUMMYFUNCTION("""COMPUTED_VALUE"""),"")</f>
        <v/>
      </c>
      <c r="J978" s="7"/>
      <c r="K978" s="8"/>
      <c r="L978" s="8"/>
      <c r="M978" s="8"/>
      <c r="N978" s="8" t="str">
        <f>IFERROR(__xludf.DUMMYFUNCTION("""COMPUTED_VALUE"""),"")</f>
        <v/>
      </c>
      <c r="O978" s="8" t="str">
        <f>IFERROR(__xludf.DUMMYFUNCTION("""COMPUTED_VALUE"""),"")</f>
        <v/>
      </c>
      <c r="P978" s="8"/>
      <c r="Q978" s="8"/>
    </row>
    <row r="979">
      <c r="A979" s="8"/>
      <c r="B979" s="25"/>
      <c r="C979" s="385" t="s">
        <v>1426</v>
      </c>
      <c r="D979" s="392"/>
      <c r="E979" s="8"/>
      <c r="F979" s="8"/>
      <c r="G979" s="389"/>
      <c r="H979" s="8" t="b">
        <v>0</v>
      </c>
      <c r="I979" s="388" t="str">
        <f>IFERROR(__xludf.DUMMYFUNCTION("""COMPUTED_VALUE"""),"")</f>
        <v/>
      </c>
      <c r="J979" s="7"/>
      <c r="K979" s="8"/>
      <c r="L979" s="8"/>
      <c r="M979" s="8"/>
      <c r="N979" s="8" t="str">
        <f>IFERROR(__xludf.DUMMYFUNCTION("""COMPUTED_VALUE"""),"")</f>
        <v/>
      </c>
      <c r="O979" s="8" t="str">
        <f>IFERROR(__xludf.DUMMYFUNCTION("""COMPUTED_VALUE"""),"")</f>
        <v/>
      </c>
      <c r="P979" s="8"/>
      <c r="Q979" s="8"/>
    </row>
    <row r="980">
      <c r="A980" s="8"/>
      <c r="B980" s="25"/>
      <c r="C980" s="385" t="s">
        <v>1426</v>
      </c>
      <c r="D980" s="392"/>
      <c r="E980" s="8"/>
      <c r="F980" s="8"/>
      <c r="G980" s="389"/>
      <c r="H980" s="8" t="b">
        <v>0</v>
      </c>
      <c r="I980" s="388" t="str">
        <f>IFERROR(__xludf.DUMMYFUNCTION("""COMPUTED_VALUE"""),"")</f>
        <v/>
      </c>
      <c r="J980" s="7"/>
      <c r="K980" s="8"/>
      <c r="L980" s="8"/>
      <c r="M980" s="8"/>
      <c r="N980" s="8" t="str">
        <f>IFERROR(__xludf.DUMMYFUNCTION("""COMPUTED_VALUE"""),"")</f>
        <v/>
      </c>
      <c r="O980" s="8" t="str">
        <f>IFERROR(__xludf.DUMMYFUNCTION("""COMPUTED_VALUE"""),"")</f>
        <v/>
      </c>
      <c r="P980" s="8"/>
      <c r="Q980" s="8"/>
    </row>
    <row r="981">
      <c r="A981" s="8"/>
      <c r="B981" s="25"/>
      <c r="C981" s="385" t="s">
        <v>1426</v>
      </c>
      <c r="D981" s="392"/>
      <c r="E981" s="8"/>
      <c r="F981" s="8"/>
      <c r="G981" s="389"/>
      <c r="H981" s="8" t="b">
        <v>0</v>
      </c>
      <c r="I981" s="388" t="str">
        <f>IFERROR(__xludf.DUMMYFUNCTION("""COMPUTED_VALUE"""),"")</f>
        <v/>
      </c>
      <c r="J981" s="7"/>
      <c r="K981" s="8"/>
      <c r="L981" s="8"/>
      <c r="M981" s="8"/>
      <c r="N981" s="8" t="str">
        <f>IFERROR(__xludf.DUMMYFUNCTION("""COMPUTED_VALUE"""),"")</f>
        <v/>
      </c>
      <c r="O981" s="8" t="str">
        <f>IFERROR(__xludf.DUMMYFUNCTION("""COMPUTED_VALUE"""),"")</f>
        <v/>
      </c>
      <c r="P981" s="8"/>
      <c r="Q981" s="8"/>
    </row>
    <row r="982">
      <c r="A982" s="8"/>
      <c r="B982" s="25"/>
      <c r="C982" s="385" t="s">
        <v>1426</v>
      </c>
      <c r="D982" s="392"/>
      <c r="E982" s="8"/>
      <c r="F982" s="8"/>
      <c r="G982" s="389"/>
      <c r="H982" s="8" t="b">
        <v>0</v>
      </c>
      <c r="I982" s="388" t="str">
        <f>IFERROR(__xludf.DUMMYFUNCTION("""COMPUTED_VALUE"""),"")</f>
        <v/>
      </c>
      <c r="J982" s="7"/>
      <c r="K982" s="8"/>
      <c r="L982" s="8"/>
      <c r="M982" s="8"/>
      <c r="N982" s="8" t="str">
        <f>IFERROR(__xludf.DUMMYFUNCTION("""COMPUTED_VALUE"""),"")</f>
        <v/>
      </c>
      <c r="O982" s="8" t="str">
        <f>IFERROR(__xludf.DUMMYFUNCTION("""COMPUTED_VALUE"""),"")</f>
        <v/>
      </c>
      <c r="P982" s="8"/>
      <c r="Q982" s="8"/>
    </row>
    <row r="983">
      <c r="A983" s="8"/>
      <c r="B983" s="25"/>
      <c r="C983" s="385" t="s">
        <v>1426</v>
      </c>
      <c r="D983" s="392"/>
      <c r="E983" s="8"/>
      <c r="F983" s="8"/>
      <c r="G983" s="389"/>
      <c r="H983" s="8" t="b">
        <v>0</v>
      </c>
      <c r="I983" s="388" t="str">
        <f>IFERROR(__xludf.DUMMYFUNCTION("""COMPUTED_VALUE"""),"")</f>
        <v/>
      </c>
      <c r="J983" s="7"/>
      <c r="K983" s="8"/>
      <c r="L983" s="8"/>
      <c r="M983" s="8"/>
      <c r="N983" s="8" t="str">
        <f>IFERROR(__xludf.DUMMYFUNCTION("""COMPUTED_VALUE"""),"")</f>
        <v/>
      </c>
      <c r="O983" s="8" t="str">
        <f>IFERROR(__xludf.DUMMYFUNCTION("""COMPUTED_VALUE"""),"")</f>
        <v/>
      </c>
      <c r="P983" s="8"/>
      <c r="Q983" s="8"/>
    </row>
    <row r="984">
      <c r="A984" s="8"/>
      <c r="B984" s="25"/>
      <c r="C984" s="385" t="s">
        <v>1426</v>
      </c>
      <c r="D984" s="392"/>
      <c r="E984" s="8"/>
      <c r="F984" s="8"/>
      <c r="G984" s="389"/>
      <c r="H984" s="8" t="b">
        <v>0</v>
      </c>
      <c r="I984" s="388" t="str">
        <f>IFERROR(__xludf.DUMMYFUNCTION("""COMPUTED_VALUE"""),"")</f>
        <v/>
      </c>
      <c r="J984" s="7"/>
      <c r="K984" s="8"/>
      <c r="L984" s="8"/>
      <c r="M984" s="8"/>
      <c r="N984" s="8" t="str">
        <f>IFERROR(__xludf.DUMMYFUNCTION("""COMPUTED_VALUE"""),"")</f>
        <v/>
      </c>
      <c r="O984" s="8" t="str">
        <f>IFERROR(__xludf.DUMMYFUNCTION("""COMPUTED_VALUE"""),"")</f>
        <v/>
      </c>
      <c r="P984" s="8"/>
      <c r="Q984" s="8"/>
    </row>
    <row r="985">
      <c r="A985" s="8"/>
      <c r="B985" s="25"/>
      <c r="C985" s="385" t="s">
        <v>1426</v>
      </c>
      <c r="D985" s="392"/>
      <c r="E985" s="8"/>
      <c r="F985" s="8"/>
      <c r="G985" s="389"/>
      <c r="H985" s="8" t="b">
        <v>0</v>
      </c>
      <c r="I985" s="388" t="str">
        <f>IFERROR(__xludf.DUMMYFUNCTION("""COMPUTED_VALUE"""),"")</f>
        <v/>
      </c>
      <c r="J985" s="7"/>
      <c r="K985" s="8"/>
      <c r="L985" s="8"/>
      <c r="M985" s="8"/>
      <c r="N985" s="8" t="str">
        <f>IFERROR(__xludf.DUMMYFUNCTION("""COMPUTED_VALUE"""),"")</f>
        <v/>
      </c>
      <c r="O985" s="8" t="str">
        <f>IFERROR(__xludf.DUMMYFUNCTION("""COMPUTED_VALUE"""),"")</f>
        <v/>
      </c>
      <c r="P985" s="8"/>
      <c r="Q985" s="8"/>
    </row>
    <row r="986">
      <c r="A986" s="8"/>
      <c r="B986" s="25"/>
      <c r="C986" s="385" t="s">
        <v>1426</v>
      </c>
      <c r="D986" s="392"/>
      <c r="E986" s="8"/>
      <c r="F986" s="8"/>
      <c r="G986" s="389"/>
      <c r="H986" s="8" t="b">
        <v>0</v>
      </c>
      <c r="I986" s="388" t="str">
        <f>IFERROR(__xludf.DUMMYFUNCTION("""COMPUTED_VALUE"""),"")</f>
        <v/>
      </c>
      <c r="J986" s="7"/>
      <c r="K986" s="8"/>
      <c r="L986" s="8"/>
      <c r="M986" s="8"/>
      <c r="N986" s="8" t="str">
        <f>IFERROR(__xludf.DUMMYFUNCTION("""COMPUTED_VALUE"""),"")</f>
        <v/>
      </c>
      <c r="O986" s="8" t="str">
        <f>IFERROR(__xludf.DUMMYFUNCTION("""COMPUTED_VALUE"""),"")</f>
        <v/>
      </c>
      <c r="P986" s="8"/>
      <c r="Q986" s="8"/>
    </row>
    <row r="987">
      <c r="A987" s="8"/>
      <c r="B987" s="25"/>
      <c r="C987" s="385" t="s">
        <v>1426</v>
      </c>
      <c r="D987" s="392"/>
      <c r="E987" s="8"/>
      <c r="F987" s="8"/>
      <c r="G987" s="389"/>
      <c r="H987" s="8" t="b">
        <v>0</v>
      </c>
      <c r="I987" s="388" t="str">
        <f>IFERROR(__xludf.DUMMYFUNCTION("""COMPUTED_VALUE"""),"")</f>
        <v/>
      </c>
      <c r="J987" s="7"/>
      <c r="K987" s="8"/>
      <c r="L987" s="8"/>
      <c r="M987" s="8"/>
      <c r="N987" s="8" t="str">
        <f>IFERROR(__xludf.DUMMYFUNCTION("""COMPUTED_VALUE"""),"")</f>
        <v/>
      </c>
      <c r="O987" s="8" t="str">
        <f>IFERROR(__xludf.DUMMYFUNCTION("""COMPUTED_VALUE"""),"")</f>
        <v/>
      </c>
      <c r="P987" s="8"/>
      <c r="Q987" s="8"/>
    </row>
    <row r="988">
      <c r="A988" s="8"/>
      <c r="B988" s="25"/>
      <c r="C988" s="385" t="s">
        <v>1426</v>
      </c>
      <c r="D988" s="392"/>
      <c r="E988" s="8"/>
      <c r="F988" s="8"/>
      <c r="G988" s="389"/>
      <c r="H988" s="8" t="b">
        <v>0</v>
      </c>
      <c r="I988" s="388" t="str">
        <f>IFERROR(__xludf.DUMMYFUNCTION("""COMPUTED_VALUE"""),"")</f>
        <v/>
      </c>
      <c r="J988" s="7"/>
      <c r="K988" s="8"/>
      <c r="L988" s="8"/>
      <c r="M988" s="8"/>
      <c r="N988" s="8" t="str">
        <f>IFERROR(__xludf.DUMMYFUNCTION("""COMPUTED_VALUE"""),"")</f>
        <v/>
      </c>
      <c r="O988" s="8" t="str">
        <f>IFERROR(__xludf.DUMMYFUNCTION("""COMPUTED_VALUE"""),"")</f>
        <v/>
      </c>
      <c r="P988" s="8"/>
      <c r="Q988" s="8"/>
    </row>
    <row r="989">
      <c r="A989" s="8"/>
      <c r="B989" s="25"/>
      <c r="C989" s="385" t="s">
        <v>1426</v>
      </c>
      <c r="D989" s="392"/>
      <c r="E989" s="8"/>
      <c r="F989" s="8"/>
      <c r="G989" s="389"/>
      <c r="H989" s="8" t="b">
        <v>0</v>
      </c>
      <c r="I989" s="388" t="str">
        <f>IFERROR(__xludf.DUMMYFUNCTION("""COMPUTED_VALUE"""),"")</f>
        <v/>
      </c>
      <c r="J989" s="7"/>
      <c r="K989" s="8"/>
      <c r="L989" s="8"/>
      <c r="M989" s="8"/>
      <c r="N989" s="8" t="str">
        <f>IFERROR(__xludf.DUMMYFUNCTION("""COMPUTED_VALUE"""),"")</f>
        <v/>
      </c>
      <c r="O989" s="8" t="str">
        <f>IFERROR(__xludf.DUMMYFUNCTION("""COMPUTED_VALUE"""),"")</f>
        <v/>
      </c>
      <c r="P989" s="8"/>
      <c r="Q989" s="8"/>
    </row>
    <row r="990">
      <c r="A990" s="8"/>
      <c r="B990" s="25"/>
      <c r="C990" s="385" t="s">
        <v>1426</v>
      </c>
      <c r="D990" s="392"/>
      <c r="E990" s="8"/>
      <c r="F990" s="8"/>
      <c r="G990" s="389"/>
      <c r="H990" s="8" t="b">
        <v>0</v>
      </c>
      <c r="I990" s="388" t="str">
        <f>IFERROR(__xludf.DUMMYFUNCTION("""COMPUTED_VALUE"""),"")</f>
        <v/>
      </c>
      <c r="J990" s="7"/>
      <c r="K990" s="8"/>
      <c r="L990" s="8"/>
      <c r="M990" s="8"/>
      <c r="N990" s="8" t="str">
        <f>IFERROR(__xludf.DUMMYFUNCTION("""COMPUTED_VALUE"""),"")</f>
        <v/>
      </c>
      <c r="O990" s="8" t="str">
        <f>IFERROR(__xludf.DUMMYFUNCTION("""COMPUTED_VALUE"""),"")</f>
        <v/>
      </c>
      <c r="P990" s="8"/>
      <c r="Q990" s="8"/>
    </row>
    <row r="991">
      <c r="A991" s="8"/>
      <c r="B991" s="25"/>
      <c r="C991" s="385" t="s">
        <v>1426</v>
      </c>
      <c r="D991" s="392"/>
      <c r="E991" s="8"/>
      <c r="F991" s="8"/>
      <c r="G991" s="389"/>
      <c r="H991" s="8" t="b">
        <v>0</v>
      </c>
      <c r="I991" s="388" t="str">
        <f>IFERROR(__xludf.DUMMYFUNCTION("""COMPUTED_VALUE"""),"")</f>
        <v/>
      </c>
      <c r="J991" s="7"/>
      <c r="K991" s="8"/>
      <c r="L991" s="8"/>
      <c r="M991" s="8"/>
      <c r="N991" s="8" t="str">
        <f>IFERROR(__xludf.DUMMYFUNCTION("""COMPUTED_VALUE"""),"")</f>
        <v/>
      </c>
      <c r="O991" s="8" t="str">
        <f>IFERROR(__xludf.DUMMYFUNCTION("""COMPUTED_VALUE"""),"")</f>
        <v/>
      </c>
      <c r="P991" s="8"/>
      <c r="Q991" s="8"/>
    </row>
    <row r="992">
      <c r="A992" s="8"/>
      <c r="B992" s="25"/>
      <c r="C992" s="385" t="s">
        <v>1426</v>
      </c>
      <c r="D992" s="392"/>
      <c r="E992" s="8"/>
      <c r="F992" s="8"/>
      <c r="G992" s="389"/>
      <c r="H992" s="8" t="b">
        <v>0</v>
      </c>
      <c r="I992" s="388" t="str">
        <f>IFERROR(__xludf.DUMMYFUNCTION("""COMPUTED_VALUE"""),"")</f>
        <v/>
      </c>
      <c r="J992" s="7"/>
      <c r="K992" s="8"/>
      <c r="L992" s="8"/>
      <c r="M992" s="8"/>
      <c r="N992" s="8" t="str">
        <f>IFERROR(__xludf.DUMMYFUNCTION("""COMPUTED_VALUE"""),"")</f>
        <v/>
      </c>
      <c r="O992" s="8" t="str">
        <f>IFERROR(__xludf.DUMMYFUNCTION("""COMPUTED_VALUE"""),"")</f>
        <v/>
      </c>
      <c r="P992" s="8"/>
      <c r="Q992" s="8"/>
    </row>
    <row r="993">
      <c r="A993" s="8"/>
      <c r="B993" s="25"/>
      <c r="C993" s="385" t="s">
        <v>1426</v>
      </c>
      <c r="D993" s="392"/>
      <c r="E993" s="8"/>
      <c r="F993" s="8"/>
      <c r="G993" s="389"/>
      <c r="H993" s="8" t="b">
        <v>0</v>
      </c>
      <c r="I993" s="388" t="str">
        <f>IFERROR(__xludf.DUMMYFUNCTION("""COMPUTED_VALUE"""),"")</f>
        <v/>
      </c>
      <c r="J993" s="7"/>
      <c r="K993" s="8"/>
      <c r="L993" s="8"/>
      <c r="M993" s="8"/>
      <c r="N993" s="8" t="str">
        <f>IFERROR(__xludf.DUMMYFUNCTION("""COMPUTED_VALUE"""),"")</f>
        <v/>
      </c>
      <c r="O993" s="8" t="str">
        <f>IFERROR(__xludf.DUMMYFUNCTION("""COMPUTED_VALUE"""),"")</f>
        <v/>
      </c>
      <c r="P993" s="8"/>
      <c r="Q993" s="8"/>
    </row>
    <row r="994">
      <c r="A994" s="8"/>
      <c r="B994" s="25"/>
      <c r="C994" s="385" t="s">
        <v>1426</v>
      </c>
      <c r="D994" s="392"/>
      <c r="E994" s="8"/>
      <c r="F994" s="8"/>
      <c r="G994" s="389"/>
      <c r="H994" s="8" t="b">
        <v>0</v>
      </c>
      <c r="I994" s="388" t="str">
        <f>IFERROR(__xludf.DUMMYFUNCTION("""COMPUTED_VALUE"""),"")</f>
        <v/>
      </c>
      <c r="J994" s="7"/>
      <c r="K994" s="8"/>
      <c r="L994" s="8"/>
      <c r="M994" s="8"/>
      <c r="N994" s="8" t="str">
        <f>IFERROR(__xludf.DUMMYFUNCTION("""COMPUTED_VALUE"""),"")</f>
        <v/>
      </c>
      <c r="O994" s="8" t="str">
        <f>IFERROR(__xludf.DUMMYFUNCTION("""COMPUTED_VALUE"""),"")</f>
        <v/>
      </c>
      <c r="P994" s="8"/>
      <c r="Q994" s="8"/>
    </row>
    <row r="995">
      <c r="A995" s="8"/>
      <c r="B995" s="25"/>
      <c r="C995" s="385" t="s">
        <v>1426</v>
      </c>
      <c r="D995" s="392"/>
      <c r="E995" s="8"/>
      <c r="F995" s="8"/>
      <c r="G995" s="389"/>
      <c r="H995" s="8" t="b">
        <v>0</v>
      </c>
      <c r="I995" s="388" t="str">
        <f>IFERROR(__xludf.DUMMYFUNCTION("""COMPUTED_VALUE"""),"")</f>
        <v/>
      </c>
      <c r="J995" s="7"/>
      <c r="K995" s="8"/>
      <c r="L995" s="8"/>
      <c r="M995" s="8"/>
      <c r="N995" s="8" t="str">
        <f>IFERROR(__xludf.DUMMYFUNCTION("""COMPUTED_VALUE"""),"")</f>
        <v/>
      </c>
      <c r="O995" s="8" t="str">
        <f>IFERROR(__xludf.DUMMYFUNCTION("""COMPUTED_VALUE"""),"")</f>
        <v/>
      </c>
      <c r="P995" s="8"/>
      <c r="Q995" s="8"/>
    </row>
    <row r="996">
      <c r="A996" s="8"/>
      <c r="B996" s="25"/>
      <c r="C996" s="385" t="s">
        <v>1426</v>
      </c>
      <c r="D996" s="392"/>
      <c r="E996" s="8"/>
      <c r="F996" s="8"/>
      <c r="G996" s="389"/>
      <c r="H996" s="8" t="b">
        <v>0</v>
      </c>
      <c r="I996" s="388" t="str">
        <f>IFERROR(__xludf.DUMMYFUNCTION("""COMPUTED_VALUE"""),"")</f>
        <v/>
      </c>
      <c r="J996" s="7"/>
      <c r="K996" s="8"/>
      <c r="L996" s="8"/>
      <c r="M996" s="8"/>
      <c r="N996" s="8" t="str">
        <f>IFERROR(__xludf.DUMMYFUNCTION("""COMPUTED_VALUE"""),"")</f>
        <v/>
      </c>
      <c r="O996" s="8" t="str">
        <f>IFERROR(__xludf.DUMMYFUNCTION("""COMPUTED_VALUE"""),"")</f>
        <v/>
      </c>
      <c r="P996" s="8"/>
      <c r="Q996" s="8"/>
    </row>
    <row r="997">
      <c r="A997" s="8"/>
      <c r="B997" s="25"/>
      <c r="C997" s="385" t="s">
        <v>1426</v>
      </c>
      <c r="D997" s="392"/>
      <c r="E997" s="8"/>
      <c r="F997" s="8"/>
      <c r="G997" s="389"/>
      <c r="H997" s="8" t="b">
        <v>0</v>
      </c>
      <c r="I997" s="388" t="str">
        <f>IFERROR(__xludf.DUMMYFUNCTION("""COMPUTED_VALUE"""),"")</f>
        <v/>
      </c>
      <c r="J997" s="7"/>
      <c r="K997" s="8"/>
      <c r="L997" s="8"/>
      <c r="M997" s="8"/>
      <c r="N997" s="8" t="str">
        <f>IFERROR(__xludf.DUMMYFUNCTION("""COMPUTED_VALUE"""),"")</f>
        <v/>
      </c>
      <c r="O997" s="8" t="str">
        <f>IFERROR(__xludf.DUMMYFUNCTION("""COMPUTED_VALUE"""),"")</f>
        <v/>
      </c>
      <c r="P997" s="8"/>
      <c r="Q997" s="8"/>
    </row>
    <row r="998">
      <c r="A998" s="8"/>
      <c r="B998" s="25"/>
      <c r="C998" s="385" t="s">
        <v>1426</v>
      </c>
      <c r="D998" s="392"/>
      <c r="E998" s="8"/>
      <c r="F998" s="8"/>
      <c r="G998" s="389"/>
      <c r="H998" s="8" t="b">
        <v>0</v>
      </c>
      <c r="I998" s="388" t="str">
        <f>IFERROR(__xludf.DUMMYFUNCTION("""COMPUTED_VALUE"""),"")</f>
        <v/>
      </c>
      <c r="J998" s="7"/>
      <c r="K998" s="8"/>
      <c r="L998" s="8"/>
      <c r="M998" s="8"/>
      <c r="N998" s="8" t="str">
        <f>IFERROR(__xludf.DUMMYFUNCTION("""COMPUTED_VALUE"""),"")</f>
        <v/>
      </c>
      <c r="O998" s="8" t="str">
        <f>IFERROR(__xludf.DUMMYFUNCTION("""COMPUTED_VALUE"""),"")</f>
        <v/>
      </c>
      <c r="P998" s="8"/>
      <c r="Q998" s="8"/>
    </row>
    <row r="999">
      <c r="A999" s="8"/>
      <c r="B999" s="25"/>
      <c r="C999" s="385" t="s">
        <v>1426</v>
      </c>
      <c r="D999" s="392"/>
      <c r="E999" s="8"/>
      <c r="F999" s="8"/>
      <c r="G999" s="389"/>
      <c r="H999" s="8" t="b">
        <v>0</v>
      </c>
      <c r="I999" s="388" t="str">
        <f>IFERROR(__xludf.DUMMYFUNCTION("""COMPUTED_VALUE"""),"")</f>
        <v/>
      </c>
      <c r="J999" s="7"/>
      <c r="K999" s="8"/>
      <c r="L999" s="8"/>
      <c r="M999" s="8"/>
      <c r="N999" s="8" t="str">
        <f>IFERROR(__xludf.DUMMYFUNCTION("""COMPUTED_VALUE"""),"")</f>
        <v/>
      </c>
      <c r="O999" s="8" t="str">
        <f>IFERROR(__xludf.DUMMYFUNCTION("""COMPUTED_VALUE"""),"")</f>
        <v/>
      </c>
      <c r="P999" s="8"/>
      <c r="Q999" s="8"/>
    </row>
  </sheetData>
  <autoFilter ref="$A$1:$M$999">
    <sortState ref="A1:M999">
      <sortCondition ref="G1:G999"/>
      <sortCondition ref="F1:F999"/>
      <sortCondition ref="J1:J999"/>
      <sortCondition ref="B1:B999"/>
    </sortState>
  </autoFilter>
  <conditionalFormatting sqref="I2:I999">
    <cfRule type="containsText" dxfId="18" priority="1" operator="containsText" text="Yi Sang">
      <formula>NOT(ISERROR(SEARCH(("Yi Sang"),(I2))))</formula>
    </cfRule>
  </conditionalFormatting>
  <conditionalFormatting sqref="I2:I999">
    <cfRule type="containsText" dxfId="19" priority="2" operator="containsText" text="Faust">
      <formula>NOT(ISERROR(SEARCH(("Faust"),(I2))))</formula>
    </cfRule>
  </conditionalFormatting>
  <conditionalFormatting sqref="I2:I999">
    <cfRule type="containsText" dxfId="6" priority="3" operator="containsText" text="Don Quixote">
      <formula>NOT(ISERROR(SEARCH(("Don Quixote"),(I2))))</formula>
    </cfRule>
  </conditionalFormatting>
  <conditionalFormatting sqref="I2:I999">
    <cfRule type="containsText" dxfId="20" priority="4" operator="containsText" text="Ryoshu">
      <formula>NOT(ISERROR(SEARCH(("Ryoshu"),(I2))))</formula>
    </cfRule>
  </conditionalFormatting>
  <conditionalFormatting sqref="I2:I999">
    <cfRule type="containsText" dxfId="21" priority="5" operator="containsText" text="Meursault">
      <formula>NOT(ISERROR(SEARCH(("Meursault"),(I2))))</formula>
    </cfRule>
  </conditionalFormatting>
  <conditionalFormatting sqref="I2:I999">
    <cfRule type="containsText" dxfId="22" priority="6" operator="containsText" text="Hong Lu">
      <formula>NOT(ISERROR(SEARCH(("Hong Lu"),(I2))))</formula>
    </cfRule>
  </conditionalFormatting>
  <conditionalFormatting sqref="I2:I999">
    <cfRule type="containsText" dxfId="23" priority="7" operator="containsText" text="Heathcliff">
      <formula>NOT(ISERROR(SEARCH(("Heathcliff"),(I2))))</formula>
    </cfRule>
  </conditionalFormatting>
  <conditionalFormatting sqref="I2:I999">
    <cfRule type="containsText" dxfId="24" priority="8" operator="containsText" text="Ishmael">
      <formula>NOT(ISERROR(SEARCH(("Ishmael"),(I2))))</formula>
    </cfRule>
  </conditionalFormatting>
  <conditionalFormatting sqref="I2:I999">
    <cfRule type="containsText" dxfId="25" priority="9" operator="containsText" text="Rodion">
      <formula>NOT(ISERROR(SEARCH(("Rodion"),(I2))))</formula>
    </cfRule>
  </conditionalFormatting>
  <conditionalFormatting sqref="I2:I999">
    <cfRule type="containsText" dxfId="26" priority="10" operator="containsText" text="Sinclair">
      <formula>NOT(ISERROR(SEARCH(("Sinclair"),(I2))))</formula>
    </cfRule>
  </conditionalFormatting>
  <conditionalFormatting sqref="I2:I999">
    <cfRule type="containsText" dxfId="27" priority="11" operator="containsText" text="Outis">
      <formula>NOT(ISERROR(SEARCH(("Outis"),(I2))))</formula>
    </cfRule>
  </conditionalFormatting>
  <conditionalFormatting sqref="I2:I999">
    <cfRule type="containsText" dxfId="28" priority="12" operator="containsText" text="Gregor">
      <formula>NOT(ISERROR(SEARCH(("Gregor"),(I2))))</formula>
    </cfRule>
  </conditionalFormatting>
  <conditionalFormatting sqref="J2:J999">
    <cfRule type="cellIs" dxfId="34" priority="13" operator="equal">
      <formula>20</formula>
    </cfRule>
  </conditionalFormatting>
  <conditionalFormatting sqref="J2:J999">
    <cfRule type="cellIs" dxfId="35" priority="14" operator="equal">
      <formula>25</formula>
    </cfRule>
  </conditionalFormatting>
  <conditionalFormatting sqref="J2:J999">
    <cfRule type="cellIs" dxfId="1" priority="15" operator="equal">
      <formula>30</formula>
    </cfRule>
  </conditionalFormatting>
  <conditionalFormatting sqref="J2:J999">
    <cfRule type="cellIs" dxfId="18" priority="16" operator="equal">
      <formula>35</formula>
    </cfRule>
  </conditionalFormatting>
  <conditionalFormatting sqref="J2:J999">
    <cfRule type="cellIs" dxfId="36" priority="17" operator="equal">
      <formula>40</formula>
    </cfRule>
  </conditionalFormatting>
  <conditionalFormatting sqref="J2:J999">
    <cfRule type="cellIs" dxfId="4" priority="18" operator="equal">
      <formula>45</formula>
    </cfRule>
  </conditionalFormatting>
  <conditionalFormatting sqref="J2:J999">
    <cfRule type="cellIs" dxfId="6" priority="19" operator="equal">
      <formula>50</formula>
    </cfRule>
  </conditionalFormatting>
  <conditionalFormatting sqref="J2:J999">
    <cfRule type="cellIs" dxfId="32" priority="20" operator="equal">
      <formula>55</formula>
    </cfRule>
  </conditionalFormatting>
  <conditionalFormatting sqref="J2:J999">
    <cfRule type="cellIs" dxfId="37" priority="21" operator="equal">
      <formula>60</formula>
    </cfRule>
  </conditionalFormatting>
  <conditionalFormatting sqref="J2:J999">
    <cfRule type="cellIs" dxfId="3" priority="22" operator="equal">
      <formula>65</formula>
    </cfRule>
  </conditionalFormatting>
  <conditionalFormatting sqref="J2:J999">
    <cfRule type="cellIs" dxfId="38" priority="23" operator="equal">
      <formula>70</formula>
    </cfRule>
  </conditionalFormatting>
  <conditionalFormatting sqref="J2:J999">
    <cfRule type="cellIs" dxfId="5" priority="24" operator="equal">
      <formula>75</formula>
    </cfRule>
  </conditionalFormatting>
  <conditionalFormatting sqref="J2:J999">
    <cfRule type="cellIs" dxfId="31" priority="25" operator="equal">
      <formula>80</formula>
    </cfRule>
  </conditionalFormatting>
  <conditionalFormatting sqref="J2:J999">
    <cfRule type="cellIs" dxfId="39" priority="26" operator="equal">
      <formula>85</formula>
    </cfRule>
  </conditionalFormatting>
  <conditionalFormatting sqref="J2:J999">
    <cfRule type="cellIs" dxfId="18" priority="27" operator="between">
      <formula>0</formula>
      <formula>100</formula>
    </cfRule>
  </conditionalFormatting>
  <conditionalFormatting sqref="L2:L999">
    <cfRule type="cellIs" dxfId="46" priority="28" operator="equal">
      <formula>5</formula>
    </cfRule>
  </conditionalFormatting>
  <conditionalFormatting sqref="L2:L999">
    <cfRule type="colorScale" priority="29">
      <colorScale>
        <cfvo type="formula" val="0"/>
        <cfvo type="percentile" val="50"/>
        <cfvo type="formula" val="4"/>
        <color rgb="FFE67C73"/>
        <color rgb="FFFFD666"/>
        <color rgb="FF57BB8A"/>
      </colorScale>
    </cfRule>
  </conditionalFormatting>
  <dataValidations>
    <dataValidation type="list" allowBlank="1" showErrorMessage="1" sqref="B2:B999">
      <formula1>SinnerList</formula1>
    </dataValidation>
    <dataValidation type="list" allowBlank="1" showErrorMessage="1" sqref="J2:J999">
      <formula1>LevelRange</formula1>
    </dataValidation>
    <dataValidation type="list" allowBlank="1" showErrorMessage="1" sqref="M2:M999">
      <formula1>"Paralyze,Bind,Haste,Protection,Attack Type DMG/Power Up,Sin DMG/Power Up,Ammo,Plus Coin Drop,Offense Level Up,Offense Level Down,Defense Level Up,Defense Level Down,Damage Up,Retreat,Reload,Assist Attack,Assist Defense,Defense Power Up,Defense Power Down,"&amp;"Damage Down,Amplitude Conversion,Amplitude Entanglement,Aggro,Attack Power Up,Attack Power Down,Power Up,Power Down,Plus Coin Boost,Fragile,Attack Type Fragility,Sin Fragility,Attack Type Protection,Keyword Protection,Unbreakable Coin,Unfocused Volley,Att"&amp;"ack Type Resist Down,Sin Resist Down,Clash Power Up,Shin,Load,Photoelectricity,Dimensional Rift,Tremor Burst,Tremor - Superposition,Tremor - Chain,Tremor - Decay,Tremor - Reverb,Tremor - Scorch,Tremor - Hemorrhage,Discard,Clashable Guard,Clashable Counter"&amp;",Bloodfeast,Deathrite,Crit DMG Up,HP Healing Down,Nail,Curse"</formula1>
    </dataValidation>
    <dataValidation type="list" allowBlank="1" showErrorMessage="1" sqref="C2:C999">
      <formula1>"Ø,ØØ,ØØØ"</formula1>
    </dataValidation>
    <dataValidation type="list" allowBlank="1" showErrorMessage="1" sqref="D2:D999">
      <formula1>"1,2,3,4,5,6,7,8,9,10,Walpurgisnaught,Standard Fare,Season,Event,Bokgak,Extraction,Reward,11,12,13,14,15"</formula1>
    </dataValidation>
    <dataValidation type="list" allowBlank="1" showErrorMessage="1" sqref="E2:E999">
      <formula1>"Burn,Bleed,Tremor,Rupture,Sinking,Poise,Charge,No Keyword"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1.88"/>
    <col customWidth="1" min="3" max="3" width="9.13"/>
    <col customWidth="1" min="4" max="4" width="10.0"/>
    <col customWidth="1" min="5" max="5" width="27.75"/>
    <col customWidth="1" min="6" max="6" width="26.5"/>
    <col customWidth="1" min="7" max="7" width="4.5"/>
    <col customWidth="1" min="8" max="8" width="9.25"/>
    <col customWidth="1" min="9" max="9" width="4.75"/>
    <col customWidth="1" hidden="1" min="10" max="10" width="11.38"/>
    <col customWidth="1" min="11" max="11" width="6.75"/>
    <col customWidth="1" min="12" max="12" width="25.75"/>
    <col hidden="1" min="13" max="14" width="12.63"/>
    <col customWidth="1" min="15" max="16" width="3.13"/>
  </cols>
  <sheetData>
    <row r="1">
      <c r="A1" s="7" t="s">
        <v>1394</v>
      </c>
      <c r="B1" s="7" t="s">
        <v>152</v>
      </c>
      <c r="C1" s="385" t="s">
        <v>1801</v>
      </c>
      <c r="D1" s="385" t="s">
        <v>1802</v>
      </c>
      <c r="E1" s="385" t="s">
        <v>1396</v>
      </c>
      <c r="F1" s="7" t="s">
        <v>1397</v>
      </c>
      <c r="G1" s="7" t="s">
        <v>1398</v>
      </c>
      <c r="H1" s="386" t="s">
        <v>1399</v>
      </c>
      <c r="I1" s="7" t="s">
        <v>1400</v>
      </c>
      <c r="J1" s="7" t="str">
        <f>IFERROR(__xludf.DUMMYFUNCTION("{""EGO Name""; ARRAYFORMULA(LET(fullname, {""["" &amp; A2:A999 &amp; ""] "" &amp; B2:B999}, condition,  IF(REGEXMATCH(fullname, ""\[\] ""), """", fullname), IF(I2:I999, condition, """")))}"),"EGO Name")</f>
        <v>EGO Name</v>
      </c>
      <c r="K1" s="7" t="s">
        <v>1803</v>
      </c>
      <c r="L1" s="7" t="s">
        <v>1404</v>
      </c>
      <c r="M1" s="8" t="str">
        <f>IFERROR(__xludf.DUMMYFUNCTION("{""Extraction List""; ARRAYFORMULA(
  LET(
    cleanD, SUBSTITUTE(E2:E999, "","", """"), 
    fullname, D2:D999 &amp; "" "" &amp; cleanD &amp; "" "" &amp; ""["" &amp; A2:A999 &amp; ""] "" &amp; B2:B999, 
    condition, IF(NOT(REGEXMATCH(E2:E999 &amp; """", ""BP|Event|Bokgak"")), fullnam"&amp;"e, """"), 
    IF((I2:I999) + (condition = ""[] "") + (A2:A999 = """"), """", condition)
  )
)}"),"Extraction List")</f>
        <v>Extraction List</v>
      </c>
      <c r="N1" s="8" t="str">
        <f>IFERROR(__xludf.DUMMYFUNCTION("{""Extraction List""; ARRAYFORMULA(
  LET(
    cleanD, SUBSTITUTE(E2:E999, "","", """"), 
    fullname, D2:D999 &amp; "" "" &amp; cleanD &amp; "" "" &amp; ""["" &amp; A2:A999 &amp; ""] "" &amp; B2:B999, 
    condition, IF(REGEXMATCH(E2:E999 &amp; """", ""BP|Event""), fullname, """"), 
 "&amp;"   IF((I2:I999) + (condition = ""[] "") + (A2:A999 = """"), """", condition)
  )
)}"),"Extraction List")</f>
        <v>Extraction List</v>
      </c>
      <c r="O1" s="7" t="s">
        <v>1803</v>
      </c>
      <c r="P1" s="7" t="s">
        <v>1597</v>
      </c>
    </row>
    <row r="2">
      <c r="A2" s="7" t="s">
        <v>1804</v>
      </c>
      <c r="B2" s="25" t="s">
        <v>12</v>
      </c>
      <c r="C2" s="385" t="s">
        <v>1805</v>
      </c>
      <c r="D2" s="385" t="s">
        <v>319</v>
      </c>
      <c r="E2" s="385" t="s">
        <v>771</v>
      </c>
      <c r="F2" s="8"/>
      <c r="G2" s="7">
        <v>1.0</v>
      </c>
      <c r="H2" s="386">
        <f t="shared" ref="H2:H32" si="1">DATE(2023, 2, 27)</f>
        <v>44984</v>
      </c>
      <c r="I2" s="7" t="b">
        <v>1</v>
      </c>
      <c r="J2" s="388" t="str">
        <f>IFERROR(__xludf.DUMMYFUNCTION("""COMPUTED_VALUE"""),"[Crow’s Eye View] Yi Sang")</f>
        <v>[Crow’s Eye View] Yi Sang</v>
      </c>
      <c r="K2" s="7">
        <v>3.0</v>
      </c>
      <c r="L2" s="387" t="s">
        <v>1806</v>
      </c>
      <c r="M2" s="8" t="str">
        <f>IFERROR(__xludf.DUMMYFUNCTION("""COMPUTED_VALUE"""),"")</f>
        <v/>
      </c>
      <c r="N2" s="8" t="str">
        <f>IFERROR(__xludf.DUMMYFUNCTION("""COMPUTED_VALUE"""),"")</f>
        <v/>
      </c>
      <c r="O2" s="8"/>
      <c r="P2" s="8"/>
    </row>
    <row r="3">
      <c r="A3" s="7" t="s">
        <v>1807</v>
      </c>
      <c r="B3" s="25" t="s">
        <v>153</v>
      </c>
      <c r="C3" s="385" t="s">
        <v>1808</v>
      </c>
      <c r="D3" s="385" t="s">
        <v>319</v>
      </c>
      <c r="E3" s="385" t="s">
        <v>771</v>
      </c>
      <c r="F3" s="8"/>
      <c r="G3" s="7">
        <v>2.0</v>
      </c>
      <c r="H3" s="386">
        <f t="shared" si="1"/>
        <v>44984</v>
      </c>
      <c r="I3" s="7" t="b">
        <v>1</v>
      </c>
      <c r="J3" s="388" t="str">
        <f>IFERROR(__xludf.DUMMYFUNCTION("""COMPUTED_VALUE"""),"[Representation Emitter] Faust")</f>
        <v>[Representation Emitter] Faust</v>
      </c>
      <c r="K3" s="7">
        <v>3.0</v>
      </c>
      <c r="L3" s="387" t="s">
        <v>1809</v>
      </c>
      <c r="M3" s="8" t="str">
        <f>IFERROR(__xludf.DUMMYFUNCTION("""COMPUTED_VALUE"""),"")</f>
        <v/>
      </c>
      <c r="N3" s="8" t="str">
        <f>IFERROR(__xludf.DUMMYFUNCTION("""COMPUTED_VALUE"""),"")</f>
        <v/>
      </c>
      <c r="O3" s="8"/>
      <c r="P3" s="8"/>
    </row>
    <row r="4">
      <c r="A4" s="7" t="s">
        <v>1810</v>
      </c>
      <c r="B4" s="25" t="s">
        <v>154</v>
      </c>
      <c r="C4" s="385" t="s">
        <v>947</v>
      </c>
      <c r="D4" s="385" t="s">
        <v>319</v>
      </c>
      <c r="E4" s="385" t="s">
        <v>771</v>
      </c>
      <c r="F4" s="387" t="s">
        <v>143</v>
      </c>
      <c r="G4" s="7">
        <v>3.0</v>
      </c>
      <c r="H4" s="386">
        <f t="shared" si="1"/>
        <v>44984</v>
      </c>
      <c r="I4" s="7" t="b">
        <v>1</v>
      </c>
      <c r="J4" s="388" t="str">
        <f>IFERROR(__xludf.DUMMYFUNCTION("""COMPUTED_VALUE"""),"[La Sangre de Sancho] Don Quixote")</f>
        <v>[La Sangre de Sancho] Don Quixote</v>
      </c>
      <c r="K4" s="7">
        <v>3.0</v>
      </c>
      <c r="L4" s="8"/>
      <c r="M4" s="8" t="str">
        <f>IFERROR(__xludf.DUMMYFUNCTION("""COMPUTED_VALUE"""),"")</f>
        <v/>
      </c>
      <c r="N4" s="8" t="str">
        <f>IFERROR(__xludf.DUMMYFUNCTION("""COMPUTED_VALUE"""),"")</f>
        <v/>
      </c>
      <c r="O4" s="8"/>
      <c r="P4" s="8"/>
    </row>
    <row r="5">
      <c r="A5" s="7" t="s">
        <v>1811</v>
      </c>
      <c r="B5" s="25" t="s">
        <v>155</v>
      </c>
      <c r="C5" s="385" t="s">
        <v>947</v>
      </c>
      <c r="D5" s="385" t="s">
        <v>319</v>
      </c>
      <c r="E5" s="385" t="s">
        <v>771</v>
      </c>
      <c r="F5" s="387" t="s">
        <v>138</v>
      </c>
      <c r="G5" s="7">
        <v>4.0</v>
      </c>
      <c r="H5" s="386">
        <f t="shared" si="1"/>
        <v>44984</v>
      </c>
      <c r="I5" s="7" t="b">
        <v>1</v>
      </c>
      <c r="J5" s="388" t="str">
        <f>IFERROR(__xludf.DUMMYFUNCTION("""COMPUTED_VALUE"""),"[Forest for the Flames] Ryoshu")</f>
        <v>[Forest for the Flames] Ryoshu</v>
      </c>
      <c r="K5" s="7">
        <v>4.0</v>
      </c>
      <c r="L5" s="387" t="s">
        <v>1435</v>
      </c>
      <c r="M5" s="8" t="str">
        <f>IFERROR(__xludf.DUMMYFUNCTION("""COMPUTED_VALUE"""),"")</f>
        <v/>
      </c>
      <c r="N5" s="8" t="str">
        <f>IFERROR(__xludf.DUMMYFUNCTION("""COMPUTED_VALUE"""),"")</f>
        <v/>
      </c>
      <c r="O5" s="8"/>
      <c r="P5" s="8"/>
    </row>
    <row r="6">
      <c r="A6" s="7" t="s">
        <v>1812</v>
      </c>
      <c r="B6" s="25" t="s">
        <v>156</v>
      </c>
      <c r="C6" s="385" t="s">
        <v>1808</v>
      </c>
      <c r="D6" s="385" t="s">
        <v>319</v>
      </c>
      <c r="E6" s="385" t="s">
        <v>771</v>
      </c>
      <c r="F6" s="8"/>
      <c r="G6" s="7">
        <v>5.0</v>
      </c>
      <c r="H6" s="386">
        <f t="shared" si="1"/>
        <v>44984</v>
      </c>
      <c r="I6" s="7" t="b">
        <v>1</v>
      </c>
      <c r="J6" s="388" t="str">
        <f>IFERROR(__xludf.DUMMYFUNCTION("""COMPUTED_VALUE"""),"[Chains of Others] Meursault")</f>
        <v>[Chains of Others] Meursault</v>
      </c>
      <c r="K6" s="7">
        <v>3.0</v>
      </c>
      <c r="L6" s="387" t="s">
        <v>1813</v>
      </c>
      <c r="M6" s="8" t="str">
        <f>IFERROR(__xludf.DUMMYFUNCTION("""COMPUTED_VALUE"""),"")</f>
        <v/>
      </c>
      <c r="N6" s="8" t="str">
        <f>IFERROR(__xludf.DUMMYFUNCTION("""COMPUTED_VALUE"""),"")</f>
        <v/>
      </c>
      <c r="O6" s="8"/>
      <c r="P6" s="8"/>
    </row>
    <row r="7">
      <c r="A7" s="7" t="s">
        <v>1814</v>
      </c>
      <c r="B7" s="25" t="s">
        <v>157</v>
      </c>
      <c r="C7" s="385" t="s">
        <v>970</v>
      </c>
      <c r="D7" s="385" t="s">
        <v>319</v>
      </c>
      <c r="E7" s="385" t="s">
        <v>771</v>
      </c>
      <c r="F7" s="387" t="s">
        <v>134</v>
      </c>
      <c r="G7" s="7">
        <v>6.0</v>
      </c>
      <c r="H7" s="386">
        <f t="shared" si="1"/>
        <v>44984</v>
      </c>
      <c r="I7" s="7" t="b">
        <v>1</v>
      </c>
      <c r="J7" s="388" t="str">
        <f>IFERROR(__xludf.DUMMYFUNCTION("""COMPUTED_VALUE"""),"[Land of Illusion] Hong Lu")</f>
        <v>[Land of Illusion] Hong Lu</v>
      </c>
      <c r="K7" s="7">
        <v>3.0</v>
      </c>
      <c r="L7" s="387" t="s">
        <v>1815</v>
      </c>
      <c r="M7" s="8" t="str">
        <f>IFERROR(__xludf.DUMMYFUNCTION("""COMPUTED_VALUE"""),"")</f>
        <v/>
      </c>
      <c r="N7" s="8" t="str">
        <f>IFERROR(__xludf.DUMMYFUNCTION("""COMPUTED_VALUE"""),"")</f>
        <v/>
      </c>
      <c r="O7" s="8"/>
      <c r="P7" s="8"/>
    </row>
    <row r="8">
      <c r="A8" s="7" t="s">
        <v>1816</v>
      </c>
      <c r="B8" s="25" t="s">
        <v>158</v>
      </c>
      <c r="C8" s="385" t="s">
        <v>948</v>
      </c>
      <c r="D8" s="385" t="s">
        <v>319</v>
      </c>
      <c r="E8" s="385" t="s">
        <v>771</v>
      </c>
      <c r="F8" s="8"/>
      <c r="G8" s="7">
        <v>7.0</v>
      </c>
      <c r="H8" s="386">
        <f t="shared" si="1"/>
        <v>44984</v>
      </c>
      <c r="I8" s="7" t="b">
        <v>1</v>
      </c>
      <c r="J8" s="388" t="str">
        <f>IFERROR(__xludf.DUMMYFUNCTION("""COMPUTED_VALUE"""),"[Bodysack] Heathcliff")</f>
        <v>[Bodysack] Heathcliff</v>
      </c>
      <c r="K8" s="7">
        <v>3.0</v>
      </c>
      <c r="L8" s="387" t="s">
        <v>1817</v>
      </c>
      <c r="M8" s="8" t="str">
        <f>IFERROR(__xludf.DUMMYFUNCTION("""COMPUTED_VALUE"""),"")</f>
        <v/>
      </c>
      <c r="N8" s="8" t="str">
        <f>IFERROR(__xludf.DUMMYFUNCTION("""COMPUTED_VALUE"""),"")</f>
        <v/>
      </c>
      <c r="O8" s="8"/>
      <c r="P8" s="8"/>
    </row>
    <row r="9">
      <c r="A9" s="7" t="s">
        <v>1818</v>
      </c>
      <c r="B9" s="25" t="s">
        <v>122</v>
      </c>
      <c r="C9" s="385" t="s">
        <v>970</v>
      </c>
      <c r="D9" s="385" t="s">
        <v>319</v>
      </c>
      <c r="E9" s="385" t="s">
        <v>771</v>
      </c>
      <c r="F9" s="387" t="s">
        <v>123</v>
      </c>
      <c r="G9" s="7">
        <v>8.0</v>
      </c>
      <c r="H9" s="386">
        <f t="shared" si="1"/>
        <v>44984</v>
      </c>
      <c r="I9" s="7" t="b">
        <v>1</v>
      </c>
      <c r="J9" s="388" t="str">
        <f>IFERROR(__xludf.DUMMYFUNCTION("""COMPUTED_VALUE"""),"[Snagharpoon] Ishmael")</f>
        <v>[Snagharpoon] Ishmael</v>
      </c>
      <c r="K9" s="7">
        <v>3.0</v>
      </c>
      <c r="L9" s="387" t="s">
        <v>1590</v>
      </c>
      <c r="M9" s="8" t="str">
        <f>IFERROR(__xludf.DUMMYFUNCTION("""COMPUTED_VALUE"""),"")</f>
        <v/>
      </c>
      <c r="N9" s="8" t="str">
        <f>IFERROR(__xludf.DUMMYFUNCTION("""COMPUTED_VALUE"""),"")</f>
        <v/>
      </c>
      <c r="O9" s="8"/>
      <c r="P9" s="8"/>
    </row>
    <row r="10">
      <c r="A10" s="7" t="s">
        <v>1819</v>
      </c>
      <c r="B10" s="25" t="s">
        <v>159</v>
      </c>
      <c r="C10" s="385" t="s">
        <v>1808</v>
      </c>
      <c r="D10" s="385" t="s">
        <v>319</v>
      </c>
      <c r="E10" s="385" t="s">
        <v>771</v>
      </c>
      <c r="F10" s="387" t="s">
        <v>143</v>
      </c>
      <c r="G10" s="7">
        <v>9.0</v>
      </c>
      <c r="H10" s="386">
        <f t="shared" si="1"/>
        <v>44984</v>
      </c>
      <c r="I10" s="7" t="b">
        <v>1</v>
      </c>
      <c r="J10" s="388" t="str">
        <f>IFERROR(__xludf.DUMMYFUNCTION("""COMPUTED_VALUE"""),"[What is Cast] Rodion")</f>
        <v>[What is Cast] Rodion</v>
      </c>
      <c r="K10" s="7">
        <v>3.0</v>
      </c>
      <c r="L10" s="387" t="s">
        <v>1820</v>
      </c>
      <c r="M10" s="8" t="str">
        <f>IFERROR(__xludf.DUMMYFUNCTION("""COMPUTED_VALUE"""),"")</f>
        <v/>
      </c>
      <c r="N10" s="8" t="str">
        <f>IFERROR(__xludf.DUMMYFUNCTION("""COMPUTED_VALUE"""),"")</f>
        <v/>
      </c>
      <c r="O10" s="8"/>
      <c r="P10" s="8"/>
    </row>
    <row r="11">
      <c r="A11" s="7" t="s">
        <v>1821</v>
      </c>
      <c r="B11" s="25" t="s">
        <v>160</v>
      </c>
      <c r="C11" s="385" t="s">
        <v>1822</v>
      </c>
      <c r="D11" s="385" t="s">
        <v>319</v>
      </c>
      <c r="E11" s="385" t="s">
        <v>771</v>
      </c>
      <c r="F11" s="387" t="s">
        <v>752</v>
      </c>
      <c r="G11" s="7">
        <v>10.0</v>
      </c>
      <c r="H11" s="386">
        <f t="shared" si="1"/>
        <v>44984</v>
      </c>
      <c r="I11" s="7" t="b">
        <v>1</v>
      </c>
      <c r="J11" s="388" t="str">
        <f>IFERROR(__xludf.DUMMYFUNCTION("""COMPUTED_VALUE"""),"[Branch of Knowledge] Sinclair")</f>
        <v>[Branch of Knowledge] Sinclair</v>
      </c>
      <c r="K11" s="7">
        <v>3.0</v>
      </c>
      <c r="L11" s="387" t="s">
        <v>1823</v>
      </c>
      <c r="M11" s="8" t="str">
        <f>IFERROR(__xludf.DUMMYFUNCTION("""COMPUTED_VALUE"""),"")</f>
        <v/>
      </c>
      <c r="N11" s="8" t="str">
        <f>IFERROR(__xludf.DUMMYFUNCTION("""COMPUTED_VALUE"""),"")</f>
        <v/>
      </c>
      <c r="O11" s="8"/>
      <c r="P11" s="8"/>
    </row>
    <row r="12">
      <c r="A12" s="7" t="s">
        <v>1824</v>
      </c>
      <c r="B12" s="25" t="s">
        <v>161</v>
      </c>
      <c r="C12" s="385" t="s">
        <v>1808</v>
      </c>
      <c r="D12" s="385" t="s">
        <v>319</v>
      </c>
      <c r="E12" s="385" t="s">
        <v>771</v>
      </c>
      <c r="F12" s="387" t="s">
        <v>752</v>
      </c>
      <c r="G12" s="7">
        <v>11.0</v>
      </c>
      <c r="H12" s="386">
        <f t="shared" si="1"/>
        <v>44984</v>
      </c>
      <c r="I12" s="7" t="b">
        <v>1</v>
      </c>
      <c r="J12" s="388" t="str">
        <f>IFERROR(__xludf.DUMMYFUNCTION("""COMPUTED_VALUE"""),"[To Páthos Máthos] Outis")</f>
        <v>[To Páthos Máthos] Outis</v>
      </c>
      <c r="K12" s="7">
        <v>3.0</v>
      </c>
      <c r="L12" s="387" t="s">
        <v>1825</v>
      </c>
      <c r="M12" s="8" t="str">
        <f>IFERROR(__xludf.DUMMYFUNCTION("""COMPUTED_VALUE"""),"")</f>
        <v/>
      </c>
      <c r="N12" s="8" t="str">
        <f>IFERROR(__xludf.DUMMYFUNCTION("""COMPUTED_VALUE"""),"")</f>
        <v/>
      </c>
      <c r="O12" s="8"/>
      <c r="P12" s="8"/>
    </row>
    <row r="13">
      <c r="A13" s="7" t="s">
        <v>1826</v>
      </c>
      <c r="B13" s="25" t="s">
        <v>162</v>
      </c>
      <c r="C13" s="385" t="s">
        <v>1805</v>
      </c>
      <c r="D13" s="385" t="s">
        <v>319</v>
      </c>
      <c r="E13" s="385" t="s">
        <v>771</v>
      </c>
      <c r="F13" s="387" t="s">
        <v>1827</v>
      </c>
      <c r="G13" s="7">
        <v>12.0</v>
      </c>
      <c r="H13" s="386">
        <f t="shared" si="1"/>
        <v>44984</v>
      </c>
      <c r="I13" s="7" t="b">
        <v>1</v>
      </c>
      <c r="J13" s="388" t="str">
        <f>IFERROR(__xludf.DUMMYFUNCTION("""COMPUTED_VALUE"""),"[Suddenly, One Day] Gregor")</f>
        <v>[Suddenly, One Day] Gregor</v>
      </c>
      <c r="K13" s="7">
        <v>3.0</v>
      </c>
      <c r="L13" s="387" t="s">
        <v>1828</v>
      </c>
      <c r="M13" s="8" t="str">
        <f>IFERROR(__xludf.DUMMYFUNCTION("""COMPUTED_VALUE"""),"")</f>
        <v/>
      </c>
      <c r="N13" s="8" t="str">
        <f>IFERROR(__xludf.DUMMYFUNCTION("""COMPUTED_VALUE"""),"")</f>
        <v/>
      </c>
      <c r="O13" s="8"/>
      <c r="P13" s="8"/>
    </row>
    <row r="14">
      <c r="A14" s="7" t="s">
        <v>1829</v>
      </c>
      <c r="B14" s="25" t="s">
        <v>12</v>
      </c>
      <c r="C14" s="385" t="s">
        <v>969</v>
      </c>
      <c r="D14" s="385" t="s">
        <v>327</v>
      </c>
      <c r="E14" s="385" t="s">
        <v>1830</v>
      </c>
      <c r="F14" s="387" t="s">
        <v>138</v>
      </c>
      <c r="G14" s="7">
        <v>13.0</v>
      </c>
      <c r="H14" s="386">
        <f t="shared" si="1"/>
        <v>44984</v>
      </c>
      <c r="I14" s="8" t="b">
        <v>0</v>
      </c>
      <c r="J14" s="388" t="str">
        <f>IFERROR(__xludf.DUMMYFUNCTION("""COMPUTED_VALUE"""),"")</f>
        <v/>
      </c>
      <c r="K14" s="8"/>
      <c r="L14" s="8"/>
      <c r="M14" s="8" t="str">
        <f>IFERROR(__xludf.DUMMYFUNCTION("""COMPUTED_VALUE"""),"")</f>
        <v/>
      </c>
      <c r="N14" s="8" t="str">
        <f>IFERROR(__xludf.DUMMYFUNCTION("""COMPUTED_VALUE"""),"TETH Season 1 BP [4th Match Flame] Yi Sang")</f>
        <v>TETH Season 1 BP [4th Match Flame] Yi Sang</v>
      </c>
      <c r="O14" s="8"/>
      <c r="P14" s="8"/>
    </row>
    <row r="15">
      <c r="A15" s="7" t="s">
        <v>1831</v>
      </c>
      <c r="B15" s="25" t="s">
        <v>12</v>
      </c>
      <c r="C15" s="385" t="s">
        <v>1805</v>
      </c>
      <c r="D15" s="385" t="s">
        <v>327</v>
      </c>
      <c r="E15" s="385" t="s">
        <v>771</v>
      </c>
      <c r="F15" s="8"/>
      <c r="G15" s="7">
        <v>14.0</v>
      </c>
      <c r="H15" s="386">
        <f t="shared" si="1"/>
        <v>44984</v>
      </c>
      <c r="I15" s="7" t="b">
        <v>1</v>
      </c>
      <c r="J15" s="388" t="str">
        <f>IFERROR(__xludf.DUMMYFUNCTION("""COMPUTED_VALUE"""),"[Wishing Cairn] Yi Sang")</f>
        <v>[Wishing Cairn] Yi Sang</v>
      </c>
      <c r="K15" s="7">
        <v>3.0</v>
      </c>
      <c r="L15" s="387" t="s">
        <v>1832</v>
      </c>
      <c r="M15" s="8" t="str">
        <f>IFERROR(__xludf.DUMMYFUNCTION("""COMPUTED_VALUE"""),"")</f>
        <v/>
      </c>
      <c r="N15" s="8" t="str">
        <f>IFERROR(__xludf.DUMMYFUNCTION("""COMPUTED_VALUE"""),"")</f>
        <v/>
      </c>
      <c r="O15" s="8"/>
      <c r="P15" s="8"/>
    </row>
    <row r="16">
      <c r="A16" s="7" t="s">
        <v>270</v>
      </c>
      <c r="B16" s="25" t="s">
        <v>153</v>
      </c>
      <c r="C16" s="385" t="s">
        <v>970</v>
      </c>
      <c r="D16" s="385" t="s">
        <v>333</v>
      </c>
      <c r="E16" s="385" t="s">
        <v>1830</v>
      </c>
      <c r="F16" s="8"/>
      <c r="G16" s="7">
        <v>17.0</v>
      </c>
      <c r="H16" s="386">
        <f t="shared" si="1"/>
        <v>44984</v>
      </c>
      <c r="I16" s="7" t="b">
        <v>1</v>
      </c>
      <c r="J16" s="388" t="str">
        <f>IFERROR(__xludf.DUMMYFUNCTION("""COMPUTED_VALUE"""),"[Fluid Sac] Faust")</f>
        <v>[Fluid Sac] Faust</v>
      </c>
      <c r="K16" s="7">
        <v>3.0</v>
      </c>
      <c r="L16" s="387" t="s">
        <v>1833</v>
      </c>
      <c r="M16" s="8" t="str">
        <f>IFERROR(__xludf.DUMMYFUNCTION("""COMPUTED_VALUE"""),"")</f>
        <v/>
      </c>
      <c r="N16" s="8" t="str">
        <f>IFERROR(__xludf.DUMMYFUNCTION("""COMPUTED_VALUE"""),"")</f>
        <v/>
      </c>
      <c r="O16" s="8"/>
      <c r="P16" s="8"/>
    </row>
    <row r="17">
      <c r="A17" s="7" t="s">
        <v>670</v>
      </c>
      <c r="B17" s="25" t="s">
        <v>153</v>
      </c>
      <c r="C17" s="385" t="s">
        <v>948</v>
      </c>
      <c r="D17" s="385" t="s">
        <v>327</v>
      </c>
      <c r="E17" s="385" t="s">
        <v>771</v>
      </c>
      <c r="F17" s="8"/>
      <c r="G17" s="7">
        <v>18.0</v>
      </c>
      <c r="H17" s="386">
        <f t="shared" si="1"/>
        <v>44984</v>
      </c>
      <c r="I17" s="8" t="b">
        <v>0</v>
      </c>
      <c r="J17" s="388" t="str">
        <f>IFERROR(__xludf.DUMMYFUNCTION("""COMPUTED_VALUE"""),"")</f>
        <v/>
      </c>
      <c r="K17" s="8"/>
      <c r="L17" s="387" t="s">
        <v>1834</v>
      </c>
      <c r="M17" s="8" t="str">
        <f>IFERROR(__xludf.DUMMYFUNCTION("""COMPUTED_VALUE"""),"TETH Standard Fare [Hex Nail] Faust")</f>
        <v>TETH Standard Fare [Hex Nail] Faust</v>
      </c>
      <c r="N17" s="8" t="str">
        <f>IFERROR(__xludf.DUMMYFUNCTION("""COMPUTED_VALUE"""),"")</f>
        <v/>
      </c>
      <c r="O17" s="8"/>
      <c r="P17" s="8"/>
    </row>
    <row r="18">
      <c r="A18" s="7" t="s">
        <v>270</v>
      </c>
      <c r="B18" s="25" t="s">
        <v>154</v>
      </c>
      <c r="C18" s="385" t="s">
        <v>970</v>
      </c>
      <c r="D18" s="385" t="s">
        <v>333</v>
      </c>
      <c r="E18" s="385" t="s">
        <v>1830</v>
      </c>
      <c r="F18" s="387" t="s">
        <v>1497</v>
      </c>
      <c r="G18" s="7">
        <v>20.0</v>
      </c>
      <c r="H18" s="386">
        <f t="shared" si="1"/>
        <v>44984</v>
      </c>
      <c r="I18" s="8" t="b">
        <v>0</v>
      </c>
      <c r="J18" s="388" t="str">
        <f>IFERROR(__xludf.DUMMYFUNCTION("""COMPUTED_VALUE"""),"")</f>
        <v/>
      </c>
      <c r="K18" s="8"/>
      <c r="L18" s="387" t="s">
        <v>1495</v>
      </c>
      <c r="M18" s="8" t="str">
        <f>IFERROR(__xludf.DUMMYFUNCTION("""COMPUTED_VALUE"""),"")</f>
        <v/>
      </c>
      <c r="N18" s="8" t="str">
        <f>IFERROR(__xludf.DUMMYFUNCTION("""COMPUTED_VALUE"""),"HE Season 1 BP [Fluid Sac] Don Quixote")</f>
        <v>HE Season 1 BP [Fluid Sac] Don Quixote</v>
      </c>
      <c r="O18" s="8"/>
      <c r="P18" s="8"/>
    </row>
    <row r="19">
      <c r="A19" s="7" t="s">
        <v>1829</v>
      </c>
      <c r="B19" s="25" t="s">
        <v>155</v>
      </c>
      <c r="C19" s="385" t="s">
        <v>969</v>
      </c>
      <c r="D19" s="385" t="s">
        <v>333</v>
      </c>
      <c r="E19" s="385" t="s">
        <v>1830</v>
      </c>
      <c r="F19" s="387" t="s">
        <v>138</v>
      </c>
      <c r="G19" s="7">
        <v>23.0</v>
      </c>
      <c r="H19" s="386">
        <f t="shared" si="1"/>
        <v>44984</v>
      </c>
      <c r="I19" s="8" t="b">
        <v>0</v>
      </c>
      <c r="J19" s="388" t="str">
        <f>IFERROR(__xludf.DUMMYFUNCTION("""COMPUTED_VALUE"""),"")</f>
        <v/>
      </c>
      <c r="K19" s="8"/>
      <c r="L19" s="387" t="s">
        <v>1835</v>
      </c>
      <c r="M19" s="8" t="str">
        <f>IFERROR(__xludf.DUMMYFUNCTION("""COMPUTED_VALUE"""),"")</f>
        <v/>
      </c>
      <c r="N19" s="8" t="str">
        <f>IFERROR(__xludf.DUMMYFUNCTION("""COMPUTED_VALUE"""),"HE Season 1 BP [4th Match Flame] Ryoshu")</f>
        <v>HE Season 1 BP [4th Match Flame] Ryoshu</v>
      </c>
      <c r="O19" s="8"/>
      <c r="P19" s="8"/>
    </row>
    <row r="20">
      <c r="A20" s="7" t="s">
        <v>1836</v>
      </c>
      <c r="B20" s="25" t="s">
        <v>156</v>
      </c>
      <c r="C20" s="385" t="s">
        <v>948</v>
      </c>
      <c r="D20" s="385" t="s">
        <v>327</v>
      </c>
      <c r="E20" s="385" t="s">
        <v>1830</v>
      </c>
      <c r="F20" s="8"/>
      <c r="G20" s="7">
        <v>27.0</v>
      </c>
      <c r="H20" s="386">
        <f t="shared" si="1"/>
        <v>44984</v>
      </c>
      <c r="I20" s="8" t="b">
        <v>0</v>
      </c>
      <c r="J20" s="388" t="str">
        <f>IFERROR(__xludf.DUMMYFUNCTION("""COMPUTED_VALUE"""),"")</f>
        <v/>
      </c>
      <c r="K20" s="8"/>
      <c r="L20" s="387" t="s">
        <v>1837</v>
      </c>
      <c r="M20" s="8" t="str">
        <f>IFERROR(__xludf.DUMMYFUNCTION("""COMPUTED_VALUE"""),"")</f>
        <v/>
      </c>
      <c r="N20" s="8" t="str">
        <f>IFERROR(__xludf.DUMMYFUNCTION("""COMPUTED_VALUE"""),"TETH Season 1 BP [Screwloose Wallop] Meursault")</f>
        <v>TETH Season 1 BP [Screwloose Wallop] Meursault</v>
      </c>
      <c r="O20" s="8"/>
      <c r="P20" s="8"/>
    </row>
    <row r="21">
      <c r="A21" s="7" t="s">
        <v>1838</v>
      </c>
      <c r="B21" s="25" t="s">
        <v>156</v>
      </c>
      <c r="C21" s="385" t="s">
        <v>1805</v>
      </c>
      <c r="D21" s="385" t="s">
        <v>333</v>
      </c>
      <c r="E21" s="385" t="s">
        <v>771</v>
      </c>
      <c r="F21" s="387"/>
      <c r="G21" s="7">
        <v>28.0</v>
      </c>
      <c r="H21" s="386">
        <f t="shared" si="1"/>
        <v>44984</v>
      </c>
      <c r="I21" s="8" t="b">
        <v>0</v>
      </c>
      <c r="J21" s="388" t="str">
        <f>IFERROR(__xludf.DUMMYFUNCTION("""COMPUTED_VALUE"""),"")</f>
        <v/>
      </c>
      <c r="K21" s="8"/>
      <c r="L21" s="387" t="s">
        <v>1839</v>
      </c>
      <c r="M21" s="8" t="str">
        <f>IFERROR(__xludf.DUMMYFUNCTION("""COMPUTED_VALUE"""),"HE Standard Fare [Pursuance] Meursault")</f>
        <v>HE Standard Fare [Pursuance] Meursault</v>
      </c>
      <c r="N21" s="8" t="str">
        <f>IFERROR(__xludf.DUMMYFUNCTION("""COMPUTED_VALUE"""),"")</f>
        <v/>
      </c>
      <c r="O21" s="8"/>
      <c r="P21" s="8"/>
    </row>
    <row r="22">
      <c r="A22" s="7" t="s">
        <v>1840</v>
      </c>
      <c r="B22" s="25" t="s">
        <v>157</v>
      </c>
      <c r="C22" s="385" t="s">
        <v>947</v>
      </c>
      <c r="D22" s="385" t="s">
        <v>327</v>
      </c>
      <c r="E22" s="385" t="s">
        <v>1830</v>
      </c>
      <c r="F22" s="8"/>
      <c r="G22" s="7">
        <v>30.0</v>
      </c>
      <c r="H22" s="386">
        <f t="shared" si="1"/>
        <v>44984</v>
      </c>
      <c r="I22" s="8" t="b">
        <v>0</v>
      </c>
      <c r="J22" s="388" t="str">
        <f>IFERROR(__xludf.DUMMYFUNCTION("""COMPUTED_VALUE"""),"")</f>
        <v/>
      </c>
      <c r="K22" s="8"/>
      <c r="L22" s="387" t="s">
        <v>1841</v>
      </c>
      <c r="M22" s="8" t="str">
        <f>IFERROR(__xludf.DUMMYFUNCTION("""COMPUTED_VALUE"""),"")</f>
        <v/>
      </c>
      <c r="N22" s="8" t="str">
        <f>IFERROR(__xludf.DUMMYFUNCTION("""COMPUTED_VALUE"""),"TETH Season 1 BP [Roseate Desire] Hong Lu")</f>
        <v>TETH Season 1 BP [Roseate Desire] Hong Lu</v>
      </c>
      <c r="O22" s="8"/>
      <c r="P22" s="8"/>
    </row>
    <row r="23">
      <c r="A23" s="7" t="s">
        <v>1842</v>
      </c>
      <c r="B23" s="25" t="s">
        <v>158</v>
      </c>
      <c r="C23" s="385" t="s">
        <v>948</v>
      </c>
      <c r="D23" s="385" t="s">
        <v>333</v>
      </c>
      <c r="E23" s="385" t="s">
        <v>1830</v>
      </c>
      <c r="F23" s="387" t="s">
        <v>148</v>
      </c>
      <c r="G23" s="7">
        <v>33.0</v>
      </c>
      <c r="H23" s="386">
        <f t="shared" si="1"/>
        <v>44984</v>
      </c>
      <c r="I23" s="8" t="b">
        <v>0</v>
      </c>
      <c r="J23" s="388" t="str">
        <f>IFERROR(__xludf.DUMMYFUNCTION("""COMPUTED_VALUE"""),"")</f>
        <v/>
      </c>
      <c r="K23" s="8"/>
      <c r="L23" s="387" t="s">
        <v>1435</v>
      </c>
      <c r="M23" s="8" t="str">
        <f>IFERROR(__xludf.DUMMYFUNCTION("""COMPUTED_VALUE"""),"")</f>
        <v/>
      </c>
      <c r="N23" s="8" t="str">
        <f>IFERROR(__xludf.DUMMYFUNCTION("""COMPUTED_VALUE"""),"HE Season 1 BP [Telepole] Heathcliff")</f>
        <v>HE Season 1 BP [Telepole] Heathcliff</v>
      </c>
      <c r="O23" s="8"/>
      <c r="P23" s="8"/>
    </row>
    <row r="24">
      <c r="A24" s="7" t="s">
        <v>1840</v>
      </c>
      <c r="B24" s="25" t="s">
        <v>122</v>
      </c>
      <c r="C24" s="385" t="s">
        <v>947</v>
      </c>
      <c r="D24" s="385" t="s">
        <v>327</v>
      </c>
      <c r="E24" s="385" t="s">
        <v>1830</v>
      </c>
      <c r="F24" s="8"/>
      <c r="G24" s="7">
        <v>36.0</v>
      </c>
      <c r="H24" s="386">
        <f t="shared" si="1"/>
        <v>44984</v>
      </c>
      <c r="I24" s="8" t="b">
        <v>0</v>
      </c>
      <c r="J24" s="388" t="str">
        <f>IFERROR(__xludf.DUMMYFUNCTION("""COMPUTED_VALUE"""),"")</f>
        <v/>
      </c>
      <c r="K24" s="8"/>
      <c r="L24" s="387" t="s">
        <v>1843</v>
      </c>
      <c r="M24" s="8" t="str">
        <f>IFERROR(__xludf.DUMMYFUNCTION("""COMPUTED_VALUE"""),"")</f>
        <v/>
      </c>
      <c r="N24" s="8" t="str">
        <f>IFERROR(__xludf.DUMMYFUNCTION("""COMPUTED_VALUE"""),"TETH Season 1 BP [Roseate Desire] Ishmael")</f>
        <v>TETH Season 1 BP [Roseate Desire] Ishmael</v>
      </c>
      <c r="O24" s="8"/>
      <c r="P24" s="8"/>
    </row>
    <row r="25">
      <c r="A25" s="7" t="s">
        <v>1844</v>
      </c>
      <c r="B25" s="25" t="s">
        <v>122</v>
      </c>
      <c r="C25" s="385" t="s">
        <v>969</v>
      </c>
      <c r="D25" s="385" t="s">
        <v>333</v>
      </c>
      <c r="E25" s="385" t="s">
        <v>771</v>
      </c>
      <c r="F25" s="387" t="s">
        <v>138</v>
      </c>
      <c r="G25" s="7">
        <v>37.0</v>
      </c>
      <c r="H25" s="386">
        <f t="shared" si="1"/>
        <v>44984</v>
      </c>
      <c r="I25" s="7" t="b">
        <v>1</v>
      </c>
      <c r="J25" s="388" t="str">
        <f>IFERROR(__xludf.DUMMYFUNCTION("""COMPUTED_VALUE"""),"[Ardor Blossom Star] Ishmael")</f>
        <v>[Ardor Blossom Star] Ishmael</v>
      </c>
      <c r="K25" s="7">
        <v>3.0</v>
      </c>
      <c r="L25" s="8"/>
      <c r="M25" s="8" t="str">
        <f>IFERROR(__xludf.DUMMYFUNCTION("""COMPUTED_VALUE"""),"")</f>
        <v/>
      </c>
      <c r="N25" s="8" t="str">
        <f>IFERROR(__xludf.DUMMYFUNCTION("""COMPUTED_VALUE"""),"")</f>
        <v/>
      </c>
      <c r="O25" s="8"/>
      <c r="P25" s="8"/>
    </row>
    <row r="26">
      <c r="A26" s="7" t="s">
        <v>1829</v>
      </c>
      <c r="B26" s="25" t="s">
        <v>159</v>
      </c>
      <c r="C26" s="385" t="s">
        <v>969</v>
      </c>
      <c r="D26" s="385" t="s">
        <v>333</v>
      </c>
      <c r="E26" s="385" t="s">
        <v>1830</v>
      </c>
      <c r="F26" s="387" t="s">
        <v>138</v>
      </c>
      <c r="G26" s="7">
        <v>39.0</v>
      </c>
      <c r="H26" s="386">
        <f t="shared" si="1"/>
        <v>44984</v>
      </c>
      <c r="I26" s="8" t="b">
        <v>0</v>
      </c>
      <c r="J26" s="388" t="str">
        <f>IFERROR(__xludf.DUMMYFUNCTION("""COMPUTED_VALUE"""),"")</f>
        <v/>
      </c>
      <c r="K26" s="8"/>
      <c r="L26" s="387" t="s">
        <v>1598</v>
      </c>
      <c r="M26" s="8" t="str">
        <f>IFERROR(__xludf.DUMMYFUNCTION("""COMPUTED_VALUE"""),"")</f>
        <v/>
      </c>
      <c r="N26" s="8" t="str">
        <f>IFERROR(__xludf.DUMMYFUNCTION("""COMPUTED_VALUE"""),"HE Season 1 BP [4th Match Flame] Rodion")</f>
        <v>HE Season 1 BP [4th Match Flame] Rodion</v>
      </c>
      <c r="O26" s="8"/>
      <c r="P26" s="8"/>
    </row>
    <row r="27">
      <c r="A27" s="7" t="s">
        <v>1845</v>
      </c>
      <c r="B27" s="25" t="s">
        <v>159</v>
      </c>
      <c r="C27" s="385" t="s">
        <v>970</v>
      </c>
      <c r="D27" s="385" t="s">
        <v>327</v>
      </c>
      <c r="E27" s="385" t="s">
        <v>1830</v>
      </c>
      <c r="F27" s="387" t="s">
        <v>134</v>
      </c>
      <c r="G27" s="7">
        <v>40.0</v>
      </c>
      <c r="H27" s="386">
        <f t="shared" si="1"/>
        <v>44984</v>
      </c>
      <c r="I27" s="7" t="b">
        <v>1</v>
      </c>
      <c r="J27" s="388" t="str">
        <f>IFERROR(__xludf.DUMMYFUNCTION("""COMPUTED_VALUE"""),"[Rime Shank] Rodion")</f>
        <v>[Rime Shank] Rodion</v>
      </c>
      <c r="K27" s="7">
        <v>3.0</v>
      </c>
      <c r="L27" s="387" t="s">
        <v>1846</v>
      </c>
      <c r="M27" s="8" t="str">
        <f>IFERROR(__xludf.DUMMYFUNCTION("""COMPUTED_VALUE"""),"")</f>
        <v/>
      </c>
      <c r="N27" s="8" t="str">
        <f>IFERROR(__xludf.DUMMYFUNCTION("""COMPUTED_VALUE"""),"")</f>
        <v/>
      </c>
      <c r="O27" s="7">
        <v>6.0</v>
      </c>
      <c r="P27" s="8"/>
    </row>
    <row r="28">
      <c r="A28" s="7" t="s">
        <v>1847</v>
      </c>
      <c r="B28" s="25" t="s">
        <v>160</v>
      </c>
      <c r="C28" s="385" t="s">
        <v>969</v>
      </c>
      <c r="D28" s="385" t="s">
        <v>327</v>
      </c>
      <c r="E28" s="385" t="s">
        <v>1830</v>
      </c>
      <c r="F28" s="387" t="s">
        <v>143</v>
      </c>
      <c r="G28" s="7">
        <v>41.0</v>
      </c>
      <c r="H28" s="386">
        <f t="shared" si="1"/>
        <v>44984</v>
      </c>
      <c r="I28" s="8" t="b">
        <v>0</v>
      </c>
      <c r="J28" s="388" t="str">
        <f>IFERROR(__xludf.DUMMYFUNCTION("""COMPUTED_VALUE"""),"")</f>
        <v/>
      </c>
      <c r="K28" s="8"/>
      <c r="L28" s="387" t="s">
        <v>1420</v>
      </c>
      <c r="M28" s="8" t="str">
        <f>IFERROR(__xludf.DUMMYFUNCTION("""COMPUTED_VALUE"""),"")</f>
        <v/>
      </c>
      <c r="N28" s="8" t="str">
        <f>IFERROR(__xludf.DUMMYFUNCTION("""COMPUTED_VALUE"""),"TETH Season 1 BP [Impending Day] Sinclair")</f>
        <v>TETH Season 1 BP [Impending Day] Sinclair</v>
      </c>
      <c r="O28" s="8"/>
      <c r="P28" s="8"/>
    </row>
    <row r="29">
      <c r="A29" s="7" t="s">
        <v>1848</v>
      </c>
      <c r="B29" s="25" t="s">
        <v>161</v>
      </c>
      <c r="C29" s="385" t="s">
        <v>1822</v>
      </c>
      <c r="D29" s="385" t="s">
        <v>333</v>
      </c>
      <c r="E29" s="385" t="s">
        <v>1830</v>
      </c>
      <c r="F29" s="387" t="s">
        <v>1849</v>
      </c>
      <c r="G29" s="7">
        <v>44.0</v>
      </c>
      <c r="H29" s="386">
        <f t="shared" si="1"/>
        <v>44984</v>
      </c>
      <c r="I29" s="8" t="b">
        <v>0</v>
      </c>
      <c r="J29" s="388" t="str">
        <f>IFERROR(__xludf.DUMMYFUNCTION("""COMPUTED_VALUE"""),"")</f>
        <v/>
      </c>
      <c r="K29" s="8"/>
      <c r="L29" s="387" t="s">
        <v>1850</v>
      </c>
      <c r="M29" s="8" t="str">
        <f>IFERROR(__xludf.DUMMYFUNCTION("""COMPUTED_VALUE"""),"")</f>
        <v/>
      </c>
      <c r="N29" s="8" t="str">
        <f>IFERROR(__xludf.DUMMYFUNCTION("""COMPUTED_VALUE"""),"HE Season 1 BP [Ebony Stem] Outis")</f>
        <v>HE Season 1 BP [Ebony Stem] Outis</v>
      </c>
      <c r="O29" s="8"/>
      <c r="P29" s="8"/>
    </row>
    <row r="30">
      <c r="A30" s="7" t="s">
        <v>1851</v>
      </c>
      <c r="B30" s="25" t="s">
        <v>161</v>
      </c>
      <c r="C30" s="385" t="s">
        <v>947</v>
      </c>
      <c r="D30" s="385" t="s">
        <v>327</v>
      </c>
      <c r="E30" s="385" t="s">
        <v>771</v>
      </c>
      <c r="F30" s="8"/>
      <c r="G30" s="7">
        <v>45.0</v>
      </c>
      <c r="H30" s="386">
        <f t="shared" si="1"/>
        <v>44984</v>
      </c>
      <c r="I30" s="7" t="b">
        <v>1</v>
      </c>
      <c r="J30" s="388" t="str">
        <f>IFERROR(__xludf.DUMMYFUNCTION("""COMPUTED_VALUE"""),"[Ya Śūnyatā Tad Rūpam] Outis")</f>
        <v>[Ya Śūnyatā Tad Rūpam] Outis</v>
      </c>
      <c r="K30" s="7">
        <v>3.0</v>
      </c>
      <c r="L30" s="387" t="s">
        <v>1852</v>
      </c>
      <c r="M30" s="8" t="str">
        <f>IFERROR(__xludf.DUMMYFUNCTION("""COMPUTED_VALUE"""),"")</f>
        <v/>
      </c>
      <c r="N30" s="8" t="str">
        <f>IFERROR(__xludf.DUMMYFUNCTION("""COMPUTED_VALUE"""),"")</f>
        <v/>
      </c>
      <c r="O30" s="8"/>
      <c r="P30" s="8"/>
    </row>
    <row r="31">
      <c r="A31" s="7" t="s">
        <v>1853</v>
      </c>
      <c r="B31" s="25" t="s">
        <v>162</v>
      </c>
      <c r="C31" s="385" t="s">
        <v>1822</v>
      </c>
      <c r="D31" s="385" t="s">
        <v>319</v>
      </c>
      <c r="E31" s="385" t="s">
        <v>1830</v>
      </c>
      <c r="F31" s="387" t="s">
        <v>1854</v>
      </c>
      <c r="G31" s="7">
        <v>47.0</v>
      </c>
      <c r="H31" s="386">
        <f t="shared" si="1"/>
        <v>44984</v>
      </c>
      <c r="I31" s="8" t="b">
        <v>0</v>
      </c>
      <c r="J31" s="388" t="str">
        <f>IFERROR(__xludf.DUMMYFUNCTION("""COMPUTED_VALUE"""),"")</f>
        <v/>
      </c>
      <c r="K31" s="8"/>
      <c r="L31" s="387" t="s">
        <v>1855</v>
      </c>
      <c r="M31" s="8" t="str">
        <f>IFERROR(__xludf.DUMMYFUNCTION("""COMPUTED_VALUE"""),"")</f>
        <v/>
      </c>
      <c r="N31" s="8" t="str">
        <f>IFERROR(__xludf.DUMMYFUNCTION("""COMPUTED_VALUE"""),"ZAYIN Season 1 BP [Legerdemain] Gregor")</f>
        <v>ZAYIN Season 1 BP [Legerdemain] Gregor</v>
      </c>
      <c r="O31" s="8"/>
      <c r="P31" s="8"/>
    </row>
    <row r="32">
      <c r="A32" s="7" t="s">
        <v>717</v>
      </c>
      <c r="B32" s="25" t="s">
        <v>162</v>
      </c>
      <c r="C32" s="385" t="s">
        <v>1822</v>
      </c>
      <c r="D32" s="385" t="s">
        <v>327</v>
      </c>
      <c r="E32" s="385" t="s">
        <v>771</v>
      </c>
      <c r="F32" s="387" t="s">
        <v>752</v>
      </c>
      <c r="G32" s="7">
        <v>48.0</v>
      </c>
      <c r="H32" s="386">
        <f t="shared" si="1"/>
        <v>44984</v>
      </c>
      <c r="I32" s="7" t="b">
        <v>1</v>
      </c>
      <c r="J32" s="388" t="str">
        <f>IFERROR(__xludf.DUMMYFUNCTION("""COMPUTED_VALUE"""),"[Lantern] Gregor")</f>
        <v>[Lantern] Gregor</v>
      </c>
      <c r="K32" s="7">
        <v>3.0</v>
      </c>
      <c r="L32" s="8"/>
      <c r="M32" s="8" t="str">
        <f>IFERROR(__xludf.DUMMYFUNCTION("""COMPUTED_VALUE"""),"")</f>
        <v/>
      </c>
      <c r="N32" s="8" t="str">
        <f>IFERROR(__xludf.DUMMYFUNCTION("""COMPUTED_VALUE"""),"")</f>
        <v/>
      </c>
      <c r="O32" s="8"/>
      <c r="P32" s="8"/>
    </row>
    <row r="33">
      <c r="A33" s="7" t="s">
        <v>1842</v>
      </c>
      <c r="B33" s="25" t="s">
        <v>154</v>
      </c>
      <c r="C33" s="385" t="s">
        <v>948</v>
      </c>
      <c r="D33" s="385" t="s">
        <v>333</v>
      </c>
      <c r="E33" s="385" t="s">
        <v>771</v>
      </c>
      <c r="F33" s="387" t="s">
        <v>1434</v>
      </c>
      <c r="G33" s="7">
        <v>21.0</v>
      </c>
      <c r="H33" s="386">
        <f>DATE(2023, 3, 30)</f>
        <v>45015</v>
      </c>
      <c r="I33" s="8" t="b">
        <v>0</v>
      </c>
      <c r="J33" s="388" t="str">
        <f>IFERROR(__xludf.DUMMYFUNCTION("""COMPUTED_VALUE"""),"")</f>
        <v/>
      </c>
      <c r="K33" s="8"/>
      <c r="L33" s="387" t="s">
        <v>1435</v>
      </c>
      <c r="M33" s="8" t="str">
        <f>IFERROR(__xludf.DUMMYFUNCTION("""COMPUTED_VALUE"""),"HE Standard Fare [Telepole] Don Quixote")</f>
        <v>HE Standard Fare [Telepole] Don Quixote</v>
      </c>
      <c r="N33" s="8" t="str">
        <f>IFERROR(__xludf.DUMMYFUNCTION("""COMPUTED_VALUE"""),"")</f>
        <v/>
      </c>
      <c r="O33" s="8"/>
      <c r="P33" s="8"/>
    </row>
    <row r="34">
      <c r="A34" s="7" t="s">
        <v>1842</v>
      </c>
      <c r="B34" s="25" t="s">
        <v>153</v>
      </c>
      <c r="C34" s="385" t="s">
        <v>948</v>
      </c>
      <c r="D34" s="385" t="s">
        <v>333</v>
      </c>
      <c r="E34" s="385" t="s">
        <v>771</v>
      </c>
      <c r="F34" s="387" t="s">
        <v>148</v>
      </c>
      <c r="G34" s="7">
        <v>19.0</v>
      </c>
      <c r="H34" s="386">
        <f>DATE(2023, 4, 6)</f>
        <v>45022</v>
      </c>
      <c r="I34" s="7" t="b">
        <v>1</v>
      </c>
      <c r="J34" s="388" t="str">
        <f>IFERROR(__xludf.DUMMYFUNCTION("""COMPUTED_VALUE"""),"[Telepole] Faust")</f>
        <v>[Telepole] Faust</v>
      </c>
      <c r="K34" s="7">
        <v>3.0</v>
      </c>
      <c r="L34" s="387" t="s">
        <v>1856</v>
      </c>
      <c r="M34" s="8" t="str">
        <f>IFERROR(__xludf.DUMMYFUNCTION("""COMPUTED_VALUE"""),"")</f>
        <v/>
      </c>
      <c r="N34" s="8" t="str">
        <f>IFERROR(__xludf.DUMMYFUNCTION("""COMPUTED_VALUE"""),"")</f>
        <v/>
      </c>
      <c r="O34" s="8"/>
      <c r="P34" s="8"/>
    </row>
    <row r="35">
      <c r="A35" s="7" t="s">
        <v>1857</v>
      </c>
      <c r="B35" s="25" t="s">
        <v>154</v>
      </c>
      <c r="C35" s="385" t="s">
        <v>947</v>
      </c>
      <c r="D35" s="385" t="s">
        <v>327</v>
      </c>
      <c r="E35" s="385" t="s">
        <v>1479</v>
      </c>
      <c r="F35" s="387" t="s">
        <v>138</v>
      </c>
      <c r="G35" s="7">
        <v>22.0</v>
      </c>
      <c r="H35" s="386">
        <f t="shared" ref="H35:H36" si="2">DATE(2023, 4, 20)</f>
        <v>45036</v>
      </c>
      <c r="I35" s="8" t="b">
        <v>0</v>
      </c>
      <c r="J35" s="388" t="str">
        <f>IFERROR(__xludf.DUMMYFUNCTION("""COMPUTED_VALUE"""),"")</f>
        <v/>
      </c>
      <c r="K35" s="8"/>
      <c r="L35" s="8"/>
      <c r="M35" s="8" t="str">
        <f>IFERROR(__xludf.DUMMYFUNCTION("""COMPUTED_VALUE"""),"")</f>
        <v/>
      </c>
      <c r="N35" s="8" t="str">
        <f>IFERROR(__xludf.DUMMYFUNCTION("""COMPUTED_VALUE"""),"TETH Season 1 Event Reward [Lifetime Stew] Don Quixote")</f>
        <v>TETH Season 1 Event Reward [Lifetime Stew] Don Quixote</v>
      </c>
      <c r="O35" s="8"/>
      <c r="P35" s="8"/>
    </row>
    <row r="36">
      <c r="A36" s="7" t="s">
        <v>1857</v>
      </c>
      <c r="B36" s="25" t="s">
        <v>160</v>
      </c>
      <c r="C36" s="385" t="s">
        <v>947</v>
      </c>
      <c r="D36" s="385" t="s">
        <v>327</v>
      </c>
      <c r="E36" s="385" t="s">
        <v>1476</v>
      </c>
      <c r="F36" s="387" t="s">
        <v>138</v>
      </c>
      <c r="G36" s="7">
        <v>42.0</v>
      </c>
      <c r="H36" s="386">
        <f t="shared" si="2"/>
        <v>45036</v>
      </c>
      <c r="I36" s="8" t="b">
        <v>0</v>
      </c>
      <c r="J36" s="388" t="str">
        <f>IFERROR(__xludf.DUMMYFUNCTION("""COMPUTED_VALUE"""),"")</f>
        <v/>
      </c>
      <c r="K36" s="8"/>
      <c r="L36" s="387" t="s">
        <v>1858</v>
      </c>
      <c r="M36" s="8" t="str">
        <f>IFERROR(__xludf.DUMMYFUNCTION("""COMPUTED_VALUE"""),"")</f>
        <v/>
      </c>
      <c r="N36" s="8" t="str">
        <f>IFERROR(__xludf.DUMMYFUNCTION("""COMPUTED_VALUE"""),"TETH Season 1 Event [Lifetime Stew] Sinclair")</f>
        <v>TETH Season 1 Event [Lifetime Stew] Sinclair</v>
      </c>
      <c r="O36" s="8"/>
      <c r="P36" s="8"/>
    </row>
    <row r="37">
      <c r="A37" s="7" t="s">
        <v>663</v>
      </c>
      <c r="B37" s="25" t="s">
        <v>12</v>
      </c>
      <c r="C37" s="385" t="s">
        <v>1808</v>
      </c>
      <c r="D37" s="385" t="s">
        <v>333</v>
      </c>
      <c r="E37" s="385" t="s">
        <v>771</v>
      </c>
      <c r="F37" s="387" t="s">
        <v>1434</v>
      </c>
      <c r="G37" s="7">
        <v>15.0</v>
      </c>
      <c r="H37" s="386">
        <f t="shared" ref="H37:H38" si="3">DATE(2023, 5, 18)</f>
        <v>45064</v>
      </c>
      <c r="I37" s="7" t="b">
        <v>1</v>
      </c>
      <c r="J37" s="388" t="str">
        <f>IFERROR(__xludf.DUMMYFUNCTION("""COMPUTED_VALUE"""),"[Dimension Shredder] Yi Sang")</f>
        <v>[Dimension Shredder] Yi Sang</v>
      </c>
      <c r="K37" s="7">
        <v>3.0</v>
      </c>
      <c r="L37" s="387" t="s">
        <v>1776</v>
      </c>
      <c r="M37" s="8" t="str">
        <f>IFERROR(__xludf.DUMMYFUNCTION("""COMPUTED_VALUE"""),"")</f>
        <v/>
      </c>
      <c r="N37" s="8" t="str">
        <f>IFERROR(__xludf.DUMMYFUNCTION("""COMPUTED_VALUE"""),"")</f>
        <v/>
      </c>
      <c r="O37" s="8"/>
      <c r="P37" s="8"/>
    </row>
    <row r="38">
      <c r="A38" s="7" t="s">
        <v>663</v>
      </c>
      <c r="B38" s="25" t="s">
        <v>157</v>
      </c>
      <c r="C38" s="385" t="s">
        <v>1808</v>
      </c>
      <c r="D38" s="385" t="s">
        <v>333</v>
      </c>
      <c r="E38" s="385" t="s">
        <v>771</v>
      </c>
      <c r="F38" s="387" t="s">
        <v>148</v>
      </c>
      <c r="G38" s="7">
        <v>31.0</v>
      </c>
      <c r="H38" s="386">
        <f t="shared" si="3"/>
        <v>45064</v>
      </c>
      <c r="I38" s="8" t="b">
        <v>0</v>
      </c>
      <c r="J38" s="388" t="str">
        <f>IFERROR(__xludf.DUMMYFUNCTION("""COMPUTED_VALUE"""),"")</f>
        <v/>
      </c>
      <c r="K38" s="8"/>
      <c r="L38" s="387" t="s">
        <v>1859</v>
      </c>
      <c r="M38" s="8" t="str">
        <f>IFERROR(__xludf.DUMMYFUNCTION("""COMPUTED_VALUE"""),"HE Standard Fare [Dimension Shredder] Hong Lu")</f>
        <v>HE Standard Fare [Dimension Shredder] Hong Lu</v>
      </c>
      <c r="N38" s="8" t="str">
        <f>IFERROR(__xludf.DUMMYFUNCTION("""COMPUTED_VALUE"""),"")</f>
        <v/>
      </c>
      <c r="O38" s="8"/>
      <c r="P38" s="8"/>
    </row>
    <row r="39">
      <c r="A39" s="7" t="s">
        <v>1860</v>
      </c>
      <c r="B39" s="25" t="s">
        <v>156</v>
      </c>
      <c r="C39" s="385" t="s">
        <v>969</v>
      </c>
      <c r="D39" s="385" t="s">
        <v>333</v>
      </c>
      <c r="E39" s="385" t="s">
        <v>1861</v>
      </c>
      <c r="F39" s="387" t="s">
        <v>1662</v>
      </c>
      <c r="G39" s="7">
        <v>29.0</v>
      </c>
      <c r="H39" s="386">
        <f t="shared" ref="H39:H40" si="4">DATE(2023, 6, 1)</f>
        <v>45078</v>
      </c>
      <c r="I39" s="8" t="b">
        <v>0</v>
      </c>
      <c r="J39" s="388" t="str">
        <f>IFERROR(__xludf.DUMMYFUNCTION("""COMPUTED_VALUE"""),"")</f>
        <v/>
      </c>
      <c r="K39" s="7" t="s">
        <v>1597</v>
      </c>
      <c r="L39" s="387" t="s">
        <v>1862</v>
      </c>
      <c r="M39" s="8" t="str">
        <f>IFERROR(__xludf.DUMMYFUNCTION("""COMPUTED_VALUE"""),"")</f>
        <v/>
      </c>
      <c r="N39" s="8" t="str">
        <f>IFERROR(__xludf.DUMMYFUNCTION("""COMPUTED_VALUE"""),"HE Season 2 BP [Capote] Meursault")</f>
        <v>HE Season 2 BP [Capote] Meursault</v>
      </c>
      <c r="O39" s="8"/>
      <c r="P39" s="8"/>
    </row>
    <row r="40">
      <c r="A40" s="7" t="s">
        <v>1860</v>
      </c>
      <c r="B40" s="25" t="s">
        <v>122</v>
      </c>
      <c r="C40" s="385" t="s">
        <v>969</v>
      </c>
      <c r="D40" s="385" t="s">
        <v>327</v>
      </c>
      <c r="E40" s="385" t="s">
        <v>1861</v>
      </c>
      <c r="F40" s="387" t="s">
        <v>1662</v>
      </c>
      <c r="G40" s="7">
        <v>38.0</v>
      </c>
      <c r="H40" s="386">
        <f t="shared" si="4"/>
        <v>45078</v>
      </c>
      <c r="I40" s="8" t="b">
        <v>0</v>
      </c>
      <c r="J40" s="388" t="str">
        <f>IFERROR(__xludf.DUMMYFUNCTION("""COMPUTED_VALUE"""),"")</f>
        <v/>
      </c>
      <c r="K40" s="7" t="s">
        <v>1597</v>
      </c>
      <c r="L40" s="387" t="s">
        <v>1863</v>
      </c>
      <c r="M40" s="8" t="str">
        <f>IFERROR(__xludf.DUMMYFUNCTION("""COMPUTED_VALUE"""),"")</f>
        <v/>
      </c>
      <c r="N40" s="8" t="str">
        <f>IFERROR(__xludf.DUMMYFUNCTION("""COMPUTED_VALUE"""),"TETH Season 2 BP [Capote] Ishmael")</f>
        <v>TETH Season 2 BP [Capote] Ishmael</v>
      </c>
      <c r="O40" s="8"/>
      <c r="P40" s="8"/>
    </row>
    <row r="41">
      <c r="A41" s="7" t="s">
        <v>1864</v>
      </c>
      <c r="B41" s="25" t="s">
        <v>158</v>
      </c>
      <c r="C41" s="385" t="s">
        <v>970</v>
      </c>
      <c r="D41" s="385" t="s">
        <v>327</v>
      </c>
      <c r="E41" s="385" t="s">
        <v>1861</v>
      </c>
      <c r="F41" s="387" t="s">
        <v>148</v>
      </c>
      <c r="G41" s="7">
        <v>34.0</v>
      </c>
      <c r="H41" s="386">
        <f t="shared" ref="H41:H42" si="5">DATE(2023, 6, 8)</f>
        <v>45085</v>
      </c>
      <c r="I41" s="8" t="b">
        <v>0</v>
      </c>
      <c r="J41" s="388" t="str">
        <f>IFERROR(__xludf.DUMMYFUNCTION("""COMPUTED_VALUE"""),"")</f>
        <v/>
      </c>
      <c r="K41" s="8"/>
      <c r="L41" s="387" t="s">
        <v>1865</v>
      </c>
      <c r="M41" s="8" t="str">
        <f>IFERROR(__xludf.DUMMYFUNCTION("""COMPUTED_VALUE"""),"")</f>
        <v/>
      </c>
      <c r="N41" s="8" t="str">
        <f>IFERROR(__xludf.DUMMYFUNCTION("""COMPUTED_VALUE"""),"TETH Season 2 BP [AEDD] Heathcliff")</f>
        <v>TETH Season 2 BP [AEDD] Heathcliff</v>
      </c>
      <c r="O41" s="8"/>
      <c r="P41" s="8"/>
    </row>
    <row r="42">
      <c r="A42" s="7" t="s">
        <v>1866</v>
      </c>
      <c r="B42" s="25" t="s">
        <v>161</v>
      </c>
      <c r="C42" s="385" t="s">
        <v>1822</v>
      </c>
      <c r="D42" s="385" t="s">
        <v>327</v>
      </c>
      <c r="E42" s="385" t="s">
        <v>1861</v>
      </c>
      <c r="F42" s="387" t="s">
        <v>1867</v>
      </c>
      <c r="G42" s="7">
        <v>46.0</v>
      </c>
      <c r="H42" s="386">
        <f t="shared" si="5"/>
        <v>45085</v>
      </c>
      <c r="I42" s="8" t="b">
        <v>0</v>
      </c>
      <c r="J42" s="388" t="str">
        <f>IFERROR(__xludf.DUMMYFUNCTION("""COMPUTED_VALUE"""),"")</f>
        <v/>
      </c>
      <c r="K42" s="8"/>
      <c r="L42" s="387" t="s">
        <v>1868</v>
      </c>
      <c r="M42" s="8" t="str">
        <f>IFERROR(__xludf.DUMMYFUNCTION("""COMPUTED_VALUE"""),"")</f>
        <v/>
      </c>
      <c r="N42" s="8" t="str">
        <f>IFERROR(__xludf.DUMMYFUNCTION("""COMPUTED_VALUE"""),"TETH Season 2 BP [Sunshower] Outis")</f>
        <v>TETH Season 2 BP [Sunshower] Outis</v>
      </c>
      <c r="O42" s="8"/>
      <c r="P42" s="8"/>
    </row>
    <row r="43">
      <c r="A43" s="7" t="s">
        <v>1866</v>
      </c>
      <c r="B43" s="25" t="s">
        <v>12</v>
      </c>
      <c r="C43" s="385" t="s">
        <v>1805</v>
      </c>
      <c r="D43" s="385" t="s">
        <v>342</v>
      </c>
      <c r="E43" s="385" t="s">
        <v>1861</v>
      </c>
      <c r="F43" s="8"/>
      <c r="G43" s="7">
        <v>16.0</v>
      </c>
      <c r="H43" s="386">
        <f t="shared" ref="H43:H44" si="6">DATE(2023, 6, 15
)</f>
        <v>45092</v>
      </c>
      <c r="I43" s="7" t="b">
        <v>1</v>
      </c>
      <c r="J43" s="388" t="str">
        <f>IFERROR(__xludf.DUMMYFUNCTION("""COMPUTED_VALUE"""),"[Sunshower] Yi Sang")</f>
        <v>[Sunshower] Yi Sang</v>
      </c>
      <c r="K43" s="7">
        <v>3.0</v>
      </c>
      <c r="L43" s="387" t="s">
        <v>1869</v>
      </c>
      <c r="M43" s="8" t="str">
        <f>IFERROR(__xludf.DUMMYFUNCTION("""COMPUTED_VALUE"""),"")</f>
        <v/>
      </c>
      <c r="N43" s="8" t="str">
        <f>IFERROR(__xludf.DUMMYFUNCTION("""COMPUTED_VALUE"""),"")</f>
        <v/>
      </c>
      <c r="O43" s="8"/>
      <c r="P43" s="8"/>
    </row>
    <row r="44">
      <c r="A44" s="7" t="s">
        <v>1864</v>
      </c>
      <c r="B44" s="25" t="s">
        <v>162</v>
      </c>
      <c r="C44" s="385" t="s">
        <v>970</v>
      </c>
      <c r="D44" s="385" t="s">
        <v>333</v>
      </c>
      <c r="E44" s="385" t="s">
        <v>1861</v>
      </c>
      <c r="F44" s="387" t="s">
        <v>148</v>
      </c>
      <c r="G44" s="7">
        <v>49.0</v>
      </c>
      <c r="H44" s="386">
        <f t="shared" si="6"/>
        <v>45092</v>
      </c>
      <c r="I44" s="8" t="b">
        <v>0</v>
      </c>
      <c r="J44" s="388" t="str">
        <f>IFERROR(__xludf.DUMMYFUNCTION("""COMPUTED_VALUE"""),"")</f>
        <v/>
      </c>
      <c r="K44" s="8"/>
      <c r="L44" s="8"/>
      <c r="M44" s="8" t="str">
        <f>IFERROR(__xludf.DUMMYFUNCTION("""COMPUTED_VALUE"""),"")</f>
        <v/>
      </c>
      <c r="N44" s="8" t="str">
        <f>IFERROR(__xludf.DUMMYFUNCTION("""COMPUTED_VALUE"""),"HE Season 2 BP [AEDD] Gregor")</f>
        <v>HE Season 2 BP [AEDD] Gregor</v>
      </c>
      <c r="O44" s="8"/>
      <c r="P44" s="8"/>
    </row>
    <row r="45">
      <c r="A45" s="7" t="s">
        <v>1870</v>
      </c>
      <c r="B45" s="25" t="s">
        <v>155</v>
      </c>
      <c r="C45" s="385" t="s">
        <v>947</v>
      </c>
      <c r="D45" s="385" t="s">
        <v>327</v>
      </c>
      <c r="E45" s="385" t="s">
        <v>771</v>
      </c>
      <c r="F45" s="8"/>
      <c r="G45" s="7">
        <v>24.0</v>
      </c>
      <c r="H45" s="386">
        <f t="shared" ref="H45:H46" si="7">DATE(2023, 6, 29)</f>
        <v>45106</v>
      </c>
      <c r="I45" s="8" t="b">
        <v>0</v>
      </c>
      <c r="J45" s="388" t="str">
        <f>IFERROR(__xludf.DUMMYFUNCTION("""COMPUTED_VALUE"""),"")</f>
        <v/>
      </c>
      <c r="K45" s="8"/>
      <c r="L45" s="387" t="s">
        <v>1871</v>
      </c>
      <c r="M45" s="8" t="str">
        <f>IFERROR(__xludf.DUMMYFUNCTION("""COMPUTED_VALUE"""),"TETH Standard Fare [Red Eyes] Ryoshu")</f>
        <v>TETH Standard Fare [Red Eyes] Ryoshu</v>
      </c>
      <c r="N45" s="8" t="str">
        <f>IFERROR(__xludf.DUMMYFUNCTION("""COMPUTED_VALUE"""),"")</f>
        <v/>
      </c>
      <c r="O45" s="8"/>
      <c r="P45" s="8"/>
    </row>
    <row r="46">
      <c r="A46" s="7" t="s">
        <v>1872</v>
      </c>
      <c r="B46" s="25" t="s">
        <v>155</v>
      </c>
      <c r="C46" s="385" t="s">
        <v>948</v>
      </c>
      <c r="D46" s="385" t="s">
        <v>333</v>
      </c>
      <c r="E46" s="385" t="s">
        <v>771</v>
      </c>
      <c r="F46" s="8"/>
      <c r="G46" s="7">
        <v>25.0</v>
      </c>
      <c r="H46" s="386">
        <f t="shared" si="7"/>
        <v>45106</v>
      </c>
      <c r="I46" s="8" t="b">
        <v>0</v>
      </c>
      <c r="J46" s="388" t="str">
        <f>IFERROR(__xludf.DUMMYFUNCTION("""COMPUTED_VALUE"""),"")</f>
        <v/>
      </c>
      <c r="K46" s="8"/>
      <c r="L46" s="387" t="s">
        <v>1873</v>
      </c>
      <c r="M46" s="8" t="str">
        <f>IFERROR(__xludf.DUMMYFUNCTION("""COMPUTED_VALUE"""),"HE Standard Fare [Red Eyes (Open)] Ryoshu")</f>
        <v>HE Standard Fare [Red Eyes (Open)] Ryoshu</v>
      </c>
      <c r="N46" s="8" t="str">
        <f>IFERROR(__xludf.DUMMYFUNCTION("""COMPUTED_VALUE"""),"")</f>
        <v/>
      </c>
      <c r="O46" s="8"/>
      <c r="P46" s="8"/>
    </row>
    <row r="47">
      <c r="A47" s="7" t="s">
        <v>1874</v>
      </c>
      <c r="B47" s="25" t="s">
        <v>155</v>
      </c>
      <c r="C47" s="385" t="s">
        <v>970</v>
      </c>
      <c r="D47" s="385" t="s">
        <v>319</v>
      </c>
      <c r="E47" s="385" t="s">
        <v>1514</v>
      </c>
      <c r="F47" s="387" t="s">
        <v>134</v>
      </c>
      <c r="G47" s="7">
        <v>26.0</v>
      </c>
      <c r="H47" s="386">
        <f t="shared" ref="H47:H48" si="8">DATE(2023, 7, 27)</f>
        <v>45134</v>
      </c>
      <c r="I47" s="8" t="b">
        <v>0</v>
      </c>
      <c r="J47" s="388" t="str">
        <f>IFERROR(__xludf.DUMMYFUNCTION("""COMPUTED_VALUE"""),"")</f>
        <v/>
      </c>
      <c r="K47" s="8"/>
      <c r="L47" s="387" t="s">
        <v>1875</v>
      </c>
      <c r="M47" s="8" t="str">
        <f>IFERROR(__xludf.DUMMYFUNCTION("""COMPUTED_VALUE"""),"")</f>
        <v/>
      </c>
      <c r="N47" s="8" t="str">
        <f>IFERROR(__xludf.DUMMYFUNCTION("""COMPUTED_VALUE"""),"ZAYIN Season 2 Event Reward [Soda] Ryoshu")</f>
        <v>ZAYIN Season 2 Event Reward [Soda] Ryoshu</v>
      </c>
      <c r="O47" s="8"/>
      <c r="P47" s="8"/>
    </row>
    <row r="48">
      <c r="A48" s="7" t="s">
        <v>1874</v>
      </c>
      <c r="B48" s="25" t="s">
        <v>157</v>
      </c>
      <c r="C48" s="385" t="s">
        <v>948</v>
      </c>
      <c r="D48" s="385" t="s">
        <v>327</v>
      </c>
      <c r="E48" s="385" t="s">
        <v>1512</v>
      </c>
      <c r="F48" s="387" t="s">
        <v>123</v>
      </c>
      <c r="G48" s="7">
        <v>32.0</v>
      </c>
      <c r="H48" s="386">
        <f t="shared" si="8"/>
        <v>45134</v>
      </c>
      <c r="I48" s="8" t="b">
        <v>0</v>
      </c>
      <c r="J48" s="388" t="str">
        <f>IFERROR(__xludf.DUMMYFUNCTION("""COMPUTED_VALUE"""),"")</f>
        <v/>
      </c>
      <c r="K48" s="8"/>
      <c r="L48" s="387" t="s">
        <v>1545</v>
      </c>
      <c r="M48" s="8" t="str">
        <f>IFERROR(__xludf.DUMMYFUNCTION("""COMPUTED_VALUE"""),"")</f>
        <v/>
      </c>
      <c r="N48" s="8" t="str">
        <f>IFERROR(__xludf.DUMMYFUNCTION("""COMPUTED_VALUE"""),"TETH Season 2 Event [Soda] Hong Lu")</f>
        <v>TETH Season 2 Event [Soda] Hong Lu</v>
      </c>
      <c r="O48" s="8"/>
      <c r="P48" s="8"/>
    </row>
    <row r="49">
      <c r="A49" s="7" t="s">
        <v>717</v>
      </c>
      <c r="B49" s="25" t="s">
        <v>160</v>
      </c>
      <c r="C49" s="385" t="s">
        <v>1822</v>
      </c>
      <c r="D49" s="385" t="s">
        <v>333</v>
      </c>
      <c r="E49" s="385" t="s">
        <v>771</v>
      </c>
      <c r="F49" s="387" t="s">
        <v>752</v>
      </c>
      <c r="G49" s="7">
        <v>43.0</v>
      </c>
      <c r="H49" s="386">
        <f>DATE(2023, 10, 5)</f>
        <v>45204</v>
      </c>
      <c r="I49" s="8" t="b">
        <v>0</v>
      </c>
      <c r="J49" s="388" t="str">
        <f>IFERROR(__xludf.DUMMYFUNCTION("""COMPUTED_VALUE"""),"")</f>
        <v/>
      </c>
      <c r="K49" s="8"/>
      <c r="L49" s="387" t="s">
        <v>1522</v>
      </c>
      <c r="M49" s="8" t="str">
        <f>IFERROR(__xludf.DUMMYFUNCTION("""COMPUTED_VALUE"""),"HE Standard Fare [Lantern] Sinclair")</f>
        <v>HE Standard Fare [Lantern] Sinclair</v>
      </c>
      <c r="N49" s="8" t="str">
        <f>IFERROR(__xludf.DUMMYFUNCTION("""COMPUTED_VALUE"""),"")</f>
        <v/>
      </c>
      <c r="O49" s="8"/>
      <c r="P49" s="8"/>
    </row>
    <row r="50">
      <c r="A50" s="7" t="s">
        <v>1851</v>
      </c>
      <c r="B50" s="25" t="s">
        <v>158</v>
      </c>
      <c r="C50" s="385" t="s">
        <v>947</v>
      </c>
      <c r="D50" s="385" t="s">
        <v>333</v>
      </c>
      <c r="E50" s="385" t="s">
        <v>771</v>
      </c>
      <c r="F50" s="8"/>
      <c r="G50" s="7">
        <v>35.0</v>
      </c>
      <c r="H50" s="386">
        <f>DATE(2023, 10, 12)</f>
        <v>45211</v>
      </c>
      <c r="I50" s="8" t="b">
        <v>0</v>
      </c>
      <c r="J50" s="388" t="str">
        <f>IFERROR(__xludf.DUMMYFUNCTION("""COMPUTED_VALUE"""),"")</f>
        <v/>
      </c>
      <c r="K50" s="8"/>
      <c r="L50" s="387" t="s">
        <v>1876</v>
      </c>
      <c r="M50" s="8" t="str">
        <f>IFERROR(__xludf.DUMMYFUNCTION("""COMPUTED_VALUE"""),"HE Standard Fare [Ya Śūnyatā Tad Rūpam] Heathcliff")</f>
        <v>HE Standard Fare [Ya Śūnyatā Tad Rūpam] Heathcliff</v>
      </c>
      <c r="N50" s="8" t="str">
        <f>IFERROR(__xludf.DUMMYFUNCTION("""COMPUTED_VALUE"""),"")</f>
        <v/>
      </c>
      <c r="O50" s="8"/>
      <c r="P50" s="8"/>
    </row>
    <row r="51">
      <c r="A51" s="7" t="s">
        <v>1877</v>
      </c>
      <c r="B51" s="25" t="s">
        <v>156</v>
      </c>
      <c r="C51" s="385" t="s">
        <v>969</v>
      </c>
      <c r="D51" s="385" t="s">
        <v>327</v>
      </c>
      <c r="E51" s="385" t="s">
        <v>1551</v>
      </c>
      <c r="F51" s="387" t="s">
        <v>123</v>
      </c>
      <c r="G51" s="7">
        <v>50.0</v>
      </c>
      <c r="H51" s="386">
        <f>DATE(2023, 10, 26)</f>
        <v>45225</v>
      </c>
      <c r="I51" s="7" t="b">
        <v>1</v>
      </c>
      <c r="J51" s="388" t="str">
        <f>IFERROR(__xludf.DUMMYFUNCTION("""COMPUTED_VALUE"""),"[Regret] Meursault")</f>
        <v>[Regret] Meursault</v>
      </c>
      <c r="K51" s="7">
        <v>3.0</v>
      </c>
      <c r="L51" s="387" t="s">
        <v>1878</v>
      </c>
      <c r="M51" s="8" t="str">
        <f>IFERROR(__xludf.DUMMYFUNCTION("""COMPUTED_VALUE"""),"")</f>
        <v/>
      </c>
      <c r="N51" s="8" t="str">
        <f>IFERROR(__xludf.DUMMYFUNCTION("""COMPUTED_VALUE"""),"")</f>
        <v/>
      </c>
      <c r="O51" s="8"/>
      <c r="P51" s="8"/>
    </row>
    <row r="52">
      <c r="A52" s="7" t="s">
        <v>1879</v>
      </c>
      <c r="B52" s="25" t="s">
        <v>157</v>
      </c>
      <c r="C52" s="385" t="s">
        <v>1822</v>
      </c>
      <c r="D52" s="385" t="s">
        <v>333</v>
      </c>
      <c r="E52" s="385" t="s">
        <v>1880</v>
      </c>
      <c r="F52" s="387" t="s">
        <v>752</v>
      </c>
      <c r="G52" s="7">
        <v>51.0</v>
      </c>
      <c r="H52" s="386">
        <f t="shared" ref="H52:H53" si="9">DATE(2023, 11, 23)</f>
        <v>45253</v>
      </c>
      <c r="I52" s="8" t="b">
        <v>0</v>
      </c>
      <c r="J52" s="388" t="str">
        <f>IFERROR(__xludf.DUMMYFUNCTION("""COMPUTED_VALUE"""),"")</f>
        <v/>
      </c>
      <c r="K52" s="8"/>
      <c r="L52" s="387" t="s">
        <v>1881</v>
      </c>
      <c r="M52" s="8" t="str">
        <f>IFERROR(__xludf.DUMMYFUNCTION("""COMPUTED_VALUE"""),"")</f>
        <v/>
      </c>
      <c r="N52" s="8" t="str">
        <f>IFERROR(__xludf.DUMMYFUNCTION("""COMPUTED_VALUE"""),"HE Season 3 BP [Effervescent Corrosion] Hong Lu")</f>
        <v>HE Season 3 BP [Effervescent Corrosion] Hong Lu</v>
      </c>
      <c r="O52" s="8"/>
      <c r="P52" s="8"/>
    </row>
    <row r="53">
      <c r="A53" s="7" t="s">
        <v>1882</v>
      </c>
      <c r="B53" s="25" t="s">
        <v>153</v>
      </c>
      <c r="C53" s="385" t="s">
        <v>947</v>
      </c>
      <c r="D53" s="385" t="s">
        <v>327</v>
      </c>
      <c r="E53" s="385" t="s">
        <v>1880</v>
      </c>
      <c r="F53" s="387" t="s">
        <v>138</v>
      </c>
      <c r="G53" s="7">
        <v>52.0</v>
      </c>
      <c r="H53" s="386">
        <f t="shared" si="9"/>
        <v>45253</v>
      </c>
      <c r="I53" s="8" t="b">
        <v>0</v>
      </c>
      <c r="J53" s="388" t="str">
        <f>IFERROR(__xludf.DUMMYFUNCTION("""COMPUTED_VALUE"""),"")</f>
        <v/>
      </c>
      <c r="K53" s="8"/>
      <c r="L53" s="387" t="s">
        <v>1883</v>
      </c>
      <c r="M53" s="8" t="str">
        <f>IFERROR(__xludf.DUMMYFUNCTION("""COMPUTED_VALUE"""),"")</f>
        <v/>
      </c>
      <c r="N53" s="8" t="str">
        <f>IFERROR(__xludf.DUMMYFUNCTION("""COMPUTED_VALUE"""),"TETH Season 3 BP [9:2] Faust")</f>
        <v>TETH Season 3 BP [9:2] Faust</v>
      </c>
      <c r="O53" s="8"/>
      <c r="P53" s="8"/>
    </row>
    <row r="54">
      <c r="A54" s="7" t="s">
        <v>1879</v>
      </c>
      <c r="B54" s="25" t="s">
        <v>159</v>
      </c>
      <c r="C54" s="385" t="s">
        <v>1822</v>
      </c>
      <c r="D54" s="385" t="s">
        <v>327</v>
      </c>
      <c r="E54" s="385" t="s">
        <v>1880</v>
      </c>
      <c r="F54" s="387" t="s">
        <v>123</v>
      </c>
      <c r="G54" s="7">
        <v>53.0</v>
      </c>
      <c r="H54" s="386">
        <f t="shared" ref="H54:H57" si="10">DATE(2023, 11, 30)</f>
        <v>45260</v>
      </c>
      <c r="I54" s="8" t="b">
        <v>0</v>
      </c>
      <c r="J54" s="388" t="str">
        <f>IFERROR(__xludf.DUMMYFUNCTION("""COMPUTED_VALUE"""),"")</f>
        <v/>
      </c>
      <c r="K54" s="8"/>
      <c r="L54" s="387" t="s">
        <v>1884</v>
      </c>
      <c r="M54" s="8" t="str">
        <f>IFERROR(__xludf.DUMMYFUNCTION("""COMPUTED_VALUE"""),"")</f>
        <v/>
      </c>
      <c r="N54" s="8" t="str">
        <f>IFERROR(__xludf.DUMMYFUNCTION("""COMPUTED_VALUE"""),"TETH Season 3 BP [Effervescent Corrosion] Rodion")</f>
        <v>TETH Season 3 BP [Effervescent Corrosion] Rodion</v>
      </c>
      <c r="O54" s="8"/>
      <c r="P54" s="8"/>
    </row>
    <row r="55">
      <c r="A55" s="7" t="s">
        <v>1882</v>
      </c>
      <c r="B55" s="25" t="s">
        <v>160</v>
      </c>
      <c r="C55" s="385" t="s">
        <v>947</v>
      </c>
      <c r="D55" s="385" t="s">
        <v>333</v>
      </c>
      <c r="E55" s="385" t="s">
        <v>1880</v>
      </c>
      <c r="F55" s="387" t="s">
        <v>138</v>
      </c>
      <c r="G55" s="7">
        <v>54.0</v>
      </c>
      <c r="H55" s="386">
        <f t="shared" si="10"/>
        <v>45260</v>
      </c>
      <c r="I55" s="8" t="b">
        <v>0</v>
      </c>
      <c r="J55" s="388" t="str">
        <f>IFERROR(__xludf.DUMMYFUNCTION("""COMPUTED_VALUE"""),"")</f>
        <v/>
      </c>
      <c r="K55" s="8"/>
      <c r="L55" s="387" t="s">
        <v>1885</v>
      </c>
      <c r="M55" s="8" t="str">
        <f>IFERROR(__xludf.DUMMYFUNCTION("""COMPUTED_VALUE"""),"")</f>
        <v/>
      </c>
      <c r="N55" s="8" t="str">
        <f>IFERROR(__xludf.DUMMYFUNCTION("""COMPUTED_VALUE"""),"HE Season 3 BP [9:2] Sinclair")</f>
        <v>HE Season 3 BP [9:2] Sinclair</v>
      </c>
      <c r="O55" s="8"/>
      <c r="P55" s="8"/>
    </row>
    <row r="56">
      <c r="A56" s="7" t="s">
        <v>705</v>
      </c>
      <c r="B56" s="25" t="s">
        <v>155</v>
      </c>
      <c r="C56" s="385" t="s">
        <v>1808</v>
      </c>
      <c r="D56" s="385" t="s">
        <v>327</v>
      </c>
      <c r="E56" s="385" t="s">
        <v>1880</v>
      </c>
      <c r="F56" s="387" t="s">
        <v>1886</v>
      </c>
      <c r="G56" s="7">
        <v>55.0</v>
      </c>
      <c r="H56" s="386">
        <f t="shared" si="10"/>
        <v>45260</v>
      </c>
      <c r="I56" s="8" t="b">
        <v>0</v>
      </c>
      <c r="J56" s="388" t="str">
        <f>IFERROR(__xludf.DUMMYFUNCTION("""COMPUTED_VALUE"""),"")</f>
        <v/>
      </c>
      <c r="K56" s="8"/>
      <c r="L56" s="8"/>
      <c r="M56" s="8" t="str">
        <f>IFERROR(__xludf.DUMMYFUNCTION("""COMPUTED_VALUE"""),"")</f>
        <v/>
      </c>
      <c r="N56" s="8" t="str">
        <f>IFERROR(__xludf.DUMMYFUNCTION("""COMPUTED_VALUE"""),"TETH Season 3 BP [Blind Obsession] Ryoshu")</f>
        <v>TETH Season 3 BP [Blind Obsession] Ryoshu</v>
      </c>
      <c r="O56" s="8"/>
      <c r="P56" s="8"/>
    </row>
    <row r="57">
      <c r="A57" s="7" t="s">
        <v>705</v>
      </c>
      <c r="B57" s="25" t="s">
        <v>122</v>
      </c>
      <c r="C57" s="385" t="s">
        <v>1808</v>
      </c>
      <c r="D57" s="385" t="s">
        <v>342</v>
      </c>
      <c r="E57" s="385" t="s">
        <v>1880</v>
      </c>
      <c r="F57" s="387" t="s">
        <v>1887</v>
      </c>
      <c r="G57" s="7">
        <v>56.0</v>
      </c>
      <c r="H57" s="386">
        <f t="shared" si="10"/>
        <v>45260</v>
      </c>
      <c r="I57" s="7" t="b">
        <v>1</v>
      </c>
      <c r="J57" s="388" t="str">
        <f>IFERROR(__xludf.DUMMYFUNCTION("""COMPUTED_VALUE"""),"[Blind Obsession] Ishmael")</f>
        <v>[Blind Obsession] Ishmael</v>
      </c>
      <c r="K57" s="7">
        <v>3.0</v>
      </c>
      <c r="L57" s="387" t="s">
        <v>1888</v>
      </c>
      <c r="M57" s="8" t="str">
        <f>IFERROR(__xludf.DUMMYFUNCTION("""COMPUTED_VALUE"""),"")</f>
        <v/>
      </c>
      <c r="N57" s="8" t="str">
        <f>IFERROR(__xludf.DUMMYFUNCTION("""COMPUTED_VALUE"""),"")</f>
        <v/>
      </c>
      <c r="O57" s="8"/>
      <c r="P57" s="8"/>
    </row>
    <row r="58">
      <c r="A58" s="7" t="s">
        <v>1838</v>
      </c>
      <c r="B58" s="25" t="s">
        <v>159</v>
      </c>
      <c r="C58" s="385" t="s">
        <v>1805</v>
      </c>
      <c r="D58" s="385" t="s">
        <v>333</v>
      </c>
      <c r="E58" s="385" t="s">
        <v>771</v>
      </c>
      <c r="F58" s="387"/>
      <c r="G58" s="7">
        <v>57.0</v>
      </c>
      <c r="H58" s="386">
        <f>DATE(2023, 12, 14)</f>
        <v>45274</v>
      </c>
      <c r="I58" s="8" t="b">
        <v>0</v>
      </c>
      <c r="J58" s="388" t="str">
        <f>IFERROR(__xludf.DUMMYFUNCTION("""COMPUTED_VALUE"""),"")</f>
        <v/>
      </c>
      <c r="K58" s="8"/>
      <c r="L58" s="387" t="s">
        <v>1889</v>
      </c>
      <c r="M58" s="8" t="str">
        <f>IFERROR(__xludf.DUMMYFUNCTION("""COMPUTED_VALUE"""),"HE Standard Fare [Pursuance] Rodion")</f>
        <v>HE Standard Fare [Pursuance] Rodion</v>
      </c>
      <c r="N58" s="8" t="str">
        <f>IFERROR(__xludf.DUMMYFUNCTION("""COMPUTED_VALUE"""),"")</f>
        <v/>
      </c>
      <c r="O58" s="8"/>
      <c r="P58" s="8"/>
    </row>
    <row r="59">
      <c r="A59" s="7" t="s">
        <v>1890</v>
      </c>
      <c r="B59" s="25" t="s">
        <v>158</v>
      </c>
      <c r="C59" s="385" t="s">
        <v>1822</v>
      </c>
      <c r="D59" s="385" t="s">
        <v>319</v>
      </c>
      <c r="E59" s="385" t="s">
        <v>1562</v>
      </c>
      <c r="F59" s="387" t="s">
        <v>1891</v>
      </c>
      <c r="G59" s="7">
        <v>58.0</v>
      </c>
      <c r="H59" s="386">
        <f t="shared" ref="H59:H60" si="11">DATE(2023, 12, 28)</f>
        <v>45288</v>
      </c>
      <c r="I59" s="8" t="b">
        <v>0</v>
      </c>
      <c r="J59" s="388" t="str">
        <f>IFERROR(__xludf.DUMMYFUNCTION("""COMPUTED_VALUE"""),"")</f>
        <v/>
      </c>
      <c r="K59" s="8"/>
      <c r="L59" s="387" t="s">
        <v>1892</v>
      </c>
      <c r="M59" s="8" t="str">
        <f>IFERROR(__xludf.DUMMYFUNCTION("""COMPUTED_VALUE"""),"")</f>
        <v/>
      </c>
      <c r="N59" s="8" t="str">
        <f>IFERROR(__xludf.DUMMYFUNCTION("""COMPUTED_VALUE"""),"ZAYIN Season 3 Event Reward [Holiday] Heathcliff")</f>
        <v>ZAYIN Season 3 Event Reward [Holiday] Heathcliff</v>
      </c>
      <c r="O59" s="8"/>
      <c r="P59" s="8"/>
    </row>
    <row r="60">
      <c r="A60" s="7" t="s">
        <v>1890</v>
      </c>
      <c r="B60" s="25" t="s">
        <v>161</v>
      </c>
      <c r="C60" s="385" t="s">
        <v>969</v>
      </c>
      <c r="D60" s="385" t="s">
        <v>333</v>
      </c>
      <c r="E60" s="385" t="s">
        <v>1559</v>
      </c>
      <c r="F60" s="387" t="s">
        <v>1827</v>
      </c>
      <c r="G60" s="7">
        <v>59.0</v>
      </c>
      <c r="H60" s="386">
        <f t="shared" si="11"/>
        <v>45288</v>
      </c>
      <c r="I60" s="8" t="b">
        <v>0</v>
      </c>
      <c r="J60" s="388" t="str">
        <f>IFERROR(__xludf.DUMMYFUNCTION("""COMPUTED_VALUE"""),"")</f>
        <v/>
      </c>
      <c r="K60" s="8"/>
      <c r="L60" s="387" t="s">
        <v>1495</v>
      </c>
      <c r="M60" s="8" t="str">
        <f>IFERROR(__xludf.DUMMYFUNCTION("""COMPUTED_VALUE"""),"")</f>
        <v/>
      </c>
      <c r="N60" s="8" t="str">
        <f>IFERROR(__xludf.DUMMYFUNCTION("""COMPUTED_VALUE"""),"HE Season 3 Event [Holiday] Outis")</f>
        <v>HE Season 3 Event [Holiday] Outis</v>
      </c>
      <c r="O60" s="8"/>
      <c r="P60" s="8"/>
    </row>
    <row r="61">
      <c r="A61" s="7" t="s">
        <v>1831</v>
      </c>
      <c r="B61" s="25" t="s">
        <v>154</v>
      </c>
      <c r="C61" s="385" t="s">
        <v>1805</v>
      </c>
      <c r="D61" s="385" t="s">
        <v>327</v>
      </c>
      <c r="E61" s="385" t="s">
        <v>771</v>
      </c>
      <c r="F61" s="387" t="s">
        <v>1893</v>
      </c>
      <c r="G61" s="7">
        <v>60.0</v>
      </c>
      <c r="H61" s="386">
        <f>DATE(2024, 2, 15)</f>
        <v>45337</v>
      </c>
      <c r="I61" s="7" t="b">
        <v>1</v>
      </c>
      <c r="J61" s="388" t="str">
        <f>IFERROR(__xludf.DUMMYFUNCTION("""COMPUTED_VALUE"""),"[Wishing Cairn] Don Quixote")</f>
        <v>[Wishing Cairn] Don Quixote</v>
      </c>
      <c r="K61" s="7">
        <v>3.0</v>
      </c>
      <c r="L61" s="387" t="s">
        <v>1855</v>
      </c>
      <c r="M61" s="8" t="str">
        <f>IFERROR(__xludf.DUMMYFUNCTION("""COMPUTED_VALUE"""),"")</f>
        <v/>
      </c>
      <c r="N61" s="8" t="str">
        <f>IFERROR(__xludf.DUMMYFUNCTION("""COMPUTED_VALUE"""),"")</f>
        <v/>
      </c>
      <c r="O61" s="8"/>
      <c r="P61" s="8"/>
    </row>
    <row r="62">
      <c r="A62" s="7" t="s">
        <v>1894</v>
      </c>
      <c r="B62" s="25" t="s">
        <v>162</v>
      </c>
      <c r="C62" s="385" t="s">
        <v>947</v>
      </c>
      <c r="D62" s="385" t="s">
        <v>342</v>
      </c>
      <c r="E62" s="385" t="s">
        <v>1895</v>
      </c>
      <c r="F62" s="387" t="s">
        <v>752</v>
      </c>
      <c r="G62" s="7">
        <v>61.0</v>
      </c>
      <c r="H62" s="386">
        <f>DATE(2024, 3, 14)</f>
        <v>45365</v>
      </c>
      <c r="I62" s="8" t="b">
        <v>0</v>
      </c>
      <c r="J62" s="388" t="str">
        <f>IFERROR(__xludf.DUMMYFUNCTION("""COMPUTED_VALUE"""),"")</f>
        <v/>
      </c>
      <c r="K62" s="8"/>
      <c r="L62" s="387" t="s">
        <v>1896</v>
      </c>
      <c r="M62" s="8" t="str">
        <f>IFERROR(__xludf.DUMMYFUNCTION("""COMPUTED_VALUE"""),"WAW Season 3 Extraction [Garden of Thorns] Gregor")</f>
        <v>WAW Season 3 Extraction [Garden of Thorns] Gregor</v>
      </c>
      <c r="N62" s="8" t="str">
        <f>IFERROR(__xludf.DUMMYFUNCTION("""COMPUTED_VALUE"""),"")</f>
        <v/>
      </c>
      <c r="O62" s="8"/>
      <c r="P62" s="8"/>
    </row>
    <row r="63">
      <c r="A63" s="7" t="s">
        <v>1897</v>
      </c>
      <c r="B63" s="25" t="s">
        <v>12</v>
      </c>
      <c r="C63" s="385" t="s">
        <v>970</v>
      </c>
      <c r="D63" s="385" t="s">
        <v>319</v>
      </c>
      <c r="E63" s="385" t="s">
        <v>1898</v>
      </c>
      <c r="F63" s="387" t="s">
        <v>134</v>
      </c>
      <c r="G63" s="7">
        <v>62.0</v>
      </c>
      <c r="H63" s="386">
        <f t="shared" ref="H63:H64" si="12">DATE(2024, 4, 4)</f>
        <v>45386</v>
      </c>
      <c r="I63" s="8" t="b">
        <v>0</v>
      </c>
      <c r="J63" s="388" t="str">
        <f>IFERROR(__xludf.DUMMYFUNCTION("""COMPUTED_VALUE"""),"")</f>
        <v/>
      </c>
      <c r="K63" s="8"/>
      <c r="L63" s="387" t="s">
        <v>1545</v>
      </c>
      <c r="M63" s="8" t="str">
        <f>IFERROR(__xludf.DUMMYFUNCTION("""COMPUTED_VALUE"""),"")</f>
        <v/>
      </c>
      <c r="N63" s="8" t="str">
        <f>IFERROR(__xludf.DUMMYFUNCTION("""COMPUTED_VALUE"""),"ZAYIN Season 4 BP [Bygone Days] Yi Sang")</f>
        <v>ZAYIN Season 4 BP [Bygone Days] Yi Sang</v>
      </c>
      <c r="O63" s="8"/>
      <c r="P63" s="8"/>
    </row>
    <row r="64">
      <c r="A64" s="7" t="s">
        <v>1897</v>
      </c>
      <c r="B64" s="25" t="s">
        <v>162</v>
      </c>
      <c r="C64" s="385" t="s">
        <v>970</v>
      </c>
      <c r="D64" s="385" t="s">
        <v>327</v>
      </c>
      <c r="E64" s="385" t="s">
        <v>1898</v>
      </c>
      <c r="F64" s="387" t="s">
        <v>134</v>
      </c>
      <c r="G64" s="7">
        <v>63.0</v>
      </c>
      <c r="H64" s="386">
        <f t="shared" si="12"/>
        <v>45386</v>
      </c>
      <c r="I64" s="8" t="b">
        <v>0</v>
      </c>
      <c r="J64" s="388" t="str">
        <f>IFERROR(__xludf.DUMMYFUNCTION("""COMPUTED_VALUE"""),"")</f>
        <v/>
      </c>
      <c r="K64" s="8"/>
      <c r="L64" s="387" t="s">
        <v>1899</v>
      </c>
      <c r="M64" s="8" t="str">
        <f>IFERROR(__xludf.DUMMYFUNCTION("""COMPUTED_VALUE"""),"")</f>
        <v/>
      </c>
      <c r="N64" s="8" t="str">
        <f>IFERROR(__xludf.DUMMYFUNCTION("""COMPUTED_VALUE"""),"TETH Season 4 BP [Bygone Days] Gregor")</f>
        <v>TETH Season 4 BP [Bygone Days] Gregor</v>
      </c>
      <c r="O64" s="8"/>
      <c r="P64" s="8"/>
    </row>
    <row r="65">
      <c r="A65" s="7" t="s">
        <v>1900</v>
      </c>
      <c r="B65" s="25" t="s">
        <v>161</v>
      </c>
      <c r="C65" s="385" t="s">
        <v>1808</v>
      </c>
      <c r="D65" s="385" t="s">
        <v>342</v>
      </c>
      <c r="E65" s="385" t="s">
        <v>1898</v>
      </c>
      <c r="F65" s="387" t="s">
        <v>123</v>
      </c>
      <c r="G65" s="7">
        <v>64.0</v>
      </c>
      <c r="H65" s="386">
        <f t="shared" ref="H65:H68" si="13">DATE(2024, 4, 11)</f>
        <v>45393</v>
      </c>
      <c r="I65" s="7" t="b">
        <v>1</v>
      </c>
      <c r="J65" s="388" t="str">
        <f>IFERROR(__xludf.DUMMYFUNCTION("""COMPUTED_VALUE"""),"[Binds] Outis")</f>
        <v>[Binds] Outis</v>
      </c>
      <c r="K65" s="7">
        <v>3.0</v>
      </c>
      <c r="L65" s="387" t="s">
        <v>1901</v>
      </c>
      <c r="M65" s="8" t="str">
        <f>IFERROR(__xludf.DUMMYFUNCTION("""COMPUTED_VALUE"""),"")</f>
        <v/>
      </c>
      <c r="N65" s="8" t="str">
        <f>IFERROR(__xludf.DUMMYFUNCTION("""COMPUTED_VALUE"""),"")</f>
        <v/>
      </c>
      <c r="O65" s="8"/>
      <c r="P65" s="8"/>
    </row>
    <row r="66">
      <c r="A66" s="7" t="s">
        <v>1900</v>
      </c>
      <c r="B66" s="25" t="s">
        <v>158</v>
      </c>
      <c r="C66" s="385" t="s">
        <v>970</v>
      </c>
      <c r="D66" s="385" t="s">
        <v>342</v>
      </c>
      <c r="E66" s="385" t="s">
        <v>1898</v>
      </c>
      <c r="F66" s="387" t="s">
        <v>1712</v>
      </c>
      <c r="G66" s="7">
        <v>65.0</v>
      </c>
      <c r="H66" s="386">
        <f t="shared" si="13"/>
        <v>45393</v>
      </c>
      <c r="I66" s="7" t="b">
        <v>1</v>
      </c>
      <c r="J66" s="388" t="str">
        <f>IFERROR(__xludf.DUMMYFUNCTION("""COMPUTED_VALUE"""),"[Binds] Heathcliff")</f>
        <v>[Binds] Heathcliff</v>
      </c>
      <c r="K66" s="7">
        <v>3.0</v>
      </c>
      <c r="L66" s="387" t="s">
        <v>1902</v>
      </c>
      <c r="M66" s="8" t="str">
        <f>IFERROR(__xludf.DUMMYFUNCTION("""COMPUTED_VALUE"""),"")</f>
        <v/>
      </c>
      <c r="N66" s="8" t="str">
        <f>IFERROR(__xludf.DUMMYFUNCTION("""COMPUTED_VALUE"""),"")</f>
        <v/>
      </c>
      <c r="O66" s="8"/>
      <c r="P66" s="8"/>
    </row>
    <row r="67">
      <c r="A67" s="7" t="s">
        <v>1903</v>
      </c>
      <c r="B67" s="25" t="s">
        <v>154</v>
      </c>
      <c r="C67" s="385" t="s">
        <v>948</v>
      </c>
      <c r="D67" s="385" t="s">
        <v>327</v>
      </c>
      <c r="E67" s="385" t="s">
        <v>1898</v>
      </c>
      <c r="F67" s="387" t="s">
        <v>148</v>
      </c>
      <c r="G67" s="7">
        <v>66.0</v>
      </c>
      <c r="H67" s="386">
        <f t="shared" si="13"/>
        <v>45393</v>
      </c>
      <c r="I67" s="8" t="b">
        <v>0</v>
      </c>
      <c r="J67" s="388" t="str">
        <f>IFERROR(__xludf.DUMMYFUNCTION("""COMPUTED_VALUE"""),"")</f>
        <v/>
      </c>
      <c r="K67" s="8"/>
      <c r="L67" s="387" t="s">
        <v>1420</v>
      </c>
      <c r="M67" s="8" t="str">
        <f>IFERROR(__xludf.DUMMYFUNCTION("""COMPUTED_VALUE"""),"")</f>
        <v/>
      </c>
      <c r="N67" s="8" t="str">
        <f>IFERROR(__xludf.DUMMYFUNCTION("""COMPUTED_VALUE"""),"TETH Season 4 BP [Electric Screaming] Don Quixote")</f>
        <v>TETH Season 4 BP [Electric Screaming] Don Quixote</v>
      </c>
      <c r="O67" s="8"/>
      <c r="P67" s="8"/>
    </row>
    <row r="68">
      <c r="A68" s="7" t="s">
        <v>1903</v>
      </c>
      <c r="B68" s="25" t="s">
        <v>156</v>
      </c>
      <c r="C68" s="385" t="s">
        <v>948</v>
      </c>
      <c r="D68" s="385" t="s">
        <v>327</v>
      </c>
      <c r="E68" s="385" t="s">
        <v>1898</v>
      </c>
      <c r="F68" s="387" t="s">
        <v>1434</v>
      </c>
      <c r="G68" s="7">
        <v>67.0</v>
      </c>
      <c r="H68" s="386">
        <f t="shared" si="13"/>
        <v>45393</v>
      </c>
      <c r="I68" s="8" t="b">
        <v>0</v>
      </c>
      <c r="J68" s="388" t="str">
        <f>IFERROR(__xludf.DUMMYFUNCTION("""COMPUTED_VALUE"""),"")</f>
        <v/>
      </c>
      <c r="K68" s="8"/>
      <c r="L68" s="387" t="s">
        <v>1904</v>
      </c>
      <c r="M68" s="8" t="str">
        <f>IFERROR(__xludf.DUMMYFUNCTION("""COMPUTED_VALUE"""),"")</f>
        <v/>
      </c>
      <c r="N68" s="8" t="str">
        <f>IFERROR(__xludf.DUMMYFUNCTION("""COMPUTED_VALUE"""),"TETH Season 4 BP [Electric Screaming] Meursault")</f>
        <v>TETH Season 4 BP [Electric Screaming] Meursault</v>
      </c>
      <c r="O68" s="8"/>
      <c r="P68" s="8"/>
    </row>
    <row r="69">
      <c r="A69" s="7" t="s">
        <v>1905</v>
      </c>
      <c r="B69" s="25" t="s">
        <v>159</v>
      </c>
      <c r="C69" s="385" t="s">
        <v>947</v>
      </c>
      <c r="D69" s="385" t="s">
        <v>342</v>
      </c>
      <c r="E69" s="385" t="s">
        <v>1583</v>
      </c>
      <c r="F69" s="387" t="s">
        <v>143</v>
      </c>
      <c r="G69" s="7">
        <v>68.0</v>
      </c>
      <c r="H69" s="386">
        <f t="shared" ref="H69:H70" si="14">DATE(2024, 5, 2)</f>
        <v>45414</v>
      </c>
      <c r="I69" s="7" t="b">
        <v>1</v>
      </c>
      <c r="J69" s="388" t="str">
        <f>IFERROR(__xludf.DUMMYFUNCTION("""COMPUTED_VALUE"""),"[Sanguine Desire] Rodion")</f>
        <v>[Sanguine Desire] Rodion</v>
      </c>
      <c r="K69" s="7">
        <v>3.0</v>
      </c>
      <c r="L69" s="8"/>
      <c r="M69" s="8" t="str">
        <f>IFERROR(__xludf.DUMMYFUNCTION("""COMPUTED_VALUE"""),"")</f>
        <v/>
      </c>
      <c r="N69" s="8" t="str">
        <f>IFERROR(__xludf.DUMMYFUNCTION("""COMPUTED_VALUE"""),"")</f>
        <v/>
      </c>
      <c r="O69" s="8"/>
      <c r="P69" s="8"/>
    </row>
    <row r="70">
      <c r="A70" s="7" t="s">
        <v>1906</v>
      </c>
      <c r="B70" s="25" t="s">
        <v>122</v>
      </c>
      <c r="C70" s="385" t="s">
        <v>1822</v>
      </c>
      <c r="D70" s="385" t="s">
        <v>333</v>
      </c>
      <c r="E70" s="385" t="s">
        <v>1583</v>
      </c>
      <c r="F70" s="387" t="s">
        <v>143</v>
      </c>
      <c r="G70" s="7">
        <v>69.0</v>
      </c>
      <c r="H70" s="386">
        <f t="shared" si="14"/>
        <v>45414</v>
      </c>
      <c r="I70" s="8" t="b">
        <v>0</v>
      </c>
      <c r="J70" s="388" t="str">
        <f>IFERROR(__xludf.DUMMYFUNCTION("""COMPUTED_VALUE"""),"")</f>
        <v/>
      </c>
      <c r="K70" s="8"/>
      <c r="L70" s="387" t="s">
        <v>1907</v>
      </c>
      <c r="M70" s="8" t="str">
        <f>IFERROR(__xludf.DUMMYFUNCTION("""COMPUTED_VALUE"""),"HE Walpurgisnaught 3 [Wingbeat] Ishmael")</f>
        <v>HE Walpurgisnaught 3 [Wingbeat] Ishmael</v>
      </c>
      <c r="N70" s="8" t="str">
        <f>IFERROR(__xludf.DUMMYFUNCTION("""COMPUTED_VALUE"""),"")</f>
        <v/>
      </c>
      <c r="O70" s="8"/>
      <c r="P70" s="8"/>
    </row>
    <row r="71">
      <c r="A71" s="7" t="s">
        <v>1908</v>
      </c>
      <c r="B71" s="25" t="s">
        <v>160</v>
      </c>
      <c r="C71" s="385" t="s">
        <v>970</v>
      </c>
      <c r="D71" s="385" t="s">
        <v>319</v>
      </c>
      <c r="E71" s="385" t="s">
        <v>771</v>
      </c>
      <c r="F71" s="387" t="s">
        <v>134</v>
      </c>
      <c r="G71" s="7">
        <v>70.0</v>
      </c>
      <c r="H71" s="389">
        <f t="shared" ref="H71:H72" si="15">DATE(2024, 5, 30)</f>
        <v>45442</v>
      </c>
      <c r="I71" s="8" t="b">
        <v>0</v>
      </c>
      <c r="J71" s="388" t="str">
        <f>IFERROR(__xludf.DUMMYFUNCTION("""COMPUTED_VALUE"""),"")</f>
        <v/>
      </c>
      <c r="K71" s="8"/>
      <c r="L71" s="387" t="s">
        <v>1909</v>
      </c>
      <c r="M71" s="8" t="str">
        <f>IFERROR(__xludf.DUMMYFUNCTION("""COMPUTED_VALUE"""),"ZAYIN Standard Fare [Cavernous Wailing] Sinclair")</f>
        <v>ZAYIN Standard Fare [Cavernous Wailing] Sinclair</v>
      </c>
      <c r="N71" s="8" t="str">
        <f>IFERROR(__xludf.DUMMYFUNCTION("""COMPUTED_VALUE"""),"")</f>
        <v/>
      </c>
      <c r="O71" s="8"/>
      <c r="P71" s="8"/>
    </row>
    <row r="72">
      <c r="A72" s="7" t="s">
        <v>1908</v>
      </c>
      <c r="B72" s="25" t="s">
        <v>157</v>
      </c>
      <c r="C72" s="385" t="s">
        <v>1805</v>
      </c>
      <c r="D72" s="385" t="s">
        <v>327</v>
      </c>
      <c r="E72" s="385" t="s">
        <v>771</v>
      </c>
      <c r="F72" s="387" t="s">
        <v>123</v>
      </c>
      <c r="G72" s="7">
        <v>71.0</v>
      </c>
      <c r="H72" s="389">
        <f t="shared" si="15"/>
        <v>45442</v>
      </c>
      <c r="I72" s="7" t="b">
        <v>1</v>
      </c>
      <c r="J72" s="388" t="str">
        <f>IFERROR(__xludf.DUMMYFUNCTION("""COMPUTED_VALUE"""),"[Cavernous Wailing] Hong Lu")</f>
        <v>[Cavernous Wailing] Hong Lu</v>
      </c>
      <c r="K72" s="7">
        <v>4.0</v>
      </c>
      <c r="L72" s="387" t="s">
        <v>1910</v>
      </c>
      <c r="M72" s="8" t="str">
        <f>IFERROR(__xludf.DUMMYFUNCTION("""COMPUTED_VALUE"""),"")</f>
        <v/>
      </c>
      <c r="N72" s="8" t="str">
        <f>IFERROR(__xludf.DUMMYFUNCTION("""COMPUTED_VALUE"""),"")</f>
        <v/>
      </c>
      <c r="O72" s="7"/>
      <c r="P72" s="8"/>
    </row>
    <row r="73">
      <c r="A73" s="7" t="s">
        <v>275</v>
      </c>
      <c r="B73" s="25" t="s">
        <v>153</v>
      </c>
      <c r="C73" s="385" t="s">
        <v>1805</v>
      </c>
      <c r="D73" s="385" t="s">
        <v>342</v>
      </c>
      <c r="E73" s="385" t="s">
        <v>1587</v>
      </c>
      <c r="F73" s="387" t="s">
        <v>123</v>
      </c>
      <c r="G73" s="7">
        <v>72.0</v>
      </c>
      <c r="H73" s="389">
        <f>DATE(2024, 6, 13)</f>
        <v>45456</v>
      </c>
      <c r="I73" s="7" t="b">
        <v>1</v>
      </c>
      <c r="J73" s="388" t="str">
        <f>IFERROR(__xludf.DUMMYFUNCTION("""COMPUTED_VALUE"""),"[Everlasting] Faust")</f>
        <v>[Everlasting] Faust</v>
      </c>
      <c r="K73" s="7">
        <v>3.0</v>
      </c>
      <c r="L73" s="387" t="s">
        <v>1911</v>
      </c>
      <c r="M73" s="8" t="str">
        <f>IFERROR(__xludf.DUMMYFUNCTION("""COMPUTED_VALUE"""),"")</f>
        <v/>
      </c>
      <c r="N73" s="8" t="str">
        <f>IFERROR(__xludf.DUMMYFUNCTION("""COMPUTED_VALUE"""),"")</f>
        <v/>
      </c>
      <c r="O73" s="7">
        <v>7.0</v>
      </c>
      <c r="P73" s="8"/>
    </row>
    <row r="74">
      <c r="A74" s="7" t="s">
        <v>1912</v>
      </c>
      <c r="B74" s="25" t="s">
        <v>158</v>
      </c>
      <c r="C74" s="385" t="s">
        <v>1808</v>
      </c>
      <c r="D74" s="385" t="s">
        <v>327</v>
      </c>
      <c r="E74" s="385" t="s">
        <v>771</v>
      </c>
      <c r="F74" s="387" t="s">
        <v>1913</v>
      </c>
      <c r="G74" s="7">
        <v>74.0</v>
      </c>
      <c r="H74" s="386">
        <f>DATE(2024, 7, 25)</f>
        <v>45498</v>
      </c>
      <c r="I74" s="7" t="b">
        <v>1</v>
      </c>
      <c r="J74" s="388" t="str">
        <f>IFERROR(__xludf.DUMMYFUNCTION("""COMPUTED_VALUE"""),"[Fell Bullet] Heathcliff")</f>
        <v>[Fell Bullet] Heathcliff</v>
      </c>
      <c r="K74" s="7">
        <v>3.0</v>
      </c>
      <c r="L74" s="387" t="s">
        <v>1005</v>
      </c>
      <c r="M74" s="8" t="str">
        <f>IFERROR(__xludf.DUMMYFUNCTION("""COMPUTED_VALUE"""),"")</f>
        <v/>
      </c>
      <c r="N74" s="8" t="str">
        <f>IFERROR(__xludf.DUMMYFUNCTION("""COMPUTED_VALUE"""),"")</f>
        <v/>
      </c>
      <c r="O74" s="8"/>
      <c r="P74" s="8"/>
    </row>
    <row r="75">
      <c r="A75" s="7" t="s">
        <v>663</v>
      </c>
      <c r="B75" s="25" t="s">
        <v>161</v>
      </c>
      <c r="C75" s="385" t="s">
        <v>948</v>
      </c>
      <c r="D75" s="385" t="s">
        <v>333</v>
      </c>
      <c r="E75" s="385" t="s">
        <v>1587</v>
      </c>
      <c r="F75" s="387" t="s">
        <v>148</v>
      </c>
      <c r="G75" s="7">
        <v>75.0</v>
      </c>
      <c r="H75" s="386">
        <f>DATE(2024, 8, 8)</f>
        <v>45512</v>
      </c>
      <c r="I75" s="8" t="b">
        <v>0</v>
      </c>
      <c r="J75" s="388" t="str">
        <f>IFERROR(__xludf.DUMMYFUNCTION("""COMPUTED_VALUE"""),"")</f>
        <v/>
      </c>
      <c r="K75" s="8"/>
      <c r="L75" s="387" t="s">
        <v>1914</v>
      </c>
      <c r="M75" s="8" t="str">
        <f>IFERROR(__xludf.DUMMYFUNCTION("""COMPUTED_VALUE"""),"")</f>
        <v/>
      </c>
      <c r="N75" s="8" t="str">
        <f>IFERROR(__xludf.DUMMYFUNCTION("""COMPUTED_VALUE"""),"HE Season 4 Event [Dimension Shredder] Outis")</f>
        <v>HE Season 4 Event [Dimension Shredder] Outis</v>
      </c>
      <c r="O75" s="8"/>
      <c r="P75" s="8"/>
    </row>
    <row r="76">
      <c r="A76" s="7" t="s">
        <v>1915</v>
      </c>
      <c r="B76" s="25" t="s">
        <v>162</v>
      </c>
      <c r="C76" s="385" t="s">
        <v>970</v>
      </c>
      <c r="D76" s="385" t="s">
        <v>333</v>
      </c>
      <c r="E76" s="385" t="s">
        <v>1604</v>
      </c>
      <c r="F76" s="387" t="s">
        <v>134</v>
      </c>
      <c r="G76" s="7">
        <v>76.0</v>
      </c>
      <c r="H76" s="386">
        <f>DATE(2024, 9, 5)</f>
        <v>45540</v>
      </c>
      <c r="I76" s="8" t="b">
        <v>0</v>
      </c>
      <c r="J76" s="388" t="str">
        <f>IFERROR(__xludf.DUMMYFUNCTION("""COMPUTED_VALUE"""),"")</f>
        <v/>
      </c>
      <c r="K76" s="8"/>
      <c r="L76" s="387" t="s">
        <v>1420</v>
      </c>
      <c r="M76" s="8" t="str">
        <f>IFERROR(__xludf.DUMMYFUNCTION("""COMPUTED_VALUE"""),"HE Walpurgisnaught 4 [Solemn Lament] Gregor")</f>
        <v>HE Walpurgisnaught 4 [Solemn Lament] Gregor</v>
      </c>
      <c r="N76" s="8" t="str">
        <f>IFERROR(__xludf.DUMMYFUNCTION("""COMPUTED_VALUE"""),"")</f>
        <v/>
      </c>
      <c r="O76" s="8"/>
      <c r="P76" s="8"/>
    </row>
    <row r="77">
      <c r="A77" s="7" t="s">
        <v>1916</v>
      </c>
      <c r="B77" s="25" t="s">
        <v>155</v>
      </c>
      <c r="C77" s="385" t="s">
        <v>947</v>
      </c>
      <c r="D77" s="385" t="s">
        <v>342</v>
      </c>
      <c r="E77" s="385" t="s">
        <v>1917</v>
      </c>
      <c r="F77" s="387" t="s">
        <v>143</v>
      </c>
      <c r="G77" s="7">
        <v>73.0</v>
      </c>
      <c r="H77" s="386">
        <f>DATE(2024, 7, 77)</f>
        <v>45550</v>
      </c>
      <c r="I77" s="8" t="b">
        <v>0</v>
      </c>
      <c r="J77" s="388" t="str">
        <f>IFERROR(__xludf.DUMMYFUNCTION("""COMPUTED_VALUE"""),"")</f>
        <v/>
      </c>
      <c r="K77" s="8"/>
      <c r="L77" s="8"/>
      <c r="M77" s="8" t="str">
        <f>IFERROR(__xludf.DUMMYFUNCTION("""COMPUTED_VALUE"""),"WAW Season 4 Extraction [Contempt, Awe] Ryoshu")</f>
        <v>WAW Season 4 Extraction [Contempt, Awe] Ryoshu</v>
      </c>
      <c r="N77" s="8" t="str">
        <f>IFERROR(__xludf.DUMMYFUNCTION("""COMPUTED_VALUE"""),"")</f>
        <v/>
      </c>
      <c r="O77" s="8"/>
      <c r="P77" s="8"/>
    </row>
    <row r="78">
      <c r="A78" s="7" t="s">
        <v>1897</v>
      </c>
      <c r="B78" s="25" t="s">
        <v>122</v>
      </c>
      <c r="C78" s="385" t="s">
        <v>970</v>
      </c>
      <c r="D78" s="385" t="s">
        <v>327</v>
      </c>
      <c r="E78" s="385" t="s">
        <v>771</v>
      </c>
      <c r="F78" s="387" t="s">
        <v>134</v>
      </c>
      <c r="G78" s="7">
        <v>77.0</v>
      </c>
      <c r="H78" s="386">
        <f>DATE(2024, 9, 19)</f>
        <v>45554</v>
      </c>
      <c r="I78" s="8" t="b">
        <v>0</v>
      </c>
      <c r="J78" s="388" t="str">
        <f>IFERROR(__xludf.DUMMYFUNCTION("""COMPUTED_VALUE"""),"")</f>
        <v/>
      </c>
      <c r="K78" s="8"/>
      <c r="L78" s="387" t="s">
        <v>1899</v>
      </c>
      <c r="M78" s="8" t="str">
        <f>IFERROR(__xludf.DUMMYFUNCTION("""COMPUTED_VALUE"""),"TETH Standard Fare [Bygone Days] Ishmael")</f>
        <v>TETH Standard Fare [Bygone Days] Ishmael</v>
      </c>
      <c r="N78" s="8" t="str">
        <f>IFERROR(__xludf.DUMMYFUNCTION("""COMPUTED_VALUE"""),"")</f>
        <v/>
      </c>
      <c r="O78" s="8"/>
      <c r="P78" s="8"/>
    </row>
    <row r="79">
      <c r="A79" s="7" t="s">
        <v>1918</v>
      </c>
      <c r="B79" s="25" t="s">
        <v>153</v>
      </c>
      <c r="C79" s="385" t="s">
        <v>1822</v>
      </c>
      <c r="D79" s="385" t="s">
        <v>327</v>
      </c>
      <c r="E79" s="385" t="s">
        <v>1919</v>
      </c>
      <c r="F79" s="387" t="s">
        <v>752</v>
      </c>
      <c r="G79" s="7">
        <v>78.0</v>
      </c>
      <c r="H79" s="386">
        <f t="shared" ref="H79:H80" si="16">DATE(2024, 10, 17)</f>
        <v>45582</v>
      </c>
      <c r="I79" s="8" t="b">
        <v>0</v>
      </c>
      <c r="J79" s="388" t="str">
        <f>IFERROR(__xludf.DUMMYFUNCTION("""COMPUTED_VALUE"""),"")</f>
        <v/>
      </c>
      <c r="K79" s="8"/>
      <c r="L79" s="387" t="s">
        <v>1920</v>
      </c>
      <c r="M79" s="8" t="str">
        <f>IFERROR(__xludf.DUMMYFUNCTION("""COMPUTED_VALUE"""),"")</f>
        <v/>
      </c>
      <c r="N79" s="8" t="str">
        <f>IFERROR(__xludf.DUMMYFUNCTION("""COMPUTED_VALUE"""),"TETH Season 5 BP [Lasso] Faust")</f>
        <v>TETH Season 5 BP [Lasso] Faust</v>
      </c>
      <c r="O79" s="8"/>
      <c r="P79" s="8"/>
    </row>
    <row r="80">
      <c r="A80" s="7" t="s">
        <v>1918</v>
      </c>
      <c r="B80" s="25" t="s">
        <v>157</v>
      </c>
      <c r="C80" s="385" t="s">
        <v>1822</v>
      </c>
      <c r="D80" s="385" t="s">
        <v>327</v>
      </c>
      <c r="E80" s="385" t="s">
        <v>1919</v>
      </c>
      <c r="F80" s="387" t="s">
        <v>1849</v>
      </c>
      <c r="G80" s="7">
        <v>79.0</v>
      </c>
      <c r="H80" s="386">
        <f t="shared" si="16"/>
        <v>45582</v>
      </c>
      <c r="I80" s="8" t="b">
        <v>0</v>
      </c>
      <c r="J80" s="388" t="str">
        <f>IFERROR(__xludf.DUMMYFUNCTION("""COMPUTED_VALUE"""),"")</f>
        <v/>
      </c>
      <c r="K80" s="8"/>
      <c r="L80" s="387" t="s">
        <v>1432</v>
      </c>
      <c r="M80" s="8" t="str">
        <f>IFERROR(__xludf.DUMMYFUNCTION("""COMPUTED_VALUE"""),"")</f>
        <v/>
      </c>
      <c r="N80" s="8" t="str">
        <f>IFERROR(__xludf.DUMMYFUNCTION("""COMPUTED_VALUE"""),"TETH Season 5 BP [Lasso] Hong Lu")</f>
        <v>TETH Season 5 BP [Lasso] Hong Lu</v>
      </c>
      <c r="O80" s="8"/>
      <c r="P80" s="8"/>
    </row>
    <row r="81">
      <c r="A81" s="7" t="s">
        <v>670</v>
      </c>
      <c r="B81" s="25" t="s">
        <v>159</v>
      </c>
      <c r="C81" s="385" t="s">
        <v>948</v>
      </c>
      <c r="D81" s="385" t="s">
        <v>333</v>
      </c>
      <c r="E81" s="385" t="s">
        <v>1919</v>
      </c>
      <c r="F81" s="387" t="s">
        <v>143</v>
      </c>
      <c r="G81" s="7">
        <v>80.0</v>
      </c>
      <c r="H81" s="386">
        <f t="shared" ref="H81:H84" si="17">DATE(2024, 10, 24)</f>
        <v>45589</v>
      </c>
      <c r="I81" s="7" t="b">
        <v>1</v>
      </c>
      <c r="J81" s="388" t="str">
        <f>IFERROR(__xludf.DUMMYFUNCTION("""COMPUTED_VALUE"""),"[Hex Nail] Rodion")</f>
        <v>[Hex Nail] Rodion</v>
      </c>
      <c r="K81" s="7">
        <v>3.0</v>
      </c>
      <c r="L81" s="387" t="s">
        <v>1921</v>
      </c>
      <c r="M81" s="8" t="str">
        <f>IFERROR(__xludf.DUMMYFUNCTION("""COMPUTED_VALUE"""),"")</f>
        <v/>
      </c>
      <c r="N81" s="8" t="str">
        <f>IFERROR(__xludf.DUMMYFUNCTION("""COMPUTED_VALUE"""),"")</f>
        <v/>
      </c>
      <c r="O81" s="8"/>
      <c r="P81" s="8"/>
    </row>
    <row r="82">
      <c r="A82" s="7" t="s">
        <v>670</v>
      </c>
      <c r="B82" s="25" t="s">
        <v>160</v>
      </c>
      <c r="C82" s="385" t="s">
        <v>948</v>
      </c>
      <c r="D82" s="385" t="s">
        <v>327</v>
      </c>
      <c r="E82" s="385" t="s">
        <v>1919</v>
      </c>
      <c r="F82" s="387" t="s">
        <v>143</v>
      </c>
      <c r="G82" s="7">
        <v>81.0</v>
      </c>
      <c r="H82" s="386">
        <f t="shared" si="17"/>
        <v>45589</v>
      </c>
      <c r="I82" s="8" t="b">
        <v>0</v>
      </c>
      <c r="J82" s="388" t="str">
        <f>IFERROR(__xludf.DUMMYFUNCTION("""COMPUTED_VALUE"""),"")</f>
        <v/>
      </c>
      <c r="K82" s="8"/>
      <c r="L82" s="387" t="s">
        <v>1922</v>
      </c>
      <c r="M82" s="8" t="str">
        <f>IFERROR(__xludf.DUMMYFUNCTION("""COMPUTED_VALUE"""),"")</f>
        <v/>
      </c>
      <c r="N82" s="8" t="str">
        <f>IFERROR(__xludf.DUMMYFUNCTION("""COMPUTED_VALUE"""),"TETH Season 5 BP [Hex Nail] Sinclair")</f>
        <v>TETH Season 5 BP [Hex Nail] Sinclair</v>
      </c>
      <c r="O82" s="8"/>
      <c r="P82" s="8"/>
    </row>
    <row r="83">
      <c r="A83" s="7" t="s">
        <v>1923</v>
      </c>
      <c r="B83" s="25" t="s">
        <v>156</v>
      </c>
      <c r="C83" s="385" t="s">
        <v>947</v>
      </c>
      <c r="D83" s="385" t="s">
        <v>342</v>
      </c>
      <c r="E83" s="385" t="s">
        <v>1919</v>
      </c>
      <c r="F83" s="387" t="s">
        <v>143</v>
      </c>
      <c r="G83" s="7">
        <v>82.0</v>
      </c>
      <c r="H83" s="386">
        <f t="shared" si="17"/>
        <v>45589</v>
      </c>
      <c r="I83" s="8" t="b">
        <v>0</v>
      </c>
      <c r="J83" s="388" t="str">
        <f>IFERROR(__xludf.DUMMYFUNCTION("""COMPUTED_VALUE"""),"")</f>
        <v/>
      </c>
      <c r="K83" s="8"/>
      <c r="L83" s="387" t="s">
        <v>1710</v>
      </c>
      <c r="M83" s="8" t="str">
        <f>IFERROR(__xludf.DUMMYFUNCTION("""COMPUTED_VALUE"""),"")</f>
        <v/>
      </c>
      <c r="N83" s="8" t="str">
        <f>IFERROR(__xludf.DUMMYFUNCTION("""COMPUTED_VALUE"""),"WAW Season 5 BP [Yearning-Mircalla] Meursault")</f>
        <v>WAW Season 5 BP [Yearning-Mircalla] Meursault</v>
      </c>
      <c r="O83" s="8"/>
      <c r="P83" s="8"/>
    </row>
    <row r="84">
      <c r="A84" s="7" t="s">
        <v>1923</v>
      </c>
      <c r="B84" s="25" t="s">
        <v>154</v>
      </c>
      <c r="C84" s="385" t="s">
        <v>947</v>
      </c>
      <c r="D84" s="385" t="s">
        <v>342</v>
      </c>
      <c r="E84" s="385" t="s">
        <v>1919</v>
      </c>
      <c r="F84" s="387" t="s">
        <v>143</v>
      </c>
      <c r="G84" s="7">
        <v>83.0</v>
      </c>
      <c r="H84" s="386">
        <f t="shared" si="17"/>
        <v>45589</v>
      </c>
      <c r="I84" s="7" t="b">
        <v>1</v>
      </c>
      <c r="J84" s="388" t="str">
        <f>IFERROR(__xludf.DUMMYFUNCTION("""COMPUTED_VALUE"""),"[Yearning-Mircalla] Don Quixote")</f>
        <v>[Yearning-Mircalla] Don Quixote</v>
      </c>
      <c r="K84" s="7">
        <v>4.0</v>
      </c>
      <c r="L84" s="387" t="s">
        <v>1924</v>
      </c>
      <c r="M84" s="8" t="str">
        <f>IFERROR(__xludf.DUMMYFUNCTION("""COMPUTED_VALUE"""),"")</f>
        <v/>
      </c>
      <c r="N84" s="8" t="str">
        <f>IFERROR(__xludf.DUMMYFUNCTION("""COMPUTED_VALUE"""),"")</f>
        <v/>
      </c>
      <c r="O84" s="8"/>
      <c r="P84" s="8"/>
    </row>
    <row r="85">
      <c r="A85" s="7" t="s">
        <v>1912</v>
      </c>
      <c r="B85" s="25" t="s">
        <v>12</v>
      </c>
      <c r="C85" s="385" t="s">
        <v>1808</v>
      </c>
      <c r="D85" s="385" t="s">
        <v>333</v>
      </c>
      <c r="E85" s="385" t="s">
        <v>1925</v>
      </c>
      <c r="F85" s="387" t="s">
        <v>1454</v>
      </c>
      <c r="G85" s="7">
        <v>84.0</v>
      </c>
      <c r="H85" s="386">
        <f>DATE(2024, 11, 14)</f>
        <v>45610</v>
      </c>
      <c r="I85" s="8" t="b">
        <v>0</v>
      </c>
      <c r="J85" s="388" t="str">
        <f>IFERROR(__xludf.DUMMYFUNCTION("""COMPUTED_VALUE"""),"")</f>
        <v/>
      </c>
      <c r="K85" s="8"/>
      <c r="L85" s="8"/>
      <c r="M85" s="8" t="str">
        <f>IFERROR(__xludf.DUMMYFUNCTION("""COMPUTED_VALUE"""),"HE Season 5 Extraction [Fell Bullet] Yi Sang")</f>
        <v>HE Season 5 Extraction [Fell Bullet] Yi Sang</v>
      </c>
      <c r="N85" s="8" t="str">
        <f>IFERROR(__xludf.DUMMYFUNCTION("""COMPUTED_VALUE"""),"")</f>
        <v/>
      </c>
      <c r="O85" s="8"/>
      <c r="P85" s="8"/>
    </row>
    <row r="86">
      <c r="A86" s="7" t="s">
        <v>1926</v>
      </c>
      <c r="B86" s="25" t="s">
        <v>158</v>
      </c>
      <c r="C86" s="385" t="s">
        <v>1805</v>
      </c>
      <c r="D86" s="385" t="s">
        <v>333</v>
      </c>
      <c r="E86" s="385" t="s">
        <v>771</v>
      </c>
      <c r="F86" s="387" t="s">
        <v>123</v>
      </c>
      <c r="G86" s="7">
        <v>85.0</v>
      </c>
      <c r="H86" s="386">
        <f>DATE(2024, 11, 28)</f>
        <v>45624</v>
      </c>
      <c r="I86" s="7" t="b">
        <v>1</v>
      </c>
      <c r="J86" s="388" t="str">
        <f>IFERROR(__xludf.DUMMYFUNCTION("""COMPUTED_VALUE"""),"[Asymmetrical Inertia] Heathcliff")</f>
        <v>[Asymmetrical Inertia] Heathcliff</v>
      </c>
      <c r="K86" s="7">
        <v>3.0</v>
      </c>
      <c r="L86" s="387" t="s">
        <v>1927</v>
      </c>
      <c r="M86" s="8" t="str">
        <f>IFERROR(__xludf.DUMMYFUNCTION("""COMPUTED_VALUE"""),"")</f>
        <v/>
      </c>
      <c r="N86" s="8" t="str">
        <f>IFERROR(__xludf.DUMMYFUNCTION("""COMPUTED_VALUE"""),"")</f>
        <v/>
      </c>
      <c r="O86" s="8"/>
      <c r="P86" s="8"/>
    </row>
    <row r="87">
      <c r="A87" s="7" t="s">
        <v>1928</v>
      </c>
      <c r="B87" s="25" t="s">
        <v>162</v>
      </c>
      <c r="C87" s="385" t="s">
        <v>1805</v>
      </c>
      <c r="D87" s="385" t="s">
        <v>333</v>
      </c>
      <c r="E87" s="385" t="s">
        <v>1642</v>
      </c>
      <c r="F87" s="387" t="s">
        <v>1497</v>
      </c>
      <c r="G87" s="7">
        <v>86.0</v>
      </c>
      <c r="H87" s="386">
        <f t="shared" ref="H87:H88" si="18">DATE(2024, 12, 26)</f>
        <v>45652</v>
      </c>
      <c r="I87" s="8" t="b">
        <v>0</v>
      </c>
      <c r="J87" s="388" t="str">
        <f>IFERROR(__xludf.DUMMYFUNCTION("""COMPUTED_VALUE"""),"")</f>
        <v/>
      </c>
      <c r="K87" s="8"/>
      <c r="L87" s="387" t="s">
        <v>1929</v>
      </c>
      <c r="M87" s="8" t="str">
        <f>IFERROR(__xludf.DUMMYFUNCTION("""COMPUTED_VALUE"""),"")</f>
        <v/>
      </c>
      <c r="N87" s="8" t="str">
        <f>IFERROR(__xludf.DUMMYFUNCTION("""COMPUTED_VALUE"""),"")</f>
        <v/>
      </c>
      <c r="O87" s="8"/>
      <c r="P87" s="8"/>
    </row>
    <row r="88">
      <c r="A88" s="7" t="s">
        <v>1928</v>
      </c>
      <c r="B88" s="25" t="s">
        <v>122</v>
      </c>
      <c r="C88" s="385" t="s">
        <v>947</v>
      </c>
      <c r="D88" s="385" t="s">
        <v>333</v>
      </c>
      <c r="E88" s="385" t="s">
        <v>1642</v>
      </c>
      <c r="F88" s="387" t="s">
        <v>1497</v>
      </c>
      <c r="G88" s="7">
        <v>87.0</v>
      </c>
      <c r="H88" s="386">
        <f t="shared" si="18"/>
        <v>45652</v>
      </c>
      <c r="I88" s="7" t="b">
        <v>1</v>
      </c>
      <c r="J88" s="388" t="str">
        <f>IFERROR(__xludf.DUMMYFUNCTION("""COMPUTED_VALUE"""),"[Christmas Nightmare] Ishmael")</f>
        <v>[Christmas Nightmare] Ishmael</v>
      </c>
      <c r="K88" s="7">
        <v>3.0</v>
      </c>
      <c r="L88" s="387" t="s">
        <v>1495</v>
      </c>
      <c r="M88" s="8" t="str">
        <f>IFERROR(__xludf.DUMMYFUNCTION("""COMPUTED_VALUE"""),"")</f>
        <v/>
      </c>
      <c r="N88" s="8" t="str">
        <f>IFERROR(__xludf.DUMMYFUNCTION("""COMPUTED_VALUE"""),"")</f>
        <v/>
      </c>
      <c r="O88" s="8"/>
      <c r="P88" s="8"/>
    </row>
    <row r="89">
      <c r="A89" s="7" t="s">
        <v>1930</v>
      </c>
      <c r="B89" s="25" t="s">
        <v>161</v>
      </c>
      <c r="C89" s="385" t="s">
        <v>1808</v>
      </c>
      <c r="D89" s="385" t="s">
        <v>333</v>
      </c>
      <c r="E89" s="385" t="s">
        <v>1630</v>
      </c>
      <c r="F89" s="387" t="s">
        <v>138</v>
      </c>
      <c r="G89" s="7">
        <v>88.0</v>
      </c>
      <c r="H89" s="386">
        <f>DATE(2025, 1, 9)</f>
        <v>45666</v>
      </c>
      <c r="I89" s="7" t="b">
        <v>1</v>
      </c>
      <c r="J89" s="388" t="str">
        <f>IFERROR(__xludf.DUMMYFUNCTION("""COMPUTED_VALUE"""),"[Magic Bullet] Outis")</f>
        <v>[Magic Bullet] Outis</v>
      </c>
      <c r="K89" s="7">
        <v>3.0</v>
      </c>
      <c r="L89" s="387" t="s">
        <v>1005</v>
      </c>
      <c r="M89" s="8" t="str">
        <f>IFERROR(__xludf.DUMMYFUNCTION("""COMPUTED_VALUE"""),"")</f>
        <v/>
      </c>
      <c r="N89" s="8" t="str">
        <f>IFERROR(__xludf.DUMMYFUNCTION("""COMPUTED_VALUE"""),"")</f>
        <v/>
      </c>
      <c r="O89" s="8"/>
      <c r="P89" s="8"/>
    </row>
    <row r="90">
      <c r="A90" s="7" t="s">
        <v>1931</v>
      </c>
      <c r="B90" s="25" t="s">
        <v>155</v>
      </c>
      <c r="C90" s="385" t="s">
        <v>1808</v>
      </c>
      <c r="D90" s="385" t="s">
        <v>333</v>
      </c>
      <c r="E90" s="385" t="s">
        <v>1638</v>
      </c>
      <c r="F90" s="387" t="s">
        <v>765</v>
      </c>
      <c r="G90" s="7">
        <v>89.0</v>
      </c>
      <c r="H90" s="386">
        <f>DATE(2025, 1, 23)</f>
        <v>45680</v>
      </c>
      <c r="I90" s="7" t="b">
        <v>1</v>
      </c>
      <c r="J90" s="388" t="str">
        <f>IFERROR(__xludf.DUMMYFUNCTION("""COMPUTED_VALUE"""),"[Thoracalgia] Ryoshu")</f>
        <v>[Thoracalgia] Ryoshu</v>
      </c>
      <c r="K90" s="7">
        <v>3.0</v>
      </c>
      <c r="L90" s="8"/>
      <c r="M90" s="8" t="str">
        <f>IFERROR(__xludf.DUMMYFUNCTION("""COMPUTED_VALUE"""),"")</f>
        <v/>
      </c>
      <c r="N90" s="8" t="str">
        <f>IFERROR(__xludf.DUMMYFUNCTION("""COMPUTED_VALUE"""),"")</f>
        <v/>
      </c>
      <c r="O90" s="8"/>
      <c r="P90" s="8"/>
    </row>
    <row r="91">
      <c r="A91" s="7" t="s">
        <v>1931</v>
      </c>
      <c r="B91" s="25" t="s">
        <v>153</v>
      </c>
      <c r="C91" s="385" t="s">
        <v>1808</v>
      </c>
      <c r="D91" s="385" t="s">
        <v>333</v>
      </c>
      <c r="E91" s="385" t="s">
        <v>1925</v>
      </c>
      <c r="F91" s="387" t="s">
        <v>765</v>
      </c>
      <c r="G91" s="7">
        <v>90.0</v>
      </c>
      <c r="H91" s="386">
        <f>DATE(2025, 2, 20)</f>
        <v>45708</v>
      </c>
      <c r="I91" s="7" t="b">
        <v>1</v>
      </c>
      <c r="J91" s="388" t="str">
        <f>IFERROR(__xludf.DUMMYFUNCTION("""COMPUTED_VALUE"""),"[Thoracalgia] Faust")</f>
        <v>[Thoracalgia] Faust</v>
      </c>
      <c r="K91" s="7">
        <v>3.0</v>
      </c>
      <c r="L91" s="387" t="s">
        <v>1932</v>
      </c>
      <c r="M91" s="8" t="str">
        <f>IFERROR(__xludf.DUMMYFUNCTION("""COMPUTED_VALUE"""),"")</f>
        <v/>
      </c>
      <c r="N91" s="8" t="str">
        <f>IFERROR(__xludf.DUMMYFUNCTION("""COMPUTED_VALUE"""),"")</f>
        <v/>
      </c>
      <c r="O91" s="8"/>
      <c r="P91" s="8"/>
    </row>
    <row r="92">
      <c r="A92" s="7" t="s">
        <v>710</v>
      </c>
      <c r="B92" s="25" t="s">
        <v>159</v>
      </c>
      <c r="C92" s="385" t="s">
        <v>969</v>
      </c>
      <c r="D92" s="385" t="s">
        <v>342</v>
      </c>
      <c r="E92" s="385" t="s">
        <v>1925</v>
      </c>
      <c r="F92" s="387" t="s">
        <v>138</v>
      </c>
      <c r="G92" s="7">
        <v>91.0</v>
      </c>
      <c r="H92" s="386">
        <f>DATE(2025, 4, 17)</f>
        <v>45764</v>
      </c>
      <c r="I92" s="7" t="b">
        <v>1</v>
      </c>
      <c r="J92" s="388" t="str">
        <f>IFERROR(__xludf.DUMMYFUNCTION("""COMPUTED_VALUE"""),"[Indicant's Trial] Rodion")</f>
        <v>[Indicant's Trial] Rodion</v>
      </c>
      <c r="K92" s="7">
        <v>3.0</v>
      </c>
      <c r="L92" s="387" t="s">
        <v>1933</v>
      </c>
      <c r="M92" s="8" t="str">
        <f>IFERROR(__xludf.DUMMYFUNCTION("""COMPUTED_VALUE"""),"")</f>
        <v/>
      </c>
      <c r="N92" s="8" t="str">
        <f>IFERROR(__xludf.DUMMYFUNCTION("""COMPUTED_VALUE"""),"")</f>
        <v/>
      </c>
      <c r="O92" s="8"/>
      <c r="P92" s="8"/>
    </row>
    <row r="93">
      <c r="A93" s="7" t="s">
        <v>1934</v>
      </c>
      <c r="B93" s="25" t="s">
        <v>154</v>
      </c>
      <c r="C93" s="385" t="s">
        <v>1822</v>
      </c>
      <c r="D93" s="385" t="s">
        <v>333</v>
      </c>
      <c r="E93" s="385" t="s">
        <v>1935</v>
      </c>
      <c r="F93" s="387" t="s">
        <v>752</v>
      </c>
      <c r="G93" s="7">
        <v>92.0</v>
      </c>
      <c r="H93" s="386">
        <f t="shared" ref="H93:H94" si="19">DATE(2025, 5, 22)</f>
        <v>45799</v>
      </c>
      <c r="I93" s="7" t="b">
        <v>1</v>
      </c>
      <c r="J93" s="388" t="str">
        <f>IFERROR(__xludf.DUMMYFUNCTION("""COMPUTED_VALUE"""),"[Red Sheet] Don Quixote")</f>
        <v>[Red Sheet] Don Quixote</v>
      </c>
      <c r="K93" s="7">
        <v>3.0</v>
      </c>
      <c r="L93" s="387" t="s">
        <v>1522</v>
      </c>
      <c r="M93" s="8" t="str">
        <f>IFERROR(__xludf.DUMMYFUNCTION("""COMPUTED_VALUE"""),"")</f>
        <v/>
      </c>
      <c r="N93" s="8" t="str">
        <f>IFERROR(__xludf.DUMMYFUNCTION("""COMPUTED_VALUE"""),"")</f>
        <v/>
      </c>
      <c r="O93" s="8"/>
      <c r="P93" s="8"/>
    </row>
    <row r="94">
      <c r="A94" s="7" t="s">
        <v>1936</v>
      </c>
      <c r="B94" s="25" t="s">
        <v>122</v>
      </c>
      <c r="C94" s="385" t="s">
        <v>970</v>
      </c>
      <c r="D94" s="385" t="s">
        <v>319</v>
      </c>
      <c r="E94" s="385" t="s">
        <v>1935</v>
      </c>
      <c r="F94" s="387" t="s">
        <v>1416</v>
      </c>
      <c r="G94" s="7">
        <v>93.0</v>
      </c>
      <c r="H94" s="386">
        <f t="shared" si="19"/>
        <v>45799</v>
      </c>
      <c r="I94" s="7" t="b">
        <v>1</v>
      </c>
      <c r="J94" s="388" t="str">
        <f>IFERROR(__xludf.DUMMYFUNCTION("""COMPUTED_VALUE"""),"[Hundred-Footed Death Maggot 【螂蛆殺】] Ishmael")</f>
        <v>[Hundred-Footed Death Maggot 【螂蛆殺】] Ishmael</v>
      </c>
      <c r="K94" s="7">
        <v>3.0</v>
      </c>
      <c r="L94" s="387" t="s">
        <v>1571</v>
      </c>
      <c r="M94" s="8" t="str">
        <f>IFERROR(__xludf.DUMMYFUNCTION("""COMPUTED_VALUE"""),"")</f>
        <v/>
      </c>
      <c r="N94" s="8" t="str">
        <f>IFERROR(__xludf.DUMMYFUNCTION("""COMPUTED_VALUE"""),"")</f>
        <v/>
      </c>
      <c r="O94" s="8"/>
      <c r="P94" s="8"/>
    </row>
    <row r="95">
      <c r="A95" s="7" t="s">
        <v>1937</v>
      </c>
      <c r="B95" s="25" t="s">
        <v>157</v>
      </c>
      <c r="C95" s="385" t="s">
        <v>1822</v>
      </c>
      <c r="D95" s="385" t="s">
        <v>342</v>
      </c>
      <c r="E95" s="385" t="s">
        <v>1935</v>
      </c>
      <c r="F95" s="387" t="s">
        <v>752</v>
      </c>
      <c r="G95" s="7">
        <v>94.0</v>
      </c>
      <c r="H95" s="386">
        <f t="shared" ref="H95:H96" si="20">DATE(2025, 5, 29)</f>
        <v>45806</v>
      </c>
      <c r="I95" s="7" t="b">
        <v>1</v>
      </c>
      <c r="J95" s="388" t="str">
        <f>IFERROR(__xludf.DUMMYFUNCTION("""COMPUTED_VALUE"""),"[Tears of the Tarnished Blood 【汚血泣淚】] Hong Lu")</f>
        <v>[Tears of the Tarnished Blood 【汚血泣淚】] Hong Lu</v>
      </c>
      <c r="K95" s="7">
        <v>4.0</v>
      </c>
      <c r="L95" s="387" t="s">
        <v>1938</v>
      </c>
      <c r="M95" s="8" t="str">
        <f>IFERROR(__xludf.DUMMYFUNCTION("""COMPUTED_VALUE"""),"")</f>
        <v/>
      </c>
      <c r="N95" s="8" t="str">
        <f>IFERROR(__xludf.DUMMYFUNCTION("""COMPUTED_VALUE"""),"")</f>
        <v/>
      </c>
      <c r="O95" s="8"/>
      <c r="P95" s="8"/>
    </row>
    <row r="96">
      <c r="A96" s="7" t="s">
        <v>1937</v>
      </c>
      <c r="B96" s="25" t="s">
        <v>160</v>
      </c>
      <c r="C96" s="385" t="s">
        <v>1822</v>
      </c>
      <c r="D96" s="385" t="s">
        <v>342</v>
      </c>
      <c r="E96" s="385" t="s">
        <v>1935</v>
      </c>
      <c r="F96" s="387" t="s">
        <v>752</v>
      </c>
      <c r="G96" s="7">
        <v>95.0</v>
      </c>
      <c r="H96" s="386">
        <f t="shared" si="20"/>
        <v>45806</v>
      </c>
      <c r="I96" s="7" t="b">
        <v>1</v>
      </c>
      <c r="J96" s="388" t="str">
        <f>IFERROR(__xludf.DUMMYFUNCTION("""COMPUTED_VALUE"""),"[Tears of the Tarnished Blood 【汚血泣淚】] Sinclair")</f>
        <v>[Tears of the Tarnished Blood 【汚血泣淚】] Sinclair</v>
      </c>
      <c r="K96" s="7">
        <v>3.0</v>
      </c>
      <c r="L96" s="387" t="s">
        <v>1435</v>
      </c>
      <c r="M96" s="8" t="str">
        <f>IFERROR(__xludf.DUMMYFUNCTION("""COMPUTED_VALUE"""),"")</f>
        <v/>
      </c>
      <c r="N96" s="8" t="str">
        <f>IFERROR(__xludf.DUMMYFUNCTION("""COMPUTED_VALUE"""),"")</f>
        <v/>
      </c>
      <c r="O96" s="8"/>
      <c r="P96" s="8"/>
    </row>
    <row r="97">
      <c r="A97" s="7" t="s">
        <v>1939</v>
      </c>
      <c r="B97" s="25" t="s">
        <v>154</v>
      </c>
      <c r="C97" s="385" t="s">
        <v>948</v>
      </c>
      <c r="D97" s="385" t="s">
        <v>342</v>
      </c>
      <c r="E97" s="385" t="s">
        <v>1669</v>
      </c>
      <c r="F97" s="387" t="s">
        <v>1940</v>
      </c>
      <c r="G97" s="7">
        <v>96.0</v>
      </c>
      <c r="H97" s="386">
        <f>DATE(2025, 7, 17)</f>
        <v>45855</v>
      </c>
      <c r="I97" s="8" t="b">
        <v>0</v>
      </c>
      <c r="J97" s="388" t="str">
        <f>IFERROR(__xludf.DUMMYFUNCTION("""COMPUTED_VALUE"""),"")</f>
        <v/>
      </c>
      <c r="K97" s="8"/>
      <c r="L97" s="387" t="s">
        <v>1710</v>
      </c>
      <c r="M97" s="8" t="str">
        <f>IFERROR(__xludf.DUMMYFUNCTION("""COMPUTED_VALUE"""),"WAW Walpurgisnaught 6 [In the name of Love and Hate] Don Quixote")</f>
        <v>WAW Walpurgisnaught 6 [In the name of Love and Hate] Don Quixote</v>
      </c>
      <c r="N97" s="8" t="str">
        <f>IFERROR(__xludf.DUMMYFUNCTION("""COMPUTED_VALUE"""),"")</f>
        <v/>
      </c>
      <c r="O97" s="8"/>
      <c r="P97" s="7">
        <v>3.0</v>
      </c>
    </row>
    <row r="98">
      <c r="A98" s="7" t="s">
        <v>271</v>
      </c>
      <c r="B98" s="25" t="s">
        <v>156</v>
      </c>
      <c r="C98" s="385" t="s">
        <v>1805</v>
      </c>
      <c r="D98" s="385" t="s">
        <v>342</v>
      </c>
      <c r="E98" s="385" t="s">
        <v>1676</v>
      </c>
      <c r="F98" s="387" t="s">
        <v>123</v>
      </c>
      <c r="G98" s="7">
        <v>97.0</v>
      </c>
      <c r="H98" s="386">
        <f>DATE(2025, 7, 31)</f>
        <v>45869</v>
      </c>
      <c r="I98" s="7" t="b">
        <v>1</v>
      </c>
      <c r="J98" s="388" t="str">
        <f>IFERROR(__xludf.DUMMYFUNCTION("""COMPUTED_VALUE"""),"[Crushbound Past] Meursault")</f>
        <v>[Crushbound Past] Meursault</v>
      </c>
      <c r="K98" s="7">
        <v>4.0</v>
      </c>
      <c r="L98" s="387" t="s">
        <v>1941</v>
      </c>
      <c r="M98" s="8" t="str">
        <f>IFERROR(__xludf.DUMMYFUNCTION("""COMPUTED_VALUE"""),"")</f>
        <v/>
      </c>
      <c r="N98" s="8" t="str">
        <f>IFERROR(__xludf.DUMMYFUNCTION("""COMPUTED_VALUE"""),"")</f>
        <v/>
      </c>
      <c r="O98" s="7">
        <v>5.0</v>
      </c>
      <c r="P98" s="8"/>
    </row>
    <row r="99">
      <c r="A99" s="7" t="s">
        <v>1942</v>
      </c>
      <c r="B99" s="25" t="s">
        <v>122</v>
      </c>
      <c r="C99" s="385" t="s">
        <v>970</v>
      </c>
      <c r="D99" s="385" t="s">
        <v>333</v>
      </c>
      <c r="E99" s="385" t="s">
        <v>1681</v>
      </c>
      <c r="F99" s="387" t="s">
        <v>1712</v>
      </c>
      <c r="G99" s="7">
        <v>98.0</v>
      </c>
      <c r="H99" s="386">
        <f t="shared" ref="H99:H102" si="21">DATE(2025, 9, 25)</f>
        <v>45925</v>
      </c>
      <c r="I99" s="7" t="b">
        <v>1</v>
      </c>
      <c r="J99" s="388" t="str">
        <f>IFERROR(__xludf.DUMMYFUNCTION("""COMPUTED_VALUE"""),"[Tidal Elegy] Ishmael")</f>
        <v>[Tidal Elegy] Ishmael</v>
      </c>
      <c r="K99" s="7">
        <v>3.0</v>
      </c>
      <c r="L99" s="387" t="s">
        <v>1943</v>
      </c>
      <c r="M99" s="8" t="str">
        <f>IFERROR(__xludf.DUMMYFUNCTION("""COMPUTED_VALUE"""),"")</f>
        <v/>
      </c>
      <c r="N99" s="8" t="str">
        <f>IFERROR(__xludf.DUMMYFUNCTION("""COMPUTED_VALUE"""),"")</f>
        <v/>
      </c>
      <c r="O99" s="7">
        <v>2.0</v>
      </c>
      <c r="P99" s="8"/>
    </row>
    <row r="100">
      <c r="A100" s="7" t="s">
        <v>1944</v>
      </c>
      <c r="B100" s="25" t="s">
        <v>157</v>
      </c>
      <c r="C100" s="385" t="s">
        <v>1808</v>
      </c>
      <c r="D100" s="385" t="s">
        <v>333</v>
      </c>
      <c r="E100" s="385" t="s">
        <v>1945</v>
      </c>
      <c r="F100" s="387" t="s">
        <v>1578</v>
      </c>
      <c r="G100" s="7">
        <v>99.0</v>
      </c>
      <c r="H100" s="386">
        <f t="shared" si="21"/>
        <v>45925</v>
      </c>
      <c r="I100" s="7" t="b">
        <v>1</v>
      </c>
      <c r="J100" s="388" t="str">
        <f>IFERROR(__xludf.DUMMYFUNCTION("""COMPUTED_VALUE"""),"[To Remain Oneself 【宁作吾】] Hong Lu")</f>
        <v>[To Remain Oneself 【宁作吾】] Hong Lu</v>
      </c>
      <c r="K100" s="7">
        <v>4.0</v>
      </c>
      <c r="L100" s="387" t="s">
        <v>1710</v>
      </c>
      <c r="M100" s="8" t="str">
        <f>IFERROR(__xludf.DUMMYFUNCTION("""COMPUTED_VALUE"""),"")</f>
        <v/>
      </c>
      <c r="N100" s="8" t="str">
        <f>IFERROR(__xludf.DUMMYFUNCTION("""COMPUTED_VALUE"""),"")</f>
        <v/>
      </c>
      <c r="O100" s="8"/>
      <c r="P100" s="8"/>
    </row>
    <row r="101">
      <c r="A101" s="7" t="s">
        <v>1946</v>
      </c>
      <c r="B101" s="25" t="s">
        <v>153</v>
      </c>
      <c r="C101" s="385" t="s">
        <v>1822</v>
      </c>
      <c r="D101" s="385" t="s">
        <v>333</v>
      </c>
      <c r="E101" s="385" t="s">
        <v>1945</v>
      </c>
      <c r="F101" s="387" t="s">
        <v>1947</v>
      </c>
      <c r="G101" s="7">
        <v>100.0</v>
      </c>
      <c r="H101" s="386">
        <f t="shared" si="21"/>
        <v>45925</v>
      </c>
      <c r="I101" s="7" t="b">
        <v>1</v>
      </c>
      <c r="J101" s="388" t="str">
        <f>IFERROR(__xludf.DUMMYFUNCTION("""COMPUTED_VALUE"""),"[Command: Meltdown] Faust")</f>
        <v>[Command: Meltdown] Faust</v>
      </c>
      <c r="K101" s="7">
        <v>4.0</v>
      </c>
      <c r="L101" s="387" t="s">
        <v>1948</v>
      </c>
      <c r="M101" s="8" t="str">
        <f>IFERROR(__xludf.DUMMYFUNCTION("""COMPUTED_VALUE"""),"")</f>
        <v/>
      </c>
      <c r="N101" s="8" t="str">
        <f>IFERROR(__xludf.DUMMYFUNCTION("""COMPUTED_VALUE"""),"")</f>
        <v/>
      </c>
      <c r="O101" s="8"/>
      <c r="P101" s="8"/>
    </row>
    <row r="102">
      <c r="A102" s="7" t="s">
        <v>274</v>
      </c>
      <c r="B102" s="25" t="s">
        <v>162</v>
      </c>
      <c r="C102" s="385" t="s">
        <v>1805</v>
      </c>
      <c r="D102" s="385" t="s">
        <v>342</v>
      </c>
      <c r="E102" s="385" t="s">
        <v>1945</v>
      </c>
      <c r="F102" s="387" t="s">
        <v>1662</v>
      </c>
      <c r="G102" s="7">
        <v>101.0</v>
      </c>
      <c r="H102" s="386">
        <f t="shared" si="21"/>
        <v>45925</v>
      </c>
      <c r="I102" s="7" t="b">
        <v>1</v>
      </c>
      <c r="J102" s="388" t="str">
        <f>IFERROR(__xludf.DUMMYFUNCTION("""COMPUTED_VALUE"""),"[Unbrilliant Glory] Gregor")</f>
        <v>[Unbrilliant Glory] Gregor</v>
      </c>
      <c r="K102" s="7">
        <v>4.0</v>
      </c>
      <c r="L102" s="387" t="s">
        <v>1949</v>
      </c>
      <c r="M102" s="8" t="str">
        <f>IFERROR(__xludf.DUMMYFUNCTION("""COMPUTED_VALUE"""),"")</f>
        <v/>
      </c>
      <c r="N102" s="8" t="str">
        <f>IFERROR(__xludf.DUMMYFUNCTION("""COMPUTED_VALUE"""),"")</f>
        <v/>
      </c>
      <c r="O102" s="7">
        <v>1.0</v>
      </c>
      <c r="P102" s="8"/>
    </row>
    <row r="103">
      <c r="A103" s="7" t="s">
        <v>1950</v>
      </c>
      <c r="B103" s="25" t="s">
        <v>161</v>
      </c>
      <c r="C103" s="385" t="s">
        <v>948</v>
      </c>
      <c r="D103" s="385" t="s">
        <v>319</v>
      </c>
      <c r="E103" s="385" t="s">
        <v>1951</v>
      </c>
      <c r="F103" s="8"/>
      <c r="G103" s="7">
        <v>102.0</v>
      </c>
      <c r="H103" s="386">
        <f t="shared" ref="H103:H104" si="22">DATE(2026, 1, 8)</f>
        <v>46030</v>
      </c>
      <c r="I103" s="7" t="b">
        <v>1</v>
      </c>
      <c r="J103" s="388" t="str">
        <f>IFERROR(__xludf.DUMMYFUNCTION("""COMPUTED_VALUE"""),"[I'll Go fer Scissors. How 'Bout You?] Outis")</f>
        <v>[I'll Go fer Scissors. How 'Bout You?] Outis</v>
      </c>
      <c r="K103" s="7">
        <v>3.0</v>
      </c>
      <c r="L103" s="387" t="s">
        <v>1952</v>
      </c>
      <c r="M103" s="8" t="str">
        <f>IFERROR(__xludf.DUMMYFUNCTION("""COMPUTED_VALUE"""),"")</f>
        <v/>
      </c>
      <c r="N103" s="8" t="str">
        <f>IFERROR(__xludf.DUMMYFUNCTION("""COMPUTED_VALUE"""),"")</f>
        <v/>
      </c>
      <c r="O103" s="8"/>
      <c r="P103" s="8"/>
    </row>
    <row r="104">
      <c r="A104" s="7" t="s">
        <v>1953</v>
      </c>
      <c r="B104" s="25" t="s">
        <v>158</v>
      </c>
      <c r="C104" s="385" t="s">
        <v>948</v>
      </c>
      <c r="D104" s="385" t="s">
        <v>327</v>
      </c>
      <c r="E104" s="385" t="s">
        <v>1951</v>
      </c>
      <c r="F104" s="387" t="s">
        <v>1954</v>
      </c>
      <c r="G104" s="7">
        <v>103.0</v>
      </c>
      <c r="H104" s="386">
        <f t="shared" si="22"/>
        <v>46030</v>
      </c>
      <c r="I104" s="7" t="b">
        <v>1</v>
      </c>
      <c r="J104" s="388" t="str">
        <f>IFERROR(__xludf.DUMMYFUNCTION("""COMPUTED_VALUE"""),"[Move-in Reg.] Heathcliff")</f>
        <v>[Move-in Reg.] Heathcliff</v>
      </c>
      <c r="K104" s="7">
        <v>3.0</v>
      </c>
      <c r="L104" s="387" t="s">
        <v>1545</v>
      </c>
      <c r="M104" s="8" t="str">
        <f>IFERROR(__xludf.DUMMYFUNCTION("""COMPUTED_VALUE"""),"")</f>
        <v/>
      </c>
      <c r="N104" s="8" t="str">
        <f>IFERROR(__xludf.DUMMYFUNCTION("""COMPUTED_VALUE"""),"")</f>
        <v/>
      </c>
      <c r="O104" s="8"/>
      <c r="P104" s="8"/>
    </row>
    <row r="105">
      <c r="A105" s="7" t="s">
        <v>1955</v>
      </c>
      <c r="B105" s="25" t="s">
        <v>12</v>
      </c>
      <c r="C105" s="385" t="s">
        <v>969</v>
      </c>
      <c r="D105" s="385" t="s">
        <v>342</v>
      </c>
      <c r="E105" s="385" t="s">
        <v>1951</v>
      </c>
      <c r="F105" s="387" t="s">
        <v>1956</v>
      </c>
      <c r="G105" s="7">
        <v>104.0</v>
      </c>
      <c r="H105" s="386">
        <f t="shared" ref="H105:H106" si="23">DATE(2026, 1, 15)</f>
        <v>46037</v>
      </c>
      <c r="I105" s="7" t="b">
        <v>1</v>
      </c>
      <c r="J105" s="388" t="str">
        <f>IFERROR(__xludf.DUMMYFUNCTION("""COMPUTED_VALUE"""),"[Great Trichiliocosm 【三千大世界】] Yi Sang")</f>
        <v>[Great Trichiliocosm 【三千大世界】] Yi Sang</v>
      </c>
      <c r="K105" s="7">
        <v>3.0</v>
      </c>
      <c r="L105" s="387" t="s">
        <v>1710</v>
      </c>
      <c r="M105" s="8" t="str">
        <f>IFERROR(__xludf.DUMMYFUNCTION("""COMPUTED_VALUE"""),"")</f>
        <v/>
      </c>
      <c r="N105" s="8" t="str">
        <f>IFERROR(__xludf.DUMMYFUNCTION("""COMPUTED_VALUE"""),"")</f>
        <v/>
      </c>
      <c r="O105" s="7">
        <v>4.0</v>
      </c>
      <c r="P105" s="8"/>
    </row>
    <row r="106">
      <c r="A106" s="7" t="s">
        <v>1955</v>
      </c>
      <c r="B106" s="25" t="s">
        <v>155</v>
      </c>
      <c r="C106" s="385" t="s">
        <v>969</v>
      </c>
      <c r="D106" s="385" t="s">
        <v>342</v>
      </c>
      <c r="E106" s="385" t="s">
        <v>1951</v>
      </c>
      <c r="F106" s="387" t="s">
        <v>1957</v>
      </c>
      <c r="G106" s="7">
        <v>105.0</v>
      </c>
      <c r="H106" s="386">
        <f t="shared" si="23"/>
        <v>46037</v>
      </c>
      <c r="I106" s="7" t="b">
        <v>1</v>
      </c>
      <c r="J106" s="388" t="str">
        <f>IFERROR(__xludf.DUMMYFUNCTION("""COMPUTED_VALUE"""),"[Great Trichiliocosm 【三千大世界】] Ryoshu")</f>
        <v>[Great Trichiliocosm 【三千大世界】] Ryoshu</v>
      </c>
      <c r="K106" s="7">
        <v>3.0</v>
      </c>
      <c r="L106" s="387" t="s">
        <v>1958</v>
      </c>
      <c r="M106" s="8" t="str">
        <f>IFERROR(__xludf.DUMMYFUNCTION("""COMPUTED_VALUE"""),"")</f>
        <v/>
      </c>
      <c r="N106" s="8" t="str">
        <f>IFERROR(__xludf.DUMMYFUNCTION("""COMPUTED_VALUE"""),"")</f>
        <v/>
      </c>
      <c r="O106" s="7">
        <v>3.0</v>
      </c>
      <c r="P106" s="8"/>
    </row>
    <row r="107">
      <c r="A107" s="7" t="s">
        <v>1959</v>
      </c>
      <c r="B107" s="25" t="s">
        <v>160</v>
      </c>
      <c r="C107" s="385" t="s">
        <v>969</v>
      </c>
      <c r="D107" s="385" t="s">
        <v>333</v>
      </c>
      <c r="E107" s="385" t="s">
        <v>1727</v>
      </c>
      <c r="F107" s="387" t="s">
        <v>1960</v>
      </c>
      <c r="G107" s="7">
        <v>106.0</v>
      </c>
      <c r="H107" s="386">
        <f>DATE(2026, 3, 5)</f>
        <v>46086</v>
      </c>
      <c r="I107" s="7" t="b">
        <v>1</v>
      </c>
      <c r="J107" s="388" t="str">
        <f>IFERROR(__xludf.DUMMYFUNCTION("""COMPUTED_VALUE"""),"[Harmony] Sinclair")</f>
        <v>[Harmony] Sinclair</v>
      </c>
      <c r="K107" s="7">
        <v>3.0</v>
      </c>
      <c r="L107" s="387" t="s">
        <v>1961</v>
      </c>
      <c r="M107" s="8" t="str">
        <f>IFERROR(__xludf.DUMMYFUNCTION("""COMPUTED_VALUE"""),"")</f>
        <v/>
      </c>
      <c r="N107" s="8" t="str">
        <f>IFERROR(__xludf.DUMMYFUNCTION("""COMPUTED_VALUE"""),"")</f>
        <v/>
      </c>
      <c r="O107" s="8"/>
      <c r="P107" s="8"/>
    </row>
    <row r="108">
      <c r="A108" s="7" t="s">
        <v>1844</v>
      </c>
      <c r="B108" s="25" t="s">
        <v>153</v>
      </c>
      <c r="C108" s="385" t="s">
        <v>969</v>
      </c>
      <c r="D108" s="385" t="s">
        <v>333</v>
      </c>
      <c r="E108" s="385" t="s">
        <v>1732</v>
      </c>
      <c r="F108" s="387" t="s">
        <v>138</v>
      </c>
      <c r="G108" s="7">
        <v>107.0</v>
      </c>
      <c r="H108" s="386">
        <f>DATE(2026, 3, 19)</f>
        <v>46100</v>
      </c>
      <c r="I108" s="7" t="b">
        <v>1</v>
      </c>
      <c r="J108" s="388" t="str">
        <f>IFERROR(__xludf.DUMMYFUNCTION("""COMPUTED_VALUE"""),"[Ardor Blossom Star] Faust")</f>
        <v>[Ardor Blossom Star] Faust</v>
      </c>
      <c r="K108" s="7">
        <v>3.0</v>
      </c>
      <c r="L108" s="387" t="s">
        <v>1962</v>
      </c>
      <c r="M108" s="8" t="str">
        <f>IFERROR(__xludf.DUMMYFUNCTION("""COMPUTED_VALUE"""),"")</f>
        <v/>
      </c>
      <c r="N108" s="8" t="str">
        <f>IFERROR(__xludf.DUMMYFUNCTION("""COMPUTED_VALUE"""),"")</f>
        <v/>
      </c>
      <c r="O108" s="8"/>
      <c r="P108" s="8"/>
    </row>
    <row r="109">
      <c r="A109" s="7" t="s">
        <v>1963</v>
      </c>
      <c r="B109" s="25" t="s">
        <v>159</v>
      </c>
      <c r="C109" s="385" t="s">
        <v>947</v>
      </c>
      <c r="D109" s="385" t="s">
        <v>319</v>
      </c>
      <c r="E109" s="385" t="s">
        <v>1732</v>
      </c>
      <c r="F109" s="387" t="s">
        <v>1483</v>
      </c>
      <c r="G109" s="7">
        <v>108.0</v>
      </c>
      <c r="H109" s="391">
        <f>DATE(2026, 4, 30)</f>
        <v>46142</v>
      </c>
      <c r="I109" s="8" t="b">
        <v>0</v>
      </c>
      <c r="J109" s="388" t="str">
        <f>IFERROR(__xludf.DUMMYFUNCTION("""COMPUTED_VALUE"""),"")</f>
        <v/>
      </c>
      <c r="K109" s="7" t="s">
        <v>1597</v>
      </c>
      <c r="L109" s="387" t="s">
        <v>1964</v>
      </c>
      <c r="M109" s="8" t="str">
        <f>IFERROR(__xludf.DUMMYFUNCTION("""COMPUTED_VALUE"""),"")</f>
        <v/>
      </c>
      <c r="N109" s="8" t="str">
        <f>IFERROR(__xludf.DUMMYFUNCTION("""COMPUTED_VALUE"""),"")</f>
        <v/>
      </c>
      <c r="O109" s="8"/>
      <c r="P109" s="7">
        <v>2.0</v>
      </c>
    </row>
    <row r="110">
      <c r="A110" s="7" t="s">
        <v>1965</v>
      </c>
      <c r="B110" s="25" t="s">
        <v>156</v>
      </c>
      <c r="C110" s="385" t="s">
        <v>1808</v>
      </c>
      <c r="D110" s="385" t="s">
        <v>333</v>
      </c>
      <c r="E110" s="385" t="s">
        <v>1744</v>
      </c>
      <c r="F110" s="387" t="s">
        <v>1454</v>
      </c>
      <c r="G110" s="7">
        <v>109.0</v>
      </c>
      <c r="H110" s="389">
        <f>'ID Level'!G180</f>
        <v>46184</v>
      </c>
      <c r="I110" s="8" t="b">
        <v>0</v>
      </c>
      <c r="J110" s="388" t="str">
        <f>IFERROR(__xludf.DUMMYFUNCTION("""COMPUTED_VALUE"""),"")</f>
        <v/>
      </c>
      <c r="K110" s="7" t="s">
        <v>1597</v>
      </c>
      <c r="L110" s="387" t="s">
        <v>1966</v>
      </c>
      <c r="M110" s="8" t="str">
        <f>IFERROR(__xludf.DUMMYFUNCTION("""COMPUTED_VALUE"""),"")</f>
        <v/>
      </c>
      <c r="N110" s="8" t="str">
        <f>IFERROR(__xludf.DUMMYFUNCTION("""COMPUTED_VALUE"""),"HE Season 7 Event [Shadow-Vested Bladesinger【着影揮刀】] Meursault")</f>
        <v>HE Season 7 Event [Shadow-Vested Bladesinger【着影揮刀】] Meursault</v>
      </c>
      <c r="O110" s="8"/>
      <c r="P110" s="7">
        <v>1.0</v>
      </c>
    </row>
    <row r="111">
      <c r="A111" s="7" t="s">
        <v>1967</v>
      </c>
      <c r="B111" s="25" t="s">
        <v>12</v>
      </c>
      <c r="C111" s="385" t="s">
        <v>970</v>
      </c>
      <c r="D111" s="385"/>
      <c r="E111" s="385" t="s">
        <v>1763</v>
      </c>
      <c r="F111" s="387" t="s">
        <v>134</v>
      </c>
      <c r="G111" s="7">
        <v>110.0</v>
      </c>
      <c r="H111" s="389">
        <f>'ID Level'!G183</f>
        <v>46212</v>
      </c>
      <c r="I111" s="8" t="b">
        <v>0</v>
      </c>
      <c r="J111" s="388" t="str">
        <f>IFERROR(__xludf.DUMMYFUNCTION("""COMPUTED_VALUE"""),"")</f>
        <v/>
      </c>
      <c r="K111" s="7" t="s">
        <v>1764</v>
      </c>
      <c r="L111" s="8"/>
      <c r="M111" s="8" t="str">
        <f>IFERROR(__xludf.DUMMYFUNCTION("""COMPUTED_VALUE""")," Walpurgisnaught 9 [The Life and Death of Lament] Yi Sang")</f>
        <v> Walpurgisnaught 9 [The Life and Death of Lament] Yi Sang</v>
      </c>
      <c r="N111" s="8" t="str">
        <f>IFERROR(__xludf.DUMMYFUNCTION("""COMPUTED_VALUE"""),"")</f>
        <v/>
      </c>
      <c r="O111" s="8"/>
      <c r="P111" s="8"/>
    </row>
    <row r="112">
      <c r="A112" s="7" t="s">
        <v>1968</v>
      </c>
      <c r="B112" s="25" t="s">
        <v>122</v>
      </c>
      <c r="C112" s="385" t="s">
        <v>948</v>
      </c>
      <c r="D112" s="385" t="s">
        <v>319</v>
      </c>
      <c r="E112" s="385" t="s">
        <v>1969</v>
      </c>
      <c r="F112" s="387" t="s">
        <v>148</v>
      </c>
      <c r="G112" s="7">
        <v>111.0</v>
      </c>
      <c r="H112" s="389">
        <f>'ID Level'!G186</f>
        <v>46242</v>
      </c>
      <c r="I112" s="8" t="b">
        <v>0</v>
      </c>
      <c r="J112" s="388" t="str">
        <f>IFERROR(__xludf.DUMMYFUNCTION("""COMPUTED_VALUE"""),"")</f>
        <v/>
      </c>
      <c r="K112" s="8"/>
      <c r="L112" s="8"/>
      <c r="M112" s="8" t="str">
        <f>IFERROR(__xludf.DUMMYFUNCTION("""COMPUTED_VALUE"""),"")</f>
        <v/>
      </c>
      <c r="N112" s="8" t="str">
        <f>IFERROR(__xludf.DUMMYFUNCTION("""COMPUTED_VALUE"""),"ZAYIN Season 8 BP [Funeral of a Dying Butterfly] Ishmael")</f>
        <v>ZAYIN Season 8 BP [Funeral of a Dying Butterfly] Ishmael</v>
      </c>
      <c r="O112" s="8"/>
      <c r="P112" s="8"/>
    </row>
    <row r="113">
      <c r="A113" s="7" t="s">
        <v>1970</v>
      </c>
      <c r="B113" s="25" t="s">
        <v>162</v>
      </c>
      <c r="C113" s="385"/>
      <c r="D113" s="385" t="s">
        <v>333</v>
      </c>
      <c r="E113" s="385" t="s">
        <v>1969</v>
      </c>
      <c r="F113" s="8"/>
      <c r="G113" s="7">
        <v>112.0</v>
      </c>
      <c r="H113" s="389">
        <f>'ID Level'!G188</f>
        <v>46249</v>
      </c>
      <c r="I113" s="8" t="b">
        <v>0</v>
      </c>
      <c r="J113" s="388" t="str">
        <f>IFERROR(__xludf.DUMMYFUNCTION("""COMPUTED_VALUE"""),"")</f>
        <v/>
      </c>
      <c r="K113" s="8"/>
      <c r="L113" s="8"/>
      <c r="M113" s="8" t="str">
        <f>IFERROR(__xludf.DUMMYFUNCTION("""COMPUTED_VALUE"""),"")</f>
        <v/>
      </c>
      <c r="N113" s="8" t="str">
        <f>IFERROR(__xludf.DUMMYFUNCTION("""COMPUTED_VALUE"""),"HE Season 8 BP [Schadenfreude] Gregor")</f>
        <v>HE Season 8 BP [Schadenfreude] Gregor</v>
      </c>
      <c r="O113" s="8"/>
      <c r="P113" s="8"/>
    </row>
    <row r="114">
      <c r="A114" s="7" t="s">
        <v>1971</v>
      </c>
      <c r="B114" s="25" t="s">
        <v>158</v>
      </c>
      <c r="C114" s="385"/>
      <c r="D114" s="385" t="s">
        <v>342</v>
      </c>
      <c r="E114" s="385" t="s">
        <v>1969</v>
      </c>
      <c r="F114" s="8"/>
      <c r="G114" s="7">
        <v>113.0</v>
      </c>
      <c r="H114" s="386">
        <f>'ID Level'!G189</f>
        <v>46263</v>
      </c>
      <c r="I114" s="8" t="b">
        <v>0</v>
      </c>
      <c r="J114" s="388" t="str">
        <f>IFERROR(__xludf.DUMMYFUNCTION("""COMPUTED_VALUE"""),"")</f>
        <v/>
      </c>
      <c r="K114" s="8"/>
      <c r="L114" s="8"/>
      <c r="M114" s="8" t="str">
        <f>IFERROR(__xludf.DUMMYFUNCTION("""COMPUTED_VALUE"""),"")</f>
        <v/>
      </c>
      <c r="N114" s="8" t="str">
        <f>IFERROR(__xludf.DUMMYFUNCTION("""COMPUTED_VALUE"""),"WAW Season 8 BP [Hole in the Man] Heathcliff")</f>
        <v>WAW Season 8 BP [Hole in the Man] Heathcliff</v>
      </c>
      <c r="O114" s="8"/>
      <c r="P114" s="8"/>
    </row>
    <row r="115">
      <c r="A115" s="7" t="s">
        <v>1971</v>
      </c>
      <c r="B115" s="25" t="s">
        <v>156</v>
      </c>
      <c r="C115" s="385"/>
      <c r="D115" s="385" t="s">
        <v>342</v>
      </c>
      <c r="E115" s="385" t="s">
        <v>1969</v>
      </c>
      <c r="F115" s="8"/>
      <c r="G115" s="7">
        <v>114.0</v>
      </c>
      <c r="H115" s="386">
        <f>'ID Level'!G189</f>
        <v>46263</v>
      </c>
      <c r="I115" s="8" t="b">
        <v>0</v>
      </c>
      <c r="J115" s="388" t="str">
        <f>IFERROR(__xludf.DUMMYFUNCTION("""COMPUTED_VALUE"""),"")</f>
        <v/>
      </c>
      <c r="K115" s="8"/>
      <c r="L115" s="8"/>
      <c r="M115" s="8" t="str">
        <f>IFERROR(__xludf.DUMMYFUNCTION("""COMPUTED_VALUE"""),"")</f>
        <v/>
      </c>
      <c r="N115" s="8" t="str">
        <f>IFERROR(__xludf.DUMMYFUNCTION("""COMPUTED_VALUE"""),"WAW Season 8 BP [Hole in the Man] Meursault")</f>
        <v>WAW Season 8 BP [Hole in the Man] Meursault</v>
      </c>
      <c r="O115" s="8"/>
      <c r="P115" s="8"/>
    </row>
    <row r="116">
      <c r="A116" s="8"/>
      <c r="B116" s="25"/>
      <c r="C116" s="385"/>
      <c r="D116" s="385"/>
      <c r="E116" s="385" t="s">
        <v>1779</v>
      </c>
      <c r="F116" s="8"/>
      <c r="G116" s="7">
        <v>115.0</v>
      </c>
      <c r="H116" s="386">
        <f>'ID Level'!G193</f>
        <v>46305</v>
      </c>
      <c r="I116" s="8" t="b">
        <v>0</v>
      </c>
      <c r="J116" s="388" t="str">
        <f>IFERROR(__xludf.DUMMYFUNCTION("""COMPUTED_VALUE"""),"")</f>
        <v/>
      </c>
      <c r="K116" s="8"/>
      <c r="L116" s="8"/>
      <c r="M116" s="8" t="str">
        <f>IFERROR(__xludf.DUMMYFUNCTION("""COMPUTED_VALUE"""),"")</f>
        <v/>
      </c>
      <c r="N116" s="8" t="str">
        <f>IFERROR(__xludf.DUMMYFUNCTION("""COMPUTED_VALUE"""),"")</f>
        <v/>
      </c>
      <c r="O116" s="8"/>
      <c r="P116" s="8"/>
    </row>
    <row r="117">
      <c r="A117" s="8"/>
      <c r="B117" s="25"/>
      <c r="C117" s="385"/>
      <c r="D117" s="385"/>
      <c r="E117" s="385" t="s">
        <v>1781</v>
      </c>
      <c r="F117" s="8"/>
      <c r="G117" s="7">
        <v>116.0</v>
      </c>
      <c r="H117" s="386">
        <f>'ID Level'!G197</f>
        <v>46333</v>
      </c>
      <c r="I117" s="8" t="b">
        <v>0</v>
      </c>
      <c r="J117" s="388" t="str">
        <f>IFERROR(__xludf.DUMMYFUNCTION("""COMPUTED_VALUE"""),"")</f>
        <v/>
      </c>
      <c r="K117" s="8"/>
      <c r="L117" s="8"/>
      <c r="M117" s="8" t="str">
        <f>IFERROR(__xludf.DUMMYFUNCTION("""COMPUTED_VALUE"""),"")</f>
        <v/>
      </c>
      <c r="N117" s="8" t="str">
        <f>IFERROR(__xludf.DUMMYFUNCTION("""COMPUTED_VALUE"""),"")</f>
        <v/>
      </c>
      <c r="O117" s="8"/>
      <c r="P117" s="8"/>
    </row>
    <row r="118">
      <c r="A118" s="8"/>
      <c r="B118" s="25"/>
      <c r="C118" s="385"/>
      <c r="D118" s="385"/>
      <c r="E118" s="385" t="s">
        <v>1781</v>
      </c>
      <c r="F118" s="8"/>
      <c r="G118" s="7">
        <v>117.0</v>
      </c>
      <c r="H118" s="386">
        <f>'ID Level'!G205</f>
        <v>46417</v>
      </c>
      <c r="I118" s="8" t="b">
        <v>0</v>
      </c>
      <c r="J118" s="388" t="str">
        <f>IFERROR(__xludf.DUMMYFUNCTION("""COMPUTED_VALUE"""),"")</f>
        <v/>
      </c>
      <c r="K118" s="8"/>
      <c r="L118" s="8"/>
      <c r="M118" s="8" t="str">
        <f>IFERROR(__xludf.DUMMYFUNCTION("""COMPUTED_VALUE"""),"")</f>
        <v/>
      </c>
      <c r="N118" s="8" t="str">
        <f>IFERROR(__xludf.DUMMYFUNCTION("""COMPUTED_VALUE"""),"")</f>
        <v/>
      </c>
      <c r="O118" s="8"/>
      <c r="P118" s="8"/>
    </row>
    <row r="119">
      <c r="A119" s="8"/>
      <c r="B119" s="25"/>
      <c r="C119" s="385"/>
      <c r="D119" s="385"/>
      <c r="E119" s="385" t="s">
        <v>1783</v>
      </c>
      <c r="F119" s="8"/>
      <c r="G119" s="7">
        <v>118.0</v>
      </c>
      <c r="H119" s="386">
        <f>'ID Level'!G209</f>
        <v>46445</v>
      </c>
      <c r="I119" s="8" t="b">
        <v>0</v>
      </c>
      <c r="J119" s="388" t="str">
        <f>IFERROR(__xludf.DUMMYFUNCTION("""COMPUTED_VALUE"""),"")</f>
        <v/>
      </c>
      <c r="K119" s="8"/>
      <c r="L119" s="8"/>
      <c r="M119" s="8" t="str">
        <f>IFERROR(__xludf.DUMMYFUNCTION("""COMPUTED_VALUE"""),"")</f>
        <v/>
      </c>
      <c r="N119" s="8" t="str">
        <f>IFERROR(__xludf.DUMMYFUNCTION("""COMPUTED_VALUE"""),"")</f>
        <v/>
      </c>
      <c r="O119" s="8"/>
      <c r="P119" s="8"/>
    </row>
    <row r="120">
      <c r="A120" s="8"/>
      <c r="B120" s="25"/>
      <c r="C120" s="385"/>
      <c r="D120" s="385"/>
      <c r="E120" s="385" t="s">
        <v>1786</v>
      </c>
      <c r="F120" s="8"/>
      <c r="G120" s="7">
        <v>119.0</v>
      </c>
      <c r="H120" s="386">
        <f>'ID Level'!G213</f>
        <v>46487</v>
      </c>
      <c r="I120" s="8" t="b">
        <v>0</v>
      </c>
      <c r="J120" s="388" t="str">
        <f>IFERROR(__xludf.DUMMYFUNCTION("""COMPUTED_VALUE"""),"")</f>
        <v/>
      </c>
      <c r="K120" s="8"/>
      <c r="L120" s="8"/>
      <c r="M120" s="8" t="str">
        <f>IFERROR(__xludf.DUMMYFUNCTION("""COMPUTED_VALUE"""),"")</f>
        <v/>
      </c>
      <c r="N120" s="8" t="str">
        <f>IFERROR(__xludf.DUMMYFUNCTION("""COMPUTED_VALUE"""),"")</f>
        <v/>
      </c>
      <c r="O120" s="8"/>
      <c r="P120" s="8"/>
    </row>
    <row r="121">
      <c r="A121" s="8"/>
      <c r="B121" s="25"/>
      <c r="C121" s="385"/>
      <c r="D121" s="385" t="s">
        <v>319</v>
      </c>
      <c r="E121" s="385" t="s">
        <v>1972</v>
      </c>
      <c r="F121" s="8"/>
      <c r="G121" s="7">
        <v>120.0</v>
      </c>
      <c r="H121" s="386">
        <f>'ID Level'!G216</f>
        <v>46508</v>
      </c>
      <c r="I121" s="8" t="b">
        <v>0</v>
      </c>
      <c r="J121" s="388" t="str">
        <f>IFERROR(__xludf.DUMMYFUNCTION("""COMPUTED_VALUE"""),"")</f>
        <v/>
      </c>
      <c r="K121" s="8"/>
      <c r="L121" s="8"/>
      <c r="M121" s="8" t="str">
        <f>IFERROR(__xludf.DUMMYFUNCTION("""COMPUTED_VALUE"""),"")</f>
        <v/>
      </c>
      <c r="N121" s="8" t="str">
        <f>IFERROR(__xludf.DUMMYFUNCTION("""COMPUTED_VALUE"""),"")</f>
        <v/>
      </c>
      <c r="O121" s="8"/>
      <c r="P121" s="8"/>
    </row>
    <row r="122">
      <c r="A122" s="8"/>
      <c r="B122" s="25"/>
      <c r="C122" s="385"/>
      <c r="D122" s="385" t="s">
        <v>327</v>
      </c>
      <c r="E122" s="385" t="s">
        <v>1972</v>
      </c>
      <c r="F122" s="8"/>
      <c r="G122" s="7">
        <v>121.0</v>
      </c>
      <c r="H122" s="386">
        <f>'ID Level'!G218</f>
        <v>46536</v>
      </c>
      <c r="I122" s="8" t="b">
        <v>0</v>
      </c>
      <c r="J122" s="388" t="str">
        <f>IFERROR(__xludf.DUMMYFUNCTION("""COMPUTED_VALUE"""),"")</f>
        <v/>
      </c>
      <c r="K122" s="8"/>
      <c r="L122" s="8"/>
      <c r="M122" s="8" t="str">
        <f>IFERROR(__xludf.DUMMYFUNCTION("""COMPUTED_VALUE"""),"")</f>
        <v/>
      </c>
      <c r="N122" s="8" t="str">
        <f>IFERROR(__xludf.DUMMYFUNCTION("""COMPUTED_VALUE"""),"")</f>
        <v/>
      </c>
      <c r="O122" s="8"/>
      <c r="P122" s="8"/>
    </row>
    <row r="123">
      <c r="A123" s="8"/>
      <c r="B123" s="25"/>
      <c r="C123" s="385"/>
      <c r="D123" s="385" t="s">
        <v>342</v>
      </c>
      <c r="E123" s="385" t="s">
        <v>1972</v>
      </c>
      <c r="F123" s="8"/>
      <c r="G123" s="7">
        <v>122.0</v>
      </c>
      <c r="H123" s="386">
        <f>'ID Level'!G219</f>
        <v>46536</v>
      </c>
      <c r="I123" s="8" t="b">
        <v>0</v>
      </c>
      <c r="J123" s="388" t="str">
        <f>IFERROR(__xludf.DUMMYFUNCTION("""COMPUTED_VALUE"""),"")</f>
        <v/>
      </c>
      <c r="K123" s="8"/>
      <c r="L123" s="8"/>
      <c r="M123" s="8" t="str">
        <f>IFERROR(__xludf.DUMMYFUNCTION("""COMPUTED_VALUE"""),"")</f>
        <v/>
      </c>
      <c r="N123" s="8" t="str">
        <f>IFERROR(__xludf.DUMMYFUNCTION("""COMPUTED_VALUE"""),"")</f>
        <v/>
      </c>
      <c r="O123" s="8"/>
      <c r="P123" s="8"/>
    </row>
    <row r="124">
      <c r="A124" s="8"/>
      <c r="B124" s="25"/>
      <c r="C124" s="385"/>
      <c r="D124" s="385" t="s">
        <v>342</v>
      </c>
      <c r="E124" s="385" t="s">
        <v>1972</v>
      </c>
      <c r="F124" s="8"/>
      <c r="G124" s="7">
        <v>123.0</v>
      </c>
      <c r="H124" s="386">
        <f>'ID Level'!G219</f>
        <v>46536</v>
      </c>
      <c r="I124" s="8" t="b">
        <v>0</v>
      </c>
      <c r="J124" s="388" t="str">
        <f>IFERROR(__xludf.DUMMYFUNCTION("""COMPUTED_VALUE"""),"")</f>
        <v/>
      </c>
      <c r="K124" s="8"/>
      <c r="L124" s="8"/>
      <c r="M124" s="8" t="str">
        <f>IFERROR(__xludf.DUMMYFUNCTION("""COMPUTED_VALUE"""),"")</f>
        <v/>
      </c>
      <c r="N124" s="8" t="str">
        <f>IFERROR(__xludf.DUMMYFUNCTION("""COMPUTED_VALUE"""),"")</f>
        <v/>
      </c>
      <c r="O124" s="8"/>
      <c r="P124" s="8"/>
    </row>
    <row r="125">
      <c r="A125" s="8"/>
      <c r="B125" s="25"/>
      <c r="C125" s="385"/>
      <c r="D125" s="385"/>
      <c r="E125" s="385" t="s">
        <v>1788</v>
      </c>
      <c r="F125" s="8"/>
      <c r="G125" s="7">
        <v>124.0</v>
      </c>
      <c r="H125" s="386">
        <f>'ID Level'!G223</f>
        <v>46578</v>
      </c>
      <c r="I125" s="8" t="b">
        <v>0</v>
      </c>
      <c r="J125" s="388" t="str">
        <f>IFERROR(__xludf.DUMMYFUNCTION("""COMPUTED_VALUE"""),"")</f>
        <v/>
      </c>
      <c r="K125" s="8"/>
      <c r="L125" s="8"/>
      <c r="M125" s="8" t="str">
        <f>IFERROR(__xludf.DUMMYFUNCTION("""COMPUTED_VALUE"""),"")</f>
        <v/>
      </c>
      <c r="N125" s="8" t="str">
        <f>IFERROR(__xludf.DUMMYFUNCTION("""COMPUTED_VALUE"""),"")</f>
        <v/>
      </c>
      <c r="O125" s="8"/>
      <c r="P125" s="8"/>
    </row>
    <row r="126">
      <c r="A126" s="8"/>
      <c r="B126" s="25"/>
      <c r="C126" s="385"/>
      <c r="D126" s="385"/>
      <c r="E126" s="385" t="s">
        <v>1790</v>
      </c>
      <c r="F126" s="8"/>
      <c r="G126" s="7">
        <v>125.0</v>
      </c>
      <c r="H126" s="386">
        <f>'ID Level'!G225</f>
        <v>46592</v>
      </c>
      <c r="I126" s="8" t="b">
        <v>0</v>
      </c>
      <c r="J126" s="388" t="str">
        <f>IFERROR(__xludf.DUMMYFUNCTION("""COMPUTED_VALUE"""),"")</f>
        <v/>
      </c>
      <c r="K126" s="8"/>
      <c r="L126" s="8"/>
      <c r="M126" s="8" t="str">
        <f>IFERROR(__xludf.DUMMYFUNCTION("""COMPUTED_VALUE"""),"")</f>
        <v/>
      </c>
      <c r="N126" s="8" t="str">
        <f>IFERROR(__xludf.DUMMYFUNCTION("""COMPUTED_VALUE"""),"")</f>
        <v/>
      </c>
      <c r="O126" s="8"/>
      <c r="P126" s="8"/>
    </row>
    <row r="127">
      <c r="A127" s="8"/>
      <c r="B127" s="25"/>
      <c r="C127" s="385"/>
      <c r="D127" s="385"/>
      <c r="E127" s="385" t="s">
        <v>1790</v>
      </c>
      <c r="F127" s="8"/>
      <c r="G127" s="7">
        <v>126.0</v>
      </c>
      <c r="H127" s="386">
        <f>'ID Level'!G232</f>
        <v>46662</v>
      </c>
      <c r="I127" s="8" t="b">
        <v>0</v>
      </c>
      <c r="J127" s="388" t="str">
        <f>IFERROR(__xludf.DUMMYFUNCTION("""COMPUTED_VALUE"""),"")</f>
        <v/>
      </c>
      <c r="K127" s="8"/>
      <c r="L127" s="8"/>
      <c r="M127" s="8" t="str">
        <f>IFERROR(__xludf.DUMMYFUNCTION("""COMPUTED_VALUE"""),"")</f>
        <v/>
      </c>
      <c r="N127" s="8" t="str">
        <f>IFERROR(__xludf.DUMMYFUNCTION("""COMPUTED_VALUE"""),"")</f>
        <v/>
      </c>
      <c r="O127" s="8"/>
      <c r="P127" s="8"/>
    </row>
    <row r="128">
      <c r="A128" s="8"/>
      <c r="B128" s="25"/>
      <c r="C128" s="385"/>
      <c r="D128" s="385"/>
      <c r="E128" s="385" t="s">
        <v>1792</v>
      </c>
      <c r="F128" s="8"/>
      <c r="G128" s="7">
        <v>127.0</v>
      </c>
      <c r="H128" s="386">
        <f>'ID Level'!G236</f>
        <v>46690</v>
      </c>
      <c r="I128" s="8" t="b">
        <v>0</v>
      </c>
      <c r="J128" s="388" t="str">
        <f>IFERROR(__xludf.DUMMYFUNCTION("""COMPUTED_VALUE"""),"")</f>
        <v/>
      </c>
      <c r="K128" s="8"/>
      <c r="L128" s="8"/>
      <c r="M128" s="8" t="str">
        <f>IFERROR(__xludf.DUMMYFUNCTION("""COMPUTED_VALUE"""),"")</f>
        <v/>
      </c>
      <c r="N128" s="8" t="str">
        <f>IFERROR(__xludf.DUMMYFUNCTION("""COMPUTED_VALUE"""),"")</f>
        <v/>
      </c>
      <c r="O128" s="8"/>
      <c r="P128" s="8"/>
    </row>
    <row r="129">
      <c r="A129" s="8"/>
      <c r="B129" s="25"/>
      <c r="C129" s="385"/>
      <c r="D129" s="385"/>
      <c r="E129" s="385" t="s">
        <v>1794</v>
      </c>
      <c r="F129" s="8"/>
      <c r="G129" s="7">
        <v>128.0</v>
      </c>
      <c r="H129" s="386">
        <f>'ID Level'!G240</f>
        <v>46732</v>
      </c>
      <c r="I129" s="8" t="b">
        <v>0</v>
      </c>
      <c r="J129" s="388" t="str">
        <f>IFERROR(__xludf.DUMMYFUNCTION("""COMPUTED_VALUE"""),"")</f>
        <v/>
      </c>
      <c r="K129" s="8"/>
      <c r="L129" s="8"/>
      <c r="M129" s="8" t="str">
        <f>IFERROR(__xludf.DUMMYFUNCTION("""COMPUTED_VALUE"""),"")</f>
        <v/>
      </c>
      <c r="N129" s="8" t="str">
        <f>IFERROR(__xludf.DUMMYFUNCTION("""COMPUTED_VALUE"""),"")</f>
        <v/>
      </c>
      <c r="O129" s="8"/>
      <c r="P129" s="8"/>
    </row>
    <row r="130">
      <c r="A130" s="8"/>
      <c r="B130" s="25"/>
      <c r="C130" s="385"/>
      <c r="D130" s="385" t="s">
        <v>319</v>
      </c>
      <c r="E130" s="385" t="s">
        <v>1973</v>
      </c>
      <c r="F130" s="8"/>
      <c r="G130" s="7">
        <v>129.0</v>
      </c>
      <c r="H130" s="386">
        <f>'ID Level'!G244</f>
        <v>46767</v>
      </c>
      <c r="I130" s="8" t="b">
        <v>0</v>
      </c>
      <c r="J130" s="388" t="str">
        <f>IFERROR(__xludf.DUMMYFUNCTION("""COMPUTED_VALUE"""),"")</f>
        <v/>
      </c>
      <c r="K130" s="8"/>
      <c r="L130" s="8"/>
      <c r="M130" s="8" t="str">
        <f>IFERROR(__xludf.DUMMYFUNCTION("""COMPUTED_VALUE"""),"")</f>
        <v/>
      </c>
      <c r="N130" s="8" t="str">
        <f>IFERROR(__xludf.DUMMYFUNCTION("""COMPUTED_VALUE"""),"")</f>
        <v/>
      </c>
      <c r="O130" s="8"/>
      <c r="P130" s="8"/>
    </row>
    <row r="131">
      <c r="A131" s="8"/>
      <c r="B131" s="25"/>
      <c r="C131" s="385"/>
      <c r="D131" s="385" t="s">
        <v>333</v>
      </c>
      <c r="E131" s="385" t="s">
        <v>1973</v>
      </c>
      <c r="F131" s="8"/>
      <c r="G131" s="7">
        <v>130.0</v>
      </c>
      <c r="H131" s="386">
        <f>'ID Level'!G245</f>
        <v>46781</v>
      </c>
      <c r="I131" s="8" t="b">
        <v>0</v>
      </c>
      <c r="J131" s="388" t="str">
        <f>IFERROR(__xludf.DUMMYFUNCTION("""COMPUTED_VALUE"""),"")</f>
        <v/>
      </c>
      <c r="K131" s="8"/>
      <c r="L131" s="8"/>
      <c r="M131" s="8" t="str">
        <f>IFERROR(__xludf.DUMMYFUNCTION("""COMPUTED_VALUE"""),"")</f>
        <v/>
      </c>
      <c r="N131" s="8" t="str">
        <f>IFERROR(__xludf.DUMMYFUNCTION("""COMPUTED_VALUE"""),"")</f>
        <v/>
      </c>
      <c r="O131" s="8"/>
      <c r="P131" s="8"/>
    </row>
    <row r="132">
      <c r="A132" s="8"/>
      <c r="B132" s="25"/>
      <c r="C132" s="385"/>
      <c r="D132" s="385" t="s">
        <v>342</v>
      </c>
      <c r="E132" s="385" t="s">
        <v>1973</v>
      </c>
      <c r="F132" s="8"/>
      <c r="G132" s="7">
        <v>131.0</v>
      </c>
      <c r="H132" s="386">
        <f>'ID Level'!G246</f>
        <v>46781</v>
      </c>
      <c r="I132" s="8" t="b">
        <v>0</v>
      </c>
      <c r="J132" s="388" t="str">
        <f>IFERROR(__xludf.DUMMYFUNCTION("""COMPUTED_VALUE"""),"")</f>
        <v/>
      </c>
      <c r="K132" s="8"/>
      <c r="L132" s="8"/>
      <c r="M132" s="8" t="str">
        <f>IFERROR(__xludf.DUMMYFUNCTION("""COMPUTED_VALUE"""),"")</f>
        <v/>
      </c>
      <c r="N132" s="8" t="str">
        <f>IFERROR(__xludf.DUMMYFUNCTION("""COMPUTED_VALUE"""),"")</f>
        <v/>
      </c>
      <c r="O132" s="8"/>
      <c r="P132" s="8"/>
    </row>
    <row r="133">
      <c r="A133" s="8"/>
      <c r="B133" s="25"/>
      <c r="C133" s="385"/>
      <c r="D133" s="385" t="s">
        <v>342</v>
      </c>
      <c r="E133" s="385" t="s">
        <v>1973</v>
      </c>
      <c r="F133" s="8"/>
      <c r="G133" s="7">
        <v>132.0</v>
      </c>
      <c r="H133" s="386">
        <f>'ID Level'!G246</f>
        <v>46781</v>
      </c>
      <c r="I133" s="8" t="b">
        <v>0</v>
      </c>
      <c r="J133" s="388" t="str">
        <f>IFERROR(__xludf.DUMMYFUNCTION("""COMPUTED_VALUE"""),"")</f>
        <v/>
      </c>
      <c r="K133" s="8"/>
      <c r="L133" s="8"/>
      <c r="M133" s="8" t="str">
        <f>IFERROR(__xludf.DUMMYFUNCTION("""COMPUTED_VALUE"""),"")</f>
        <v/>
      </c>
      <c r="N133" s="8" t="str">
        <f>IFERROR(__xludf.DUMMYFUNCTION("""COMPUTED_VALUE"""),"")</f>
        <v/>
      </c>
      <c r="O133" s="8"/>
      <c r="P133" s="8"/>
    </row>
    <row r="134">
      <c r="A134" s="8"/>
      <c r="B134" s="25"/>
      <c r="C134" s="385"/>
      <c r="D134" s="385"/>
      <c r="E134" s="385" t="s">
        <v>1796</v>
      </c>
      <c r="F134" s="8"/>
      <c r="G134" s="7">
        <v>133.0</v>
      </c>
      <c r="H134" s="386">
        <f>'ID Level'!G250</f>
        <v>46823</v>
      </c>
      <c r="I134" s="8" t="b">
        <v>0</v>
      </c>
      <c r="J134" s="388" t="str">
        <f>IFERROR(__xludf.DUMMYFUNCTION("""COMPUTED_VALUE"""),"")</f>
        <v/>
      </c>
      <c r="K134" s="8"/>
      <c r="L134" s="8"/>
      <c r="M134" s="8" t="str">
        <f>IFERROR(__xludf.DUMMYFUNCTION("""COMPUTED_VALUE"""),"")</f>
        <v/>
      </c>
      <c r="N134" s="8" t="str">
        <f>IFERROR(__xludf.DUMMYFUNCTION("""COMPUTED_VALUE"""),"")</f>
        <v/>
      </c>
      <c r="O134" s="8"/>
      <c r="P134" s="8"/>
    </row>
    <row r="135">
      <c r="A135" s="8"/>
      <c r="B135" s="25"/>
      <c r="C135" s="385"/>
      <c r="D135" s="385" t="s">
        <v>1974</v>
      </c>
      <c r="E135" s="385" t="s">
        <v>1797</v>
      </c>
      <c r="F135" s="8"/>
      <c r="G135" s="7">
        <v>134.0</v>
      </c>
      <c r="H135" s="386">
        <f>'ID Level'!G252</f>
        <v>46837</v>
      </c>
      <c r="I135" s="8" t="b">
        <v>0</v>
      </c>
      <c r="J135" s="388" t="str">
        <f>IFERROR(__xludf.DUMMYFUNCTION("""COMPUTED_VALUE"""),"")</f>
        <v/>
      </c>
      <c r="K135" s="8"/>
      <c r="L135" s="8"/>
      <c r="M135" s="8" t="str">
        <f>IFERROR(__xludf.DUMMYFUNCTION("""COMPUTED_VALUE"""),"")</f>
        <v/>
      </c>
      <c r="N135" s="8" t="str">
        <f>IFERROR(__xludf.DUMMYFUNCTION("""COMPUTED_VALUE"""),"")</f>
        <v/>
      </c>
      <c r="O135" s="8"/>
      <c r="P135" s="8"/>
    </row>
    <row r="136">
      <c r="A136" s="8"/>
      <c r="B136" s="25"/>
      <c r="C136" s="385"/>
      <c r="D136" s="385"/>
      <c r="E136" s="385" t="s">
        <v>1797</v>
      </c>
      <c r="F136" s="8"/>
      <c r="G136" s="7">
        <v>135.0</v>
      </c>
      <c r="H136" s="386">
        <f>'ID Level'!G259</f>
        <v>46907</v>
      </c>
      <c r="I136" s="8" t="b">
        <v>0</v>
      </c>
      <c r="J136" s="388" t="str">
        <f>IFERROR(__xludf.DUMMYFUNCTION("""COMPUTED_VALUE"""),"")</f>
        <v/>
      </c>
      <c r="K136" s="8"/>
      <c r="L136" s="8"/>
      <c r="M136" s="8" t="str">
        <f>IFERROR(__xludf.DUMMYFUNCTION("""COMPUTED_VALUE"""),"")</f>
        <v/>
      </c>
      <c r="N136" s="8" t="str">
        <f>IFERROR(__xludf.DUMMYFUNCTION("""COMPUTED_VALUE"""),"")</f>
        <v/>
      </c>
      <c r="O136" s="8"/>
      <c r="P136" s="8"/>
    </row>
    <row r="137">
      <c r="A137" s="8"/>
      <c r="B137" s="25"/>
      <c r="C137" s="385"/>
      <c r="D137" s="385"/>
      <c r="E137" s="385" t="s">
        <v>1799</v>
      </c>
      <c r="F137" s="8"/>
      <c r="G137" s="7">
        <v>136.0</v>
      </c>
      <c r="H137" s="386">
        <f>'ID Level'!G263</f>
        <v>46935</v>
      </c>
      <c r="I137" s="8" t="b">
        <v>0</v>
      </c>
      <c r="J137" s="388" t="str">
        <f>IFERROR(__xludf.DUMMYFUNCTION("""COMPUTED_VALUE"""),"")</f>
        <v/>
      </c>
      <c r="K137" s="8"/>
      <c r="L137" s="8"/>
      <c r="M137" s="8" t="str">
        <f>IFERROR(__xludf.DUMMYFUNCTION("""COMPUTED_VALUE"""),"")</f>
        <v/>
      </c>
      <c r="N137" s="8" t="str">
        <f>IFERROR(__xludf.DUMMYFUNCTION("""COMPUTED_VALUE"""),"")</f>
        <v/>
      </c>
      <c r="O137" s="8"/>
      <c r="P137" s="8"/>
    </row>
    <row r="138">
      <c r="A138" s="8"/>
      <c r="B138" s="25"/>
      <c r="C138" s="385"/>
      <c r="D138" s="385"/>
      <c r="E138" s="385" t="s">
        <v>1800</v>
      </c>
      <c r="F138" s="8"/>
      <c r="G138" s="7">
        <v>137.0</v>
      </c>
      <c r="H138" s="386">
        <f>'ID Level'!G267</f>
        <v>46977</v>
      </c>
      <c r="I138" s="8" t="b">
        <v>0</v>
      </c>
      <c r="J138" s="388" t="str">
        <f>IFERROR(__xludf.DUMMYFUNCTION("""COMPUTED_VALUE"""),"")</f>
        <v/>
      </c>
      <c r="K138" s="8"/>
      <c r="L138" s="8"/>
      <c r="M138" s="8" t="str">
        <f>IFERROR(__xludf.DUMMYFUNCTION("""COMPUTED_VALUE"""),"")</f>
        <v/>
      </c>
      <c r="N138" s="8" t="str">
        <f>IFERROR(__xludf.DUMMYFUNCTION("""COMPUTED_VALUE"""),"")</f>
        <v/>
      </c>
      <c r="O138" s="8"/>
      <c r="P138" s="8"/>
    </row>
    <row r="139">
      <c r="A139" s="8"/>
      <c r="B139" s="25"/>
      <c r="C139" s="385"/>
      <c r="D139" s="385"/>
      <c r="E139" s="385"/>
      <c r="F139" s="8"/>
      <c r="G139" s="8"/>
      <c r="H139" s="386"/>
      <c r="I139" s="8" t="b">
        <v>0</v>
      </c>
      <c r="J139" s="388" t="str">
        <f>IFERROR(__xludf.DUMMYFUNCTION("""COMPUTED_VALUE"""),"")</f>
        <v/>
      </c>
      <c r="K139" s="8"/>
      <c r="L139" s="8"/>
      <c r="M139" s="8" t="str">
        <f>IFERROR(__xludf.DUMMYFUNCTION("""COMPUTED_VALUE"""),"")</f>
        <v/>
      </c>
      <c r="N139" s="8" t="str">
        <f>IFERROR(__xludf.DUMMYFUNCTION("""COMPUTED_VALUE"""),"")</f>
        <v/>
      </c>
      <c r="O139" s="8"/>
      <c r="P139" s="8"/>
    </row>
    <row r="140">
      <c r="A140" s="8"/>
      <c r="B140" s="25"/>
      <c r="C140" s="385"/>
      <c r="D140" s="385"/>
      <c r="E140" s="385"/>
      <c r="F140" s="8"/>
      <c r="G140" s="8"/>
      <c r="H140" s="386"/>
      <c r="I140" s="8" t="b">
        <v>0</v>
      </c>
      <c r="J140" s="388" t="str">
        <f>IFERROR(__xludf.DUMMYFUNCTION("""COMPUTED_VALUE"""),"")</f>
        <v/>
      </c>
      <c r="K140" s="8"/>
      <c r="L140" s="8"/>
      <c r="M140" s="8" t="str">
        <f>IFERROR(__xludf.DUMMYFUNCTION("""COMPUTED_VALUE"""),"")</f>
        <v/>
      </c>
      <c r="N140" s="8" t="str">
        <f>IFERROR(__xludf.DUMMYFUNCTION("""COMPUTED_VALUE"""),"")</f>
        <v/>
      </c>
      <c r="O140" s="8"/>
      <c r="P140" s="8"/>
    </row>
    <row r="141">
      <c r="A141" s="8"/>
      <c r="B141" s="25"/>
      <c r="C141" s="385"/>
      <c r="D141" s="385"/>
      <c r="E141" s="385"/>
      <c r="F141" s="8"/>
      <c r="G141" s="8"/>
      <c r="H141" s="386"/>
      <c r="I141" s="8" t="b">
        <v>0</v>
      </c>
      <c r="J141" s="388" t="str">
        <f>IFERROR(__xludf.DUMMYFUNCTION("""COMPUTED_VALUE"""),"")</f>
        <v/>
      </c>
      <c r="K141" s="8"/>
      <c r="L141" s="8"/>
      <c r="M141" s="8" t="str">
        <f>IFERROR(__xludf.DUMMYFUNCTION("""COMPUTED_VALUE"""),"")</f>
        <v/>
      </c>
      <c r="N141" s="8" t="str">
        <f>IFERROR(__xludf.DUMMYFUNCTION("""COMPUTED_VALUE"""),"")</f>
        <v/>
      </c>
      <c r="O141" s="8"/>
      <c r="P141" s="8"/>
    </row>
    <row r="142">
      <c r="A142" s="8"/>
      <c r="B142" s="25"/>
      <c r="C142" s="385"/>
      <c r="D142" s="385"/>
      <c r="E142" s="385"/>
      <c r="F142" s="8"/>
      <c r="G142" s="8"/>
      <c r="H142" s="386"/>
      <c r="I142" s="8" t="b">
        <v>0</v>
      </c>
      <c r="J142" s="388" t="str">
        <f>IFERROR(__xludf.DUMMYFUNCTION("""COMPUTED_VALUE"""),"")</f>
        <v/>
      </c>
      <c r="K142" s="8"/>
      <c r="L142" s="8"/>
      <c r="M142" s="8" t="str">
        <f>IFERROR(__xludf.DUMMYFUNCTION("""COMPUTED_VALUE"""),"")</f>
        <v/>
      </c>
      <c r="N142" s="8" t="str">
        <f>IFERROR(__xludf.DUMMYFUNCTION("""COMPUTED_VALUE"""),"")</f>
        <v/>
      </c>
      <c r="O142" s="8"/>
      <c r="P142" s="8"/>
    </row>
    <row r="143">
      <c r="A143" s="8"/>
      <c r="B143" s="25"/>
      <c r="C143" s="385"/>
      <c r="D143" s="385"/>
      <c r="E143" s="385"/>
      <c r="F143" s="8"/>
      <c r="G143" s="8"/>
      <c r="H143" s="386"/>
      <c r="I143" s="8" t="b">
        <v>0</v>
      </c>
      <c r="J143" s="388" t="str">
        <f>IFERROR(__xludf.DUMMYFUNCTION("""COMPUTED_VALUE"""),"")</f>
        <v/>
      </c>
      <c r="K143" s="8"/>
      <c r="L143" s="8"/>
      <c r="M143" s="8" t="str">
        <f>IFERROR(__xludf.DUMMYFUNCTION("""COMPUTED_VALUE"""),"")</f>
        <v/>
      </c>
      <c r="N143" s="8" t="str">
        <f>IFERROR(__xludf.DUMMYFUNCTION("""COMPUTED_VALUE"""),"")</f>
        <v/>
      </c>
      <c r="O143" s="8"/>
      <c r="P143" s="8"/>
    </row>
    <row r="144">
      <c r="A144" s="8"/>
      <c r="B144" s="25"/>
      <c r="C144" s="385"/>
      <c r="D144" s="385"/>
      <c r="E144" s="385"/>
      <c r="F144" s="8"/>
      <c r="G144" s="8"/>
      <c r="H144" s="386"/>
      <c r="I144" s="8" t="b">
        <v>0</v>
      </c>
      <c r="J144" s="388" t="str">
        <f>IFERROR(__xludf.DUMMYFUNCTION("""COMPUTED_VALUE"""),"")</f>
        <v/>
      </c>
      <c r="K144" s="8"/>
      <c r="L144" s="8"/>
      <c r="M144" s="8" t="str">
        <f>IFERROR(__xludf.DUMMYFUNCTION("""COMPUTED_VALUE"""),"")</f>
        <v/>
      </c>
      <c r="N144" s="8" t="str">
        <f>IFERROR(__xludf.DUMMYFUNCTION("""COMPUTED_VALUE"""),"")</f>
        <v/>
      </c>
      <c r="O144" s="8"/>
      <c r="P144" s="8"/>
    </row>
    <row r="145">
      <c r="A145" s="8"/>
      <c r="B145" s="25"/>
      <c r="C145" s="385"/>
      <c r="D145" s="385"/>
      <c r="E145" s="385"/>
      <c r="F145" s="8"/>
      <c r="G145" s="8"/>
      <c r="H145" s="386"/>
      <c r="I145" s="8" t="b">
        <v>0</v>
      </c>
      <c r="J145" s="388" t="str">
        <f>IFERROR(__xludf.DUMMYFUNCTION("""COMPUTED_VALUE"""),"")</f>
        <v/>
      </c>
      <c r="K145" s="8"/>
      <c r="L145" s="8"/>
      <c r="M145" s="8" t="str">
        <f>IFERROR(__xludf.DUMMYFUNCTION("""COMPUTED_VALUE"""),"")</f>
        <v/>
      </c>
      <c r="N145" s="8" t="str">
        <f>IFERROR(__xludf.DUMMYFUNCTION("""COMPUTED_VALUE"""),"")</f>
        <v/>
      </c>
      <c r="O145" s="8"/>
      <c r="P145" s="8"/>
    </row>
    <row r="146">
      <c r="A146" s="8"/>
      <c r="B146" s="25"/>
      <c r="C146" s="385"/>
      <c r="D146" s="385"/>
      <c r="E146" s="385"/>
      <c r="F146" s="8"/>
      <c r="G146" s="8"/>
      <c r="H146" s="386"/>
      <c r="I146" s="8" t="b">
        <v>0</v>
      </c>
      <c r="J146" s="388" t="str">
        <f>IFERROR(__xludf.DUMMYFUNCTION("""COMPUTED_VALUE"""),"")</f>
        <v/>
      </c>
      <c r="K146" s="8"/>
      <c r="L146" s="8"/>
      <c r="M146" s="8" t="str">
        <f>IFERROR(__xludf.DUMMYFUNCTION("""COMPUTED_VALUE"""),"")</f>
        <v/>
      </c>
      <c r="N146" s="8" t="str">
        <f>IFERROR(__xludf.DUMMYFUNCTION("""COMPUTED_VALUE"""),"")</f>
        <v/>
      </c>
      <c r="O146" s="8"/>
      <c r="P146" s="8"/>
    </row>
    <row r="147">
      <c r="A147" s="8"/>
      <c r="B147" s="25"/>
      <c r="C147" s="385"/>
      <c r="D147" s="385"/>
      <c r="E147" s="385"/>
      <c r="F147" s="8"/>
      <c r="G147" s="8"/>
      <c r="H147" s="386"/>
      <c r="I147" s="8" t="b">
        <v>0</v>
      </c>
      <c r="J147" s="388" t="str">
        <f>IFERROR(__xludf.DUMMYFUNCTION("""COMPUTED_VALUE"""),"")</f>
        <v/>
      </c>
      <c r="K147" s="8"/>
      <c r="L147" s="8"/>
      <c r="M147" s="8" t="str">
        <f>IFERROR(__xludf.DUMMYFUNCTION("""COMPUTED_VALUE"""),"")</f>
        <v/>
      </c>
      <c r="N147" s="8" t="str">
        <f>IFERROR(__xludf.DUMMYFUNCTION("""COMPUTED_VALUE"""),"")</f>
        <v/>
      </c>
      <c r="O147" s="8"/>
      <c r="P147" s="8"/>
    </row>
    <row r="148">
      <c r="A148" s="8"/>
      <c r="B148" s="25"/>
      <c r="C148" s="385"/>
      <c r="D148" s="385"/>
      <c r="E148" s="385"/>
      <c r="F148" s="8"/>
      <c r="G148" s="8"/>
      <c r="H148" s="386"/>
      <c r="I148" s="8" t="b">
        <v>0</v>
      </c>
      <c r="J148" s="388" t="str">
        <f>IFERROR(__xludf.DUMMYFUNCTION("""COMPUTED_VALUE"""),"")</f>
        <v/>
      </c>
      <c r="K148" s="8"/>
      <c r="L148" s="8"/>
      <c r="M148" s="8" t="str">
        <f>IFERROR(__xludf.DUMMYFUNCTION("""COMPUTED_VALUE"""),"")</f>
        <v/>
      </c>
      <c r="N148" s="8" t="str">
        <f>IFERROR(__xludf.DUMMYFUNCTION("""COMPUTED_VALUE"""),"")</f>
        <v/>
      </c>
      <c r="O148" s="8"/>
      <c r="P148" s="8"/>
    </row>
    <row r="149">
      <c r="A149" s="8"/>
      <c r="B149" s="25"/>
      <c r="C149" s="385"/>
      <c r="D149" s="385"/>
      <c r="E149" s="385"/>
      <c r="F149" s="8"/>
      <c r="G149" s="8"/>
      <c r="H149" s="386"/>
      <c r="I149" s="8" t="b">
        <v>0</v>
      </c>
      <c r="J149" s="388" t="str">
        <f>IFERROR(__xludf.DUMMYFUNCTION("""COMPUTED_VALUE"""),"")</f>
        <v/>
      </c>
      <c r="K149" s="8"/>
      <c r="L149" s="8"/>
      <c r="M149" s="8" t="str">
        <f>IFERROR(__xludf.DUMMYFUNCTION("""COMPUTED_VALUE"""),"")</f>
        <v/>
      </c>
      <c r="N149" s="8" t="str">
        <f>IFERROR(__xludf.DUMMYFUNCTION("""COMPUTED_VALUE"""),"")</f>
        <v/>
      </c>
      <c r="O149" s="8"/>
      <c r="P149" s="8"/>
    </row>
    <row r="150">
      <c r="A150" s="8"/>
      <c r="B150" s="25"/>
      <c r="C150" s="385"/>
      <c r="D150" s="385"/>
      <c r="E150" s="385"/>
      <c r="F150" s="8"/>
      <c r="G150" s="8"/>
      <c r="H150" s="386"/>
      <c r="I150" s="8" t="b">
        <v>0</v>
      </c>
      <c r="J150" s="388" t="str">
        <f>IFERROR(__xludf.DUMMYFUNCTION("""COMPUTED_VALUE"""),"")</f>
        <v/>
      </c>
      <c r="K150" s="8"/>
      <c r="L150" s="8"/>
      <c r="M150" s="8" t="str">
        <f>IFERROR(__xludf.DUMMYFUNCTION("""COMPUTED_VALUE"""),"")</f>
        <v/>
      </c>
      <c r="N150" s="8" t="str">
        <f>IFERROR(__xludf.DUMMYFUNCTION("""COMPUTED_VALUE"""),"")</f>
        <v/>
      </c>
      <c r="O150" s="8"/>
      <c r="P150" s="8"/>
    </row>
    <row r="151">
      <c r="A151" s="8"/>
      <c r="B151" s="25"/>
      <c r="C151" s="385"/>
      <c r="D151" s="385"/>
      <c r="E151" s="385"/>
      <c r="F151" s="8"/>
      <c r="G151" s="8"/>
      <c r="H151" s="386"/>
      <c r="I151" s="8" t="b">
        <v>0</v>
      </c>
      <c r="J151" s="388" t="str">
        <f>IFERROR(__xludf.DUMMYFUNCTION("""COMPUTED_VALUE"""),"")</f>
        <v/>
      </c>
      <c r="K151" s="8"/>
      <c r="L151" s="8"/>
      <c r="M151" s="8" t="str">
        <f>IFERROR(__xludf.DUMMYFUNCTION("""COMPUTED_VALUE"""),"")</f>
        <v/>
      </c>
      <c r="N151" s="8" t="str">
        <f>IFERROR(__xludf.DUMMYFUNCTION("""COMPUTED_VALUE"""),"")</f>
        <v/>
      </c>
      <c r="O151" s="8"/>
      <c r="P151" s="8"/>
    </row>
    <row r="152">
      <c r="A152" s="8"/>
      <c r="B152" s="25"/>
      <c r="C152" s="385"/>
      <c r="D152" s="385"/>
      <c r="E152" s="385"/>
      <c r="F152" s="8"/>
      <c r="G152" s="8"/>
      <c r="H152" s="386"/>
      <c r="I152" s="8" t="b">
        <v>0</v>
      </c>
      <c r="J152" s="388" t="str">
        <f>IFERROR(__xludf.DUMMYFUNCTION("""COMPUTED_VALUE"""),"")</f>
        <v/>
      </c>
      <c r="K152" s="8"/>
      <c r="L152" s="8"/>
      <c r="M152" s="8" t="str">
        <f>IFERROR(__xludf.DUMMYFUNCTION("""COMPUTED_VALUE"""),"")</f>
        <v/>
      </c>
      <c r="N152" s="8" t="str">
        <f>IFERROR(__xludf.DUMMYFUNCTION("""COMPUTED_VALUE"""),"")</f>
        <v/>
      </c>
      <c r="O152" s="8"/>
      <c r="P152" s="8"/>
    </row>
    <row r="153">
      <c r="A153" s="8"/>
      <c r="B153" s="25"/>
      <c r="C153" s="385"/>
      <c r="D153" s="385"/>
      <c r="E153" s="385"/>
      <c r="F153" s="8"/>
      <c r="G153" s="8"/>
      <c r="H153" s="386"/>
      <c r="I153" s="8" t="b">
        <v>0</v>
      </c>
      <c r="J153" s="388" t="str">
        <f>IFERROR(__xludf.DUMMYFUNCTION("""COMPUTED_VALUE"""),"")</f>
        <v/>
      </c>
      <c r="K153" s="8"/>
      <c r="L153" s="8"/>
      <c r="M153" s="8" t="str">
        <f>IFERROR(__xludf.DUMMYFUNCTION("""COMPUTED_VALUE"""),"")</f>
        <v/>
      </c>
      <c r="N153" s="8" t="str">
        <f>IFERROR(__xludf.DUMMYFUNCTION("""COMPUTED_VALUE"""),"")</f>
        <v/>
      </c>
      <c r="O153" s="8"/>
      <c r="P153" s="8"/>
    </row>
    <row r="154">
      <c r="A154" s="8"/>
      <c r="B154" s="25"/>
      <c r="C154" s="385"/>
      <c r="D154" s="385"/>
      <c r="E154" s="385"/>
      <c r="F154" s="8"/>
      <c r="G154" s="8"/>
      <c r="H154" s="386"/>
      <c r="I154" s="8" t="b">
        <v>0</v>
      </c>
      <c r="J154" s="388" t="str">
        <f>IFERROR(__xludf.DUMMYFUNCTION("""COMPUTED_VALUE"""),"")</f>
        <v/>
      </c>
      <c r="K154" s="8"/>
      <c r="L154" s="8"/>
      <c r="M154" s="8" t="str">
        <f>IFERROR(__xludf.DUMMYFUNCTION("""COMPUTED_VALUE"""),"")</f>
        <v/>
      </c>
      <c r="N154" s="8" t="str">
        <f>IFERROR(__xludf.DUMMYFUNCTION("""COMPUTED_VALUE"""),"")</f>
        <v/>
      </c>
      <c r="O154" s="8"/>
      <c r="P154" s="8"/>
    </row>
    <row r="155">
      <c r="A155" s="8"/>
      <c r="B155" s="25"/>
      <c r="C155" s="385"/>
      <c r="D155" s="385"/>
      <c r="E155" s="385"/>
      <c r="F155" s="8"/>
      <c r="G155" s="8"/>
      <c r="H155" s="386"/>
      <c r="I155" s="8" t="b">
        <v>0</v>
      </c>
      <c r="J155" s="388" t="str">
        <f>IFERROR(__xludf.DUMMYFUNCTION("""COMPUTED_VALUE"""),"")</f>
        <v/>
      </c>
      <c r="K155" s="8"/>
      <c r="L155" s="8"/>
      <c r="M155" s="8" t="str">
        <f>IFERROR(__xludf.DUMMYFUNCTION("""COMPUTED_VALUE"""),"")</f>
        <v/>
      </c>
      <c r="N155" s="8" t="str">
        <f>IFERROR(__xludf.DUMMYFUNCTION("""COMPUTED_VALUE"""),"")</f>
        <v/>
      </c>
      <c r="O155" s="8"/>
      <c r="P155" s="8"/>
    </row>
    <row r="156">
      <c r="A156" s="8"/>
      <c r="B156" s="25"/>
      <c r="C156" s="385"/>
      <c r="D156" s="385"/>
      <c r="E156" s="385"/>
      <c r="F156" s="8"/>
      <c r="G156" s="8"/>
      <c r="H156" s="386"/>
      <c r="I156" s="8" t="b">
        <v>0</v>
      </c>
      <c r="J156" s="388" t="str">
        <f>IFERROR(__xludf.DUMMYFUNCTION("""COMPUTED_VALUE"""),"")</f>
        <v/>
      </c>
      <c r="K156" s="8"/>
      <c r="L156" s="8"/>
      <c r="M156" s="8" t="str">
        <f>IFERROR(__xludf.DUMMYFUNCTION("""COMPUTED_VALUE"""),"")</f>
        <v/>
      </c>
      <c r="N156" s="8" t="str">
        <f>IFERROR(__xludf.DUMMYFUNCTION("""COMPUTED_VALUE"""),"")</f>
        <v/>
      </c>
      <c r="O156" s="8"/>
      <c r="P156" s="8"/>
    </row>
    <row r="157">
      <c r="A157" s="8"/>
      <c r="B157" s="25"/>
      <c r="C157" s="385"/>
      <c r="D157" s="385"/>
      <c r="E157" s="385"/>
      <c r="F157" s="8"/>
      <c r="G157" s="8"/>
      <c r="H157" s="386"/>
      <c r="I157" s="8" t="b">
        <v>0</v>
      </c>
      <c r="J157" s="388" t="str">
        <f>IFERROR(__xludf.DUMMYFUNCTION("""COMPUTED_VALUE"""),"")</f>
        <v/>
      </c>
      <c r="K157" s="8"/>
      <c r="L157" s="8"/>
      <c r="M157" s="8" t="str">
        <f>IFERROR(__xludf.DUMMYFUNCTION("""COMPUTED_VALUE"""),"")</f>
        <v/>
      </c>
      <c r="N157" s="8" t="str">
        <f>IFERROR(__xludf.DUMMYFUNCTION("""COMPUTED_VALUE"""),"")</f>
        <v/>
      </c>
      <c r="O157" s="8"/>
      <c r="P157" s="8"/>
    </row>
    <row r="158">
      <c r="A158" s="8"/>
      <c r="B158" s="25"/>
      <c r="C158" s="385"/>
      <c r="D158" s="385"/>
      <c r="E158" s="385"/>
      <c r="F158" s="8"/>
      <c r="G158" s="8"/>
      <c r="H158" s="386"/>
      <c r="I158" s="8" t="b">
        <v>0</v>
      </c>
      <c r="J158" s="388" t="str">
        <f>IFERROR(__xludf.DUMMYFUNCTION("""COMPUTED_VALUE"""),"")</f>
        <v/>
      </c>
      <c r="K158" s="8"/>
      <c r="L158" s="8"/>
      <c r="M158" s="8" t="str">
        <f>IFERROR(__xludf.DUMMYFUNCTION("""COMPUTED_VALUE"""),"")</f>
        <v/>
      </c>
      <c r="N158" s="8" t="str">
        <f>IFERROR(__xludf.DUMMYFUNCTION("""COMPUTED_VALUE"""),"")</f>
        <v/>
      </c>
      <c r="O158" s="8"/>
      <c r="P158" s="8"/>
    </row>
    <row r="159">
      <c r="A159" s="8"/>
      <c r="B159" s="25"/>
      <c r="C159" s="385"/>
      <c r="D159" s="385"/>
      <c r="E159" s="385"/>
      <c r="F159" s="8"/>
      <c r="G159" s="8"/>
      <c r="H159" s="386"/>
      <c r="I159" s="8" t="b">
        <v>0</v>
      </c>
      <c r="J159" s="388" t="str">
        <f>IFERROR(__xludf.DUMMYFUNCTION("""COMPUTED_VALUE"""),"")</f>
        <v/>
      </c>
      <c r="K159" s="8"/>
      <c r="L159" s="8"/>
      <c r="M159" s="8" t="str">
        <f>IFERROR(__xludf.DUMMYFUNCTION("""COMPUTED_VALUE"""),"")</f>
        <v/>
      </c>
      <c r="N159" s="8" t="str">
        <f>IFERROR(__xludf.DUMMYFUNCTION("""COMPUTED_VALUE"""),"")</f>
        <v/>
      </c>
      <c r="O159" s="8"/>
      <c r="P159" s="8"/>
    </row>
    <row r="160">
      <c r="A160" s="8"/>
      <c r="B160" s="25"/>
      <c r="C160" s="385"/>
      <c r="D160" s="385"/>
      <c r="E160" s="385"/>
      <c r="F160" s="8"/>
      <c r="G160" s="8"/>
      <c r="H160" s="386"/>
      <c r="I160" s="8" t="b">
        <v>0</v>
      </c>
      <c r="J160" s="388" t="str">
        <f>IFERROR(__xludf.DUMMYFUNCTION("""COMPUTED_VALUE"""),"")</f>
        <v/>
      </c>
      <c r="K160" s="8"/>
      <c r="L160" s="8"/>
      <c r="M160" s="8" t="str">
        <f>IFERROR(__xludf.DUMMYFUNCTION("""COMPUTED_VALUE"""),"")</f>
        <v/>
      </c>
      <c r="N160" s="8" t="str">
        <f>IFERROR(__xludf.DUMMYFUNCTION("""COMPUTED_VALUE"""),"")</f>
        <v/>
      </c>
      <c r="O160" s="8"/>
      <c r="P160" s="8"/>
    </row>
    <row r="161">
      <c r="A161" s="8"/>
      <c r="B161" s="25"/>
      <c r="C161" s="385"/>
      <c r="D161" s="385"/>
      <c r="E161" s="385"/>
      <c r="F161" s="8"/>
      <c r="G161" s="8"/>
      <c r="H161" s="386"/>
      <c r="I161" s="8" t="b">
        <v>0</v>
      </c>
      <c r="J161" s="388" t="str">
        <f>IFERROR(__xludf.DUMMYFUNCTION("""COMPUTED_VALUE"""),"")</f>
        <v/>
      </c>
      <c r="K161" s="8"/>
      <c r="L161" s="8"/>
      <c r="M161" s="8" t="str">
        <f>IFERROR(__xludf.DUMMYFUNCTION("""COMPUTED_VALUE"""),"")</f>
        <v/>
      </c>
      <c r="N161" s="8" t="str">
        <f>IFERROR(__xludf.DUMMYFUNCTION("""COMPUTED_VALUE"""),"")</f>
        <v/>
      </c>
      <c r="O161" s="8"/>
      <c r="P161" s="8"/>
    </row>
    <row r="162">
      <c r="A162" s="8"/>
      <c r="B162" s="25"/>
      <c r="C162" s="385"/>
      <c r="D162" s="385"/>
      <c r="E162" s="385"/>
      <c r="F162" s="8"/>
      <c r="G162" s="8"/>
      <c r="H162" s="386"/>
      <c r="I162" s="8" t="b">
        <v>0</v>
      </c>
      <c r="J162" s="388" t="str">
        <f>IFERROR(__xludf.DUMMYFUNCTION("""COMPUTED_VALUE"""),"")</f>
        <v/>
      </c>
      <c r="K162" s="8"/>
      <c r="L162" s="8"/>
      <c r="M162" s="8" t="str">
        <f>IFERROR(__xludf.DUMMYFUNCTION("""COMPUTED_VALUE"""),"")</f>
        <v/>
      </c>
      <c r="N162" s="8" t="str">
        <f>IFERROR(__xludf.DUMMYFUNCTION("""COMPUTED_VALUE"""),"")</f>
        <v/>
      </c>
      <c r="O162" s="8"/>
      <c r="P162" s="8"/>
    </row>
    <row r="163">
      <c r="A163" s="8"/>
      <c r="B163" s="25"/>
      <c r="C163" s="385"/>
      <c r="D163" s="385"/>
      <c r="E163" s="385"/>
      <c r="F163" s="8"/>
      <c r="G163" s="8"/>
      <c r="H163" s="386"/>
      <c r="I163" s="8" t="b">
        <v>0</v>
      </c>
      <c r="J163" s="388" t="str">
        <f>IFERROR(__xludf.DUMMYFUNCTION("""COMPUTED_VALUE"""),"")</f>
        <v/>
      </c>
      <c r="K163" s="8"/>
      <c r="L163" s="8"/>
      <c r="M163" s="8" t="str">
        <f>IFERROR(__xludf.DUMMYFUNCTION("""COMPUTED_VALUE"""),"")</f>
        <v/>
      </c>
      <c r="N163" s="8" t="str">
        <f>IFERROR(__xludf.DUMMYFUNCTION("""COMPUTED_VALUE"""),"")</f>
        <v/>
      </c>
      <c r="O163" s="8"/>
      <c r="P163" s="8"/>
    </row>
    <row r="164">
      <c r="A164" s="8"/>
      <c r="B164" s="25"/>
      <c r="C164" s="385"/>
      <c r="D164" s="385"/>
      <c r="E164" s="385"/>
      <c r="F164" s="8"/>
      <c r="G164" s="8"/>
      <c r="H164" s="386"/>
      <c r="I164" s="8" t="b">
        <v>0</v>
      </c>
      <c r="J164" s="388" t="str">
        <f>IFERROR(__xludf.DUMMYFUNCTION("""COMPUTED_VALUE"""),"")</f>
        <v/>
      </c>
      <c r="K164" s="8"/>
      <c r="L164" s="8"/>
      <c r="M164" s="8" t="str">
        <f>IFERROR(__xludf.DUMMYFUNCTION("""COMPUTED_VALUE"""),"")</f>
        <v/>
      </c>
      <c r="N164" s="8" t="str">
        <f>IFERROR(__xludf.DUMMYFUNCTION("""COMPUTED_VALUE"""),"")</f>
        <v/>
      </c>
      <c r="O164" s="8"/>
      <c r="P164" s="8"/>
    </row>
    <row r="165">
      <c r="A165" s="8"/>
      <c r="B165" s="25"/>
      <c r="C165" s="385"/>
      <c r="D165" s="385"/>
      <c r="E165" s="385"/>
      <c r="F165" s="8"/>
      <c r="G165" s="8"/>
      <c r="H165" s="386"/>
      <c r="I165" s="8" t="b">
        <v>0</v>
      </c>
      <c r="J165" s="388" t="str">
        <f>IFERROR(__xludf.DUMMYFUNCTION("""COMPUTED_VALUE"""),"")</f>
        <v/>
      </c>
      <c r="K165" s="8"/>
      <c r="L165" s="8"/>
      <c r="M165" s="8" t="str">
        <f>IFERROR(__xludf.DUMMYFUNCTION("""COMPUTED_VALUE"""),"")</f>
        <v/>
      </c>
      <c r="N165" s="8" t="str">
        <f>IFERROR(__xludf.DUMMYFUNCTION("""COMPUTED_VALUE"""),"")</f>
        <v/>
      </c>
      <c r="O165" s="8"/>
      <c r="P165" s="8"/>
    </row>
    <row r="166">
      <c r="A166" s="8"/>
      <c r="B166" s="25"/>
      <c r="C166" s="385"/>
      <c r="D166" s="385"/>
      <c r="E166" s="385"/>
      <c r="F166" s="8"/>
      <c r="G166" s="8"/>
      <c r="H166" s="386"/>
      <c r="I166" s="8" t="b">
        <v>0</v>
      </c>
      <c r="J166" s="388" t="str">
        <f>IFERROR(__xludf.DUMMYFUNCTION("""COMPUTED_VALUE"""),"")</f>
        <v/>
      </c>
      <c r="K166" s="8"/>
      <c r="L166" s="8"/>
      <c r="M166" s="8" t="str">
        <f>IFERROR(__xludf.DUMMYFUNCTION("""COMPUTED_VALUE"""),"")</f>
        <v/>
      </c>
      <c r="N166" s="8" t="str">
        <f>IFERROR(__xludf.DUMMYFUNCTION("""COMPUTED_VALUE"""),"")</f>
        <v/>
      </c>
      <c r="O166" s="8"/>
      <c r="P166" s="8"/>
    </row>
    <row r="167">
      <c r="A167" s="8"/>
      <c r="B167" s="25"/>
      <c r="C167" s="385"/>
      <c r="D167" s="385"/>
      <c r="E167" s="385"/>
      <c r="F167" s="8"/>
      <c r="G167" s="8"/>
      <c r="H167" s="386"/>
      <c r="I167" s="8" t="b">
        <v>0</v>
      </c>
      <c r="J167" s="388" t="str">
        <f>IFERROR(__xludf.DUMMYFUNCTION("""COMPUTED_VALUE"""),"")</f>
        <v/>
      </c>
      <c r="K167" s="8"/>
      <c r="L167" s="8"/>
      <c r="M167" s="8" t="str">
        <f>IFERROR(__xludf.DUMMYFUNCTION("""COMPUTED_VALUE"""),"")</f>
        <v/>
      </c>
      <c r="N167" s="8" t="str">
        <f>IFERROR(__xludf.DUMMYFUNCTION("""COMPUTED_VALUE"""),"")</f>
        <v/>
      </c>
      <c r="O167" s="8"/>
      <c r="P167" s="8"/>
    </row>
    <row r="168">
      <c r="A168" s="8"/>
      <c r="B168" s="25"/>
      <c r="C168" s="385"/>
      <c r="D168" s="385"/>
      <c r="E168" s="385"/>
      <c r="F168" s="8"/>
      <c r="G168" s="8"/>
      <c r="H168" s="386"/>
      <c r="I168" s="8" t="b">
        <v>0</v>
      </c>
      <c r="J168" s="388" t="str">
        <f>IFERROR(__xludf.DUMMYFUNCTION("""COMPUTED_VALUE"""),"")</f>
        <v/>
      </c>
      <c r="K168" s="8"/>
      <c r="L168" s="8"/>
      <c r="M168" s="8" t="str">
        <f>IFERROR(__xludf.DUMMYFUNCTION("""COMPUTED_VALUE"""),"")</f>
        <v/>
      </c>
      <c r="N168" s="8" t="str">
        <f>IFERROR(__xludf.DUMMYFUNCTION("""COMPUTED_VALUE"""),"")</f>
        <v/>
      </c>
      <c r="O168" s="8"/>
      <c r="P168" s="8"/>
    </row>
    <row r="169">
      <c r="A169" s="8"/>
      <c r="B169" s="25"/>
      <c r="C169" s="385"/>
      <c r="D169" s="385"/>
      <c r="E169" s="385"/>
      <c r="F169" s="8"/>
      <c r="G169" s="8"/>
      <c r="H169" s="386"/>
      <c r="I169" s="8" t="b">
        <v>0</v>
      </c>
      <c r="J169" s="388" t="str">
        <f>IFERROR(__xludf.DUMMYFUNCTION("""COMPUTED_VALUE"""),"")</f>
        <v/>
      </c>
      <c r="K169" s="8"/>
      <c r="L169" s="8"/>
      <c r="M169" s="8" t="str">
        <f>IFERROR(__xludf.DUMMYFUNCTION("""COMPUTED_VALUE"""),"")</f>
        <v/>
      </c>
      <c r="N169" s="8" t="str">
        <f>IFERROR(__xludf.DUMMYFUNCTION("""COMPUTED_VALUE"""),"")</f>
        <v/>
      </c>
      <c r="O169" s="8"/>
      <c r="P169" s="8"/>
    </row>
    <row r="170">
      <c r="A170" s="8"/>
      <c r="B170" s="25"/>
      <c r="C170" s="385"/>
      <c r="D170" s="385"/>
      <c r="E170" s="385"/>
      <c r="F170" s="8"/>
      <c r="G170" s="8"/>
      <c r="H170" s="386"/>
      <c r="I170" s="8" t="b">
        <v>0</v>
      </c>
      <c r="J170" s="388" t="str">
        <f>IFERROR(__xludf.DUMMYFUNCTION("""COMPUTED_VALUE"""),"")</f>
        <v/>
      </c>
      <c r="K170" s="8"/>
      <c r="L170" s="8"/>
      <c r="M170" s="8" t="str">
        <f>IFERROR(__xludf.DUMMYFUNCTION("""COMPUTED_VALUE"""),"")</f>
        <v/>
      </c>
      <c r="N170" s="8" t="str">
        <f>IFERROR(__xludf.DUMMYFUNCTION("""COMPUTED_VALUE"""),"")</f>
        <v/>
      </c>
      <c r="O170" s="8"/>
      <c r="P170" s="8"/>
    </row>
    <row r="171">
      <c r="A171" s="8"/>
      <c r="B171" s="25"/>
      <c r="C171" s="385"/>
      <c r="D171" s="385"/>
      <c r="E171" s="385"/>
      <c r="F171" s="8"/>
      <c r="G171" s="8"/>
      <c r="H171" s="386"/>
      <c r="I171" s="8" t="b">
        <v>0</v>
      </c>
      <c r="J171" s="388" t="str">
        <f>IFERROR(__xludf.DUMMYFUNCTION("""COMPUTED_VALUE"""),"")</f>
        <v/>
      </c>
      <c r="K171" s="8"/>
      <c r="L171" s="8"/>
      <c r="M171" s="8" t="str">
        <f>IFERROR(__xludf.DUMMYFUNCTION("""COMPUTED_VALUE"""),"")</f>
        <v/>
      </c>
      <c r="N171" s="8" t="str">
        <f>IFERROR(__xludf.DUMMYFUNCTION("""COMPUTED_VALUE"""),"")</f>
        <v/>
      </c>
      <c r="O171" s="8"/>
      <c r="P171" s="8"/>
    </row>
    <row r="172">
      <c r="A172" s="8"/>
      <c r="B172" s="25"/>
      <c r="C172" s="385"/>
      <c r="D172" s="385"/>
      <c r="E172" s="385"/>
      <c r="F172" s="8"/>
      <c r="G172" s="8"/>
      <c r="H172" s="386"/>
      <c r="I172" s="8" t="b">
        <v>0</v>
      </c>
      <c r="J172" s="388" t="str">
        <f>IFERROR(__xludf.DUMMYFUNCTION("""COMPUTED_VALUE"""),"")</f>
        <v/>
      </c>
      <c r="K172" s="8"/>
      <c r="L172" s="8"/>
      <c r="M172" s="8" t="str">
        <f>IFERROR(__xludf.DUMMYFUNCTION("""COMPUTED_VALUE"""),"")</f>
        <v/>
      </c>
      <c r="N172" s="8" t="str">
        <f>IFERROR(__xludf.DUMMYFUNCTION("""COMPUTED_VALUE"""),"")</f>
        <v/>
      </c>
      <c r="O172" s="8"/>
      <c r="P172" s="8"/>
    </row>
    <row r="173">
      <c r="A173" s="8"/>
      <c r="B173" s="25"/>
      <c r="C173" s="385"/>
      <c r="D173" s="385"/>
      <c r="E173" s="385"/>
      <c r="F173" s="8"/>
      <c r="G173" s="8"/>
      <c r="H173" s="386"/>
      <c r="I173" s="8" t="b">
        <v>0</v>
      </c>
      <c r="J173" s="388" t="str">
        <f>IFERROR(__xludf.DUMMYFUNCTION("""COMPUTED_VALUE"""),"")</f>
        <v/>
      </c>
      <c r="K173" s="8"/>
      <c r="L173" s="8"/>
      <c r="M173" s="8" t="str">
        <f>IFERROR(__xludf.DUMMYFUNCTION("""COMPUTED_VALUE"""),"")</f>
        <v/>
      </c>
      <c r="N173" s="8" t="str">
        <f>IFERROR(__xludf.DUMMYFUNCTION("""COMPUTED_VALUE"""),"")</f>
        <v/>
      </c>
      <c r="O173" s="8"/>
      <c r="P173" s="8"/>
    </row>
    <row r="174">
      <c r="A174" s="8"/>
      <c r="B174" s="25"/>
      <c r="C174" s="385"/>
      <c r="D174" s="385"/>
      <c r="E174" s="385"/>
      <c r="F174" s="8"/>
      <c r="G174" s="8"/>
      <c r="H174" s="389"/>
      <c r="I174" s="8" t="b">
        <v>0</v>
      </c>
      <c r="J174" s="388" t="str">
        <f>IFERROR(__xludf.DUMMYFUNCTION("""COMPUTED_VALUE"""),"")</f>
        <v/>
      </c>
      <c r="K174" s="8"/>
      <c r="L174" s="8"/>
      <c r="M174" s="8" t="str">
        <f>IFERROR(__xludf.DUMMYFUNCTION("""COMPUTED_VALUE"""),"")</f>
        <v/>
      </c>
      <c r="N174" s="8" t="str">
        <f>IFERROR(__xludf.DUMMYFUNCTION("""COMPUTED_VALUE"""),"")</f>
        <v/>
      </c>
      <c r="O174" s="8"/>
      <c r="P174" s="8"/>
    </row>
    <row r="175">
      <c r="A175" s="8"/>
      <c r="B175" s="25"/>
      <c r="C175" s="385"/>
      <c r="D175" s="385"/>
      <c r="E175" s="385"/>
      <c r="F175" s="8"/>
      <c r="G175" s="8"/>
      <c r="H175" s="389"/>
      <c r="I175" s="8" t="b">
        <v>0</v>
      </c>
      <c r="J175" s="388" t="str">
        <f>IFERROR(__xludf.DUMMYFUNCTION("""COMPUTED_VALUE"""),"")</f>
        <v/>
      </c>
      <c r="K175" s="8"/>
      <c r="L175" s="8"/>
      <c r="M175" s="8" t="str">
        <f>IFERROR(__xludf.DUMMYFUNCTION("""COMPUTED_VALUE"""),"")</f>
        <v/>
      </c>
      <c r="N175" s="8" t="str">
        <f>IFERROR(__xludf.DUMMYFUNCTION("""COMPUTED_VALUE"""),"")</f>
        <v/>
      </c>
      <c r="O175" s="8"/>
      <c r="P175" s="8"/>
    </row>
    <row r="176">
      <c r="A176" s="8"/>
      <c r="B176" s="25"/>
      <c r="C176" s="385"/>
      <c r="D176" s="385"/>
      <c r="E176" s="385"/>
      <c r="F176" s="8"/>
      <c r="G176" s="8"/>
      <c r="H176" s="389"/>
      <c r="I176" s="8" t="b">
        <v>0</v>
      </c>
      <c r="J176" s="388" t="str">
        <f>IFERROR(__xludf.DUMMYFUNCTION("""COMPUTED_VALUE"""),"")</f>
        <v/>
      </c>
      <c r="K176" s="8"/>
      <c r="L176" s="8"/>
      <c r="M176" s="8" t="str">
        <f>IFERROR(__xludf.DUMMYFUNCTION("""COMPUTED_VALUE"""),"")</f>
        <v/>
      </c>
      <c r="N176" s="8" t="str">
        <f>IFERROR(__xludf.DUMMYFUNCTION("""COMPUTED_VALUE"""),"")</f>
        <v/>
      </c>
      <c r="O176" s="8"/>
      <c r="P176" s="8"/>
    </row>
    <row r="177">
      <c r="A177" s="8"/>
      <c r="B177" s="25"/>
      <c r="C177" s="385"/>
      <c r="D177" s="385"/>
      <c r="E177" s="385"/>
      <c r="F177" s="8"/>
      <c r="G177" s="8"/>
      <c r="H177" s="389"/>
      <c r="I177" s="8" t="b">
        <v>0</v>
      </c>
      <c r="J177" s="388" t="str">
        <f>IFERROR(__xludf.DUMMYFUNCTION("""COMPUTED_VALUE"""),"")</f>
        <v/>
      </c>
      <c r="K177" s="8"/>
      <c r="L177" s="8"/>
      <c r="M177" s="8" t="str">
        <f>IFERROR(__xludf.DUMMYFUNCTION("""COMPUTED_VALUE"""),"")</f>
        <v/>
      </c>
      <c r="N177" s="8" t="str">
        <f>IFERROR(__xludf.DUMMYFUNCTION("""COMPUTED_VALUE"""),"")</f>
        <v/>
      </c>
      <c r="O177" s="8"/>
      <c r="P177" s="8"/>
    </row>
    <row r="178">
      <c r="A178" s="8"/>
      <c r="B178" s="25"/>
      <c r="C178" s="385"/>
      <c r="D178" s="385"/>
      <c r="E178" s="385"/>
      <c r="F178" s="8"/>
      <c r="G178" s="8"/>
      <c r="H178" s="389"/>
      <c r="I178" s="8" t="b">
        <v>0</v>
      </c>
      <c r="J178" s="388" t="str">
        <f>IFERROR(__xludf.DUMMYFUNCTION("""COMPUTED_VALUE"""),"")</f>
        <v/>
      </c>
      <c r="K178" s="8"/>
      <c r="L178" s="8"/>
      <c r="M178" s="8" t="str">
        <f>IFERROR(__xludf.DUMMYFUNCTION("""COMPUTED_VALUE"""),"")</f>
        <v/>
      </c>
      <c r="N178" s="8" t="str">
        <f>IFERROR(__xludf.DUMMYFUNCTION("""COMPUTED_VALUE"""),"")</f>
        <v/>
      </c>
      <c r="O178" s="8"/>
      <c r="P178" s="8"/>
    </row>
    <row r="179">
      <c r="A179" s="8"/>
      <c r="B179" s="25"/>
      <c r="C179" s="385"/>
      <c r="D179" s="385"/>
      <c r="E179" s="385"/>
      <c r="F179" s="8"/>
      <c r="G179" s="8"/>
      <c r="H179" s="389"/>
      <c r="I179" s="8" t="b">
        <v>0</v>
      </c>
      <c r="J179" s="388" t="str">
        <f>IFERROR(__xludf.DUMMYFUNCTION("""COMPUTED_VALUE"""),"")</f>
        <v/>
      </c>
      <c r="K179" s="8"/>
      <c r="L179" s="8"/>
      <c r="M179" s="8" t="str">
        <f>IFERROR(__xludf.DUMMYFUNCTION("""COMPUTED_VALUE"""),"")</f>
        <v/>
      </c>
      <c r="N179" s="8" t="str">
        <f>IFERROR(__xludf.DUMMYFUNCTION("""COMPUTED_VALUE"""),"")</f>
        <v/>
      </c>
      <c r="O179" s="8"/>
      <c r="P179" s="8"/>
    </row>
    <row r="180">
      <c r="A180" s="8"/>
      <c r="B180" s="25"/>
      <c r="C180" s="385"/>
      <c r="D180" s="385"/>
      <c r="E180" s="385"/>
      <c r="F180" s="8"/>
      <c r="G180" s="8"/>
      <c r="H180" s="389"/>
      <c r="I180" s="8" t="b">
        <v>0</v>
      </c>
      <c r="J180" s="388" t="str">
        <f>IFERROR(__xludf.DUMMYFUNCTION("""COMPUTED_VALUE"""),"")</f>
        <v/>
      </c>
      <c r="K180" s="8"/>
      <c r="L180" s="8"/>
      <c r="M180" s="8" t="str">
        <f>IFERROR(__xludf.DUMMYFUNCTION("""COMPUTED_VALUE"""),"")</f>
        <v/>
      </c>
      <c r="N180" s="8" t="str">
        <f>IFERROR(__xludf.DUMMYFUNCTION("""COMPUTED_VALUE"""),"")</f>
        <v/>
      </c>
      <c r="O180" s="8"/>
      <c r="P180" s="8"/>
    </row>
    <row r="181">
      <c r="A181" s="8"/>
      <c r="B181" s="25"/>
      <c r="C181" s="385"/>
      <c r="D181" s="385"/>
      <c r="E181" s="385"/>
      <c r="F181" s="8"/>
      <c r="G181" s="8"/>
      <c r="H181" s="389"/>
      <c r="I181" s="8" t="b">
        <v>0</v>
      </c>
      <c r="J181" s="388" t="str">
        <f>IFERROR(__xludf.DUMMYFUNCTION("""COMPUTED_VALUE"""),"")</f>
        <v/>
      </c>
      <c r="K181" s="8"/>
      <c r="L181" s="8"/>
      <c r="M181" s="8" t="str">
        <f>IFERROR(__xludf.DUMMYFUNCTION("""COMPUTED_VALUE"""),"")</f>
        <v/>
      </c>
      <c r="N181" s="8" t="str">
        <f>IFERROR(__xludf.DUMMYFUNCTION("""COMPUTED_VALUE"""),"")</f>
        <v/>
      </c>
      <c r="O181" s="8"/>
      <c r="P181" s="8"/>
    </row>
    <row r="182">
      <c r="A182" s="8"/>
      <c r="B182" s="25"/>
      <c r="C182" s="385"/>
      <c r="D182" s="385"/>
      <c r="E182" s="385"/>
      <c r="F182" s="8"/>
      <c r="G182" s="8"/>
      <c r="H182" s="389"/>
      <c r="I182" s="8" t="b">
        <v>0</v>
      </c>
      <c r="J182" s="388" t="str">
        <f>IFERROR(__xludf.DUMMYFUNCTION("""COMPUTED_VALUE"""),"")</f>
        <v/>
      </c>
      <c r="K182" s="8"/>
      <c r="L182" s="8"/>
      <c r="M182" s="8" t="str">
        <f>IFERROR(__xludf.DUMMYFUNCTION("""COMPUTED_VALUE"""),"")</f>
        <v/>
      </c>
      <c r="N182" s="8" t="str">
        <f>IFERROR(__xludf.DUMMYFUNCTION("""COMPUTED_VALUE"""),"")</f>
        <v/>
      </c>
      <c r="O182" s="8"/>
      <c r="P182" s="8"/>
    </row>
    <row r="183">
      <c r="A183" s="8"/>
      <c r="B183" s="25"/>
      <c r="C183" s="385"/>
      <c r="D183" s="385"/>
      <c r="E183" s="385"/>
      <c r="F183" s="8"/>
      <c r="G183" s="8"/>
      <c r="H183" s="389"/>
      <c r="I183" s="8" t="b">
        <v>0</v>
      </c>
      <c r="J183" s="388" t="str">
        <f>IFERROR(__xludf.DUMMYFUNCTION("""COMPUTED_VALUE"""),"")</f>
        <v/>
      </c>
      <c r="K183" s="8"/>
      <c r="L183" s="8"/>
      <c r="M183" s="8" t="str">
        <f>IFERROR(__xludf.DUMMYFUNCTION("""COMPUTED_VALUE"""),"")</f>
        <v/>
      </c>
      <c r="N183" s="8" t="str">
        <f>IFERROR(__xludf.DUMMYFUNCTION("""COMPUTED_VALUE"""),"")</f>
        <v/>
      </c>
      <c r="O183" s="8"/>
      <c r="P183" s="8"/>
    </row>
    <row r="184">
      <c r="A184" s="8"/>
      <c r="B184" s="25"/>
      <c r="C184" s="385"/>
      <c r="D184" s="385"/>
      <c r="E184" s="385"/>
      <c r="F184" s="8"/>
      <c r="G184" s="8"/>
      <c r="H184" s="389"/>
      <c r="I184" s="8" t="b">
        <v>0</v>
      </c>
      <c r="J184" s="388" t="str">
        <f>IFERROR(__xludf.DUMMYFUNCTION("""COMPUTED_VALUE"""),"")</f>
        <v/>
      </c>
      <c r="K184" s="8"/>
      <c r="L184" s="8"/>
      <c r="M184" s="8" t="str">
        <f>IFERROR(__xludf.DUMMYFUNCTION("""COMPUTED_VALUE"""),"")</f>
        <v/>
      </c>
      <c r="N184" s="8" t="str">
        <f>IFERROR(__xludf.DUMMYFUNCTION("""COMPUTED_VALUE"""),"")</f>
        <v/>
      </c>
      <c r="O184" s="8"/>
      <c r="P184" s="8"/>
    </row>
    <row r="185">
      <c r="A185" s="8"/>
      <c r="B185" s="25"/>
      <c r="C185" s="385"/>
      <c r="D185" s="385"/>
      <c r="E185" s="385"/>
      <c r="F185" s="8"/>
      <c r="G185" s="8"/>
      <c r="H185" s="389"/>
      <c r="I185" s="8" t="b">
        <v>0</v>
      </c>
      <c r="J185" s="388" t="str">
        <f>IFERROR(__xludf.DUMMYFUNCTION("""COMPUTED_VALUE"""),"")</f>
        <v/>
      </c>
      <c r="K185" s="8"/>
      <c r="L185" s="8"/>
      <c r="M185" s="8" t="str">
        <f>IFERROR(__xludf.DUMMYFUNCTION("""COMPUTED_VALUE"""),"")</f>
        <v/>
      </c>
      <c r="N185" s="8" t="str">
        <f>IFERROR(__xludf.DUMMYFUNCTION("""COMPUTED_VALUE"""),"")</f>
        <v/>
      </c>
      <c r="O185" s="8"/>
      <c r="P185" s="8"/>
    </row>
    <row r="186">
      <c r="A186" s="8"/>
      <c r="B186" s="25"/>
      <c r="C186" s="385"/>
      <c r="D186" s="385"/>
      <c r="E186" s="385"/>
      <c r="F186" s="8"/>
      <c r="G186" s="8"/>
      <c r="H186" s="389"/>
      <c r="I186" s="8" t="b">
        <v>0</v>
      </c>
      <c r="J186" s="388" t="str">
        <f>IFERROR(__xludf.DUMMYFUNCTION("""COMPUTED_VALUE"""),"")</f>
        <v/>
      </c>
      <c r="K186" s="8"/>
      <c r="L186" s="8"/>
      <c r="M186" s="8" t="str">
        <f>IFERROR(__xludf.DUMMYFUNCTION("""COMPUTED_VALUE"""),"")</f>
        <v/>
      </c>
      <c r="N186" s="8" t="str">
        <f>IFERROR(__xludf.DUMMYFUNCTION("""COMPUTED_VALUE"""),"")</f>
        <v/>
      </c>
      <c r="O186" s="8"/>
      <c r="P186" s="8"/>
    </row>
    <row r="187">
      <c r="A187" s="8"/>
      <c r="B187" s="25"/>
      <c r="C187" s="385"/>
      <c r="D187" s="385"/>
      <c r="E187" s="385"/>
      <c r="F187" s="8"/>
      <c r="G187" s="8"/>
      <c r="H187" s="389"/>
      <c r="I187" s="8" t="b">
        <v>0</v>
      </c>
      <c r="J187" s="388" t="str">
        <f>IFERROR(__xludf.DUMMYFUNCTION("""COMPUTED_VALUE"""),"")</f>
        <v/>
      </c>
      <c r="K187" s="8"/>
      <c r="L187" s="8"/>
      <c r="M187" s="8" t="str">
        <f>IFERROR(__xludf.DUMMYFUNCTION("""COMPUTED_VALUE"""),"")</f>
        <v/>
      </c>
      <c r="N187" s="8" t="str">
        <f>IFERROR(__xludf.DUMMYFUNCTION("""COMPUTED_VALUE"""),"")</f>
        <v/>
      </c>
      <c r="O187" s="8"/>
      <c r="P187" s="8"/>
    </row>
    <row r="188">
      <c r="A188" s="8"/>
      <c r="B188" s="25"/>
      <c r="C188" s="385"/>
      <c r="D188" s="385"/>
      <c r="E188" s="385"/>
      <c r="F188" s="8"/>
      <c r="G188" s="8"/>
      <c r="H188" s="389"/>
      <c r="I188" s="8" t="b">
        <v>0</v>
      </c>
      <c r="J188" s="388" t="str">
        <f>IFERROR(__xludf.DUMMYFUNCTION("""COMPUTED_VALUE"""),"")</f>
        <v/>
      </c>
      <c r="K188" s="8"/>
      <c r="L188" s="8"/>
      <c r="M188" s="8" t="str">
        <f>IFERROR(__xludf.DUMMYFUNCTION("""COMPUTED_VALUE"""),"")</f>
        <v/>
      </c>
      <c r="N188" s="8" t="str">
        <f>IFERROR(__xludf.DUMMYFUNCTION("""COMPUTED_VALUE"""),"")</f>
        <v/>
      </c>
      <c r="O188" s="8"/>
      <c r="P188" s="8"/>
    </row>
    <row r="189">
      <c r="A189" s="8"/>
      <c r="B189" s="25"/>
      <c r="C189" s="385"/>
      <c r="D189" s="385"/>
      <c r="E189" s="385"/>
      <c r="F189" s="8"/>
      <c r="G189" s="8"/>
      <c r="H189" s="389"/>
      <c r="I189" s="8" t="b">
        <v>0</v>
      </c>
      <c r="J189" s="388" t="str">
        <f>IFERROR(__xludf.DUMMYFUNCTION("""COMPUTED_VALUE"""),"")</f>
        <v/>
      </c>
      <c r="K189" s="8"/>
      <c r="L189" s="8"/>
      <c r="M189" s="8" t="str">
        <f>IFERROR(__xludf.DUMMYFUNCTION("""COMPUTED_VALUE"""),"")</f>
        <v/>
      </c>
      <c r="N189" s="8" t="str">
        <f>IFERROR(__xludf.DUMMYFUNCTION("""COMPUTED_VALUE"""),"")</f>
        <v/>
      </c>
      <c r="O189" s="8"/>
      <c r="P189" s="8"/>
    </row>
    <row r="190">
      <c r="A190" s="8"/>
      <c r="B190" s="25"/>
      <c r="C190" s="385"/>
      <c r="D190" s="385"/>
      <c r="E190" s="385"/>
      <c r="F190" s="8"/>
      <c r="G190" s="8"/>
      <c r="H190" s="389"/>
      <c r="I190" s="8" t="b">
        <v>0</v>
      </c>
      <c r="J190" s="388" t="str">
        <f>IFERROR(__xludf.DUMMYFUNCTION("""COMPUTED_VALUE"""),"")</f>
        <v/>
      </c>
      <c r="K190" s="8"/>
      <c r="L190" s="8"/>
      <c r="M190" s="8" t="str">
        <f>IFERROR(__xludf.DUMMYFUNCTION("""COMPUTED_VALUE"""),"")</f>
        <v/>
      </c>
      <c r="N190" s="8" t="str">
        <f>IFERROR(__xludf.DUMMYFUNCTION("""COMPUTED_VALUE"""),"")</f>
        <v/>
      </c>
      <c r="O190" s="8"/>
      <c r="P190" s="8"/>
    </row>
    <row r="191">
      <c r="A191" s="8"/>
      <c r="B191" s="25"/>
      <c r="C191" s="385"/>
      <c r="D191" s="385"/>
      <c r="E191" s="385"/>
      <c r="F191" s="8"/>
      <c r="G191" s="8"/>
      <c r="H191" s="389"/>
      <c r="I191" s="8" t="b">
        <v>0</v>
      </c>
      <c r="J191" s="388" t="str">
        <f>IFERROR(__xludf.DUMMYFUNCTION("""COMPUTED_VALUE"""),"")</f>
        <v/>
      </c>
      <c r="K191" s="8"/>
      <c r="L191" s="8"/>
      <c r="M191" s="8" t="str">
        <f>IFERROR(__xludf.DUMMYFUNCTION("""COMPUTED_VALUE"""),"")</f>
        <v/>
      </c>
      <c r="N191" s="8" t="str">
        <f>IFERROR(__xludf.DUMMYFUNCTION("""COMPUTED_VALUE"""),"")</f>
        <v/>
      </c>
      <c r="O191" s="8"/>
      <c r="P191" s="8"/>
    </row>
    <row r="192">
      <c r="A192" s="8"/>
      <c r="B192" s="25"/>
      <c r="C192" s="385"/>
      <c r="D192" s="385"/>
      <c r="E192" s="385"/>
      <c r="F192" s="8"/>
      <c r="G192" s="8"/>
      <c r="H192" s="389"/>
      <c r="I192" s="8" t="b">
        <v>0</v>
      </c>
      <c r="J192" s="388" t="str">
        <f>IFERROR(__xludf.DUMMYFUNCTION("""COMPUTED_VALUE"""),"")</f>
        <v/>
      </c>
      <c r="K192" s="8"/>
      <c r="L192" s="8"/>
      <c r="M192" s="8" t="str">
        <f>IFERROR(__xludf.DUMMYFUNCTION("""COMPUTED_VALUE"""),"")</f>
        <v/>
      </c>
      <c r="N192" s="8" t="str">
        <f>IFERROR(__xludf.DUMMYFUNCTION("""COMPUTED_VALUE"""),"")</f>
        <v/>
      </c>
      <c r="O192" s="8"/>
      <c r="P192" s="8"/>
    </row>
    <row r="193">
      <c r="A193" s="8"/>
      <c r="B193" s="25"/>
      <c r="C193" s="385"/>
      <c r="D193" s="385"/>
      <c r="E193" s="385"/>
      <c r="F193" s="8"/>
      <c r="G193" s="8"/>
      <c r="H193" s="389"/>
      <c r="I193" s="8" t="b">
        <v>0</v>
      </c>
      <c r="J193" s="388" t="str">
        <f>IFERROR(__xludf.DUMMYFUNCTION("""COMPUTED_VALUE"""),"")</f>
        <v/>
      </c>
      <c r="K193" s="8"/>
      <c r="L193" s="8"/>
      <c r="M193" s="8" t="str">
        <f>IFERROR(__xludf.DUMMYFUNCTION("""COMPUTED_VALUE"""),"")</f>
        <v/>
      </c>
      <c r="N193" s="8" t="str">
        <f>IFERROR(__xludf.DUMMYFUNCTION("""COMPUTED_VALUE"""),"")</f>
        <v/>
      </c>
      <c r="O193" s="8"/>
      <c r="P193" s="8"/>
    </row>
    <row r="194">
      <c r="A194" s="8"/>
      <c r="B194" s="25"/>
      <c r="C194" s="385"/>
      <c r="D194" s="385"/>
      <c r="E194" s="385"/>
      <c r="F194" s="8"/>
      <c r="G194" s="8"/>
      <c r="H194" s="389"/>
      <c r="I194" s="8" t="b">
        <v>0</v>
      </c>
      <c r="J194" s="388" t="str">
        <f>IFERROR(__xludf.DUMMYFUNCTION("""COMPUTED_VALUE"""),"")</f>
        <v/>
      </c>
      <c r="K194" s="8"/>
      <c r="L194" s="8"/>
      <c r="M194" s="8" t="str">
        <f>IFERROR(__xludf.DUMMYFUNCTION("""COMPUTED_VALUE"""),"")</f>
        <v/>
      </c>
      <c r="N194" s="8" t="str">
        <f>IFERROR(__xludf.DUMMYFUNCTION("""COMPUTED_VALUE"""),"")</f>
        <v/>
      </c>
      <c r="O194" s="8"/>
      <c r="P194" s="8"/>
    </row>
    <row r="195">
      <c r="A195" s="8"/>
      <c r="B195" s="25"/>
      <c r="C195" s="385"/>
      <c r="D195" s="385"/>
      <c r="E195" s="385"/>
      <c r="F195" s="8"/>
      <c r="G195" s="8"/>
      <c r="H195" s="389"/>
      <c r="I195" s="8" t="b">
        <v>0</v>
      </c>
      <c r="J195" s="388" t="str">
        <f>IFERROR(__xludf.DUMMYFUNCTION("""COMPUTED_VALUE"""),"")</f>
        <v/>
      </c>
      <c r="K195" s="8"/>
      <c r="L195" s="8"/>
      <c r="M195" s="8" t="str">
        <f>IFERROR(__xludf.DUMMYFUNCTION("""COMPUTED_VALUE"""),"")</f>
        <v/>
      </c>
      <c r="N195" s="8" t="str">
        <f>IFERROR(__xludf.DUMMYFUNCTION("""COMPUTED_VALUE"""),"")</f>
        <v/>
      </c>
      <c r="O195" s="8"/>
      <c r="P195" s="8"/>
    </row>
    <row r="196">
      <c r="A196" s="8"/>
      <c r="B196" s="25"/>
      <c r="C196" s="385"/>
      <c r="D196" s="385"/>
      <c r="E196" s="385"/>
      <c r="F196" s="8"/>
      <c r="G196" s="8"/>
      <c r="H196" s="389"/>
      <c r="I196" s="8" t="b">
        <v>0</v>
      </c>
      <c r="J196" s="388" t="str">
        <f>IFERROR(__xludf.DUMMYFUNCTION("""COMPUTED_VALUE"""),"")</f>
        <v/>
      </c>
      <c r="K196" s="8"/>
      <c r="L196" s="8"/>
      <c r="M196" s="8" t="str">
        <f>IFERROR(__xludf.DUMMYFUNCTION("""COMPUTED_VALUE"""),"")</f>
        <v/>
      </c>
      <c r="N196" s="8" t="str">
        <f>IFERROR(__xludf.DUMMYFUNCTION("""COMPUTED_VALUE"""),"")</f>
        <v/>
      </c>
      <c r="O196" s="8"/>
      <c r="P196" s="8"/>
    </row>
    <row r="197">
      <c r="A197" s="8"/>
      <c r="B197" s="25"/>
      <c r="C197" s="385"/>
      <c r="D197" s="385"/>
      <c r="E197" s="385"/>
      <c r="F197" s="8"/>
      <c r="G197" s="8"/>
      <c r="H197" s="389"/>
      <c r="I197" s="8" t="b">
        <v>0</v>
      </c>
      <c r="J197" s="388" t="str">
        <f>IFERROR(__xludf.DUMMYFUNCTION("""COMPUTED_VALUE"""),"")</f>
        <v/>
      </c>
      <c r="K197" s="8"/>
      <c r="L197" s="8"/>
      <c r="M197" s="8" t="str">
        <f>IFERROR(__xludf.DUMMYFUNCTION("""COMPUTED_VALUE"""),"")</f>
        <v/>
      </c>
      <c r="N197" s="8" t="str">
        <f>IFERROR(__xludf.DUMMYFUNCTION("""COMPUTED_VALUE"""),"")</f>
        <v/>
      </c>
      <c r="O197" s="8"/>
      <c r="P197" s="8"/>
    </row>
    <row r="198">
      <c r="A198" s="8"/>
      <c r="B198" s="25"/>
      <c r="C198" s="385"/>
      <c r="D198" s="385"/>
      <c r="E198" s="385"/>
      <c r="F198" s="8"/>
      <c r="G198" s="8"/>
      <c r="H198" s="389"/>
      <c r="I198" s="8" t="b">
        <v>0</v>
      </c>
      <c r="J198" s="388" t="str">
        <f>IFERROR(__xludf.DUMMYFUNCTION("""COMPUTED_VALUE"""),"")</f>
        <v/>
      </c>
      <c r="K198" s="8"/>
      <c r="L198" s="8"/>
      <c r="M198" s="8" t="str">
        <f>IFERROR(__xludf.DUMMYFUNCTION("""COMPUTED_VALUE"""),"")</f>
        <v/>
      </c>
      <c r="N198" s="8" t="str">
        <f>IFERROR(__xludf.DUMMYFUNCTION("""COMPUTED_VALUE"""),"")</f>
        <v/>
      </c>
      <c r="O198" s="8"/>
      <c r="P198" s="8"/>
    </row>
    <row r="199">
      <c r="A199" s="8"/>
      <c r="B199" s="25"/>
      <c r="C199" s="385"/>
      <c r="D199" s="385"/>
      <c r="E199" s="385"/>
      <c r="F199" s="8"/>
      <c r="G199" s="8"/>
      <c r="H199" s="389"/>
      <c r="I199" s="8" t="b">
        <v>0</v>
      </c>
      <c r="J199" s="388" t="str">
        <f>IFERROR(__xludf.DUMMYFUNCTION("""COMPUTED_VALUE"""),"")</f>
        <v/>
      </c>
      <c r="K199" s="8"/>
      <c r="L199" s="8"/>
      <c r="M199" s="8" t="str">
        <f>IFERROR(__xludf.DUMMYFUNCTION("""COMPUTED_VALUE"""),"")</f>
        <v/>
      </c>
      <c r="N199" s="8" t="str">
        <f>IFERROR(__xludf.DUMMYFUNCTION("""COMPUTED_VALUE"""),"")</f>
        <v/>
      </c>
      <c r="O199" s="8"/>
      <c r="P199" s="8"/>
    </row>
    <row r="200">
      <c r="A200" s="8"/>
      <c r="B200" s="25"/>
      <c r="C200" s="385"/>
      <c r="D200" s="385"/>
      <c r="E200" s="385"/>
      <c r="F200" s="8"/>
      <c r="G200" s="8"/>
      <c r="H200" s="389"/>
      <c r="I200" s="8" t="b">
        <v>0</v>
      </c>
      <c r="J200" s="388" t="str">
        <f>IFERROR(__xludf.DUMMYFUNCTION("""COMPUTED_VALUE"""),"")</f>
        <v/>
      </c>
      <c r="K200" s="8"/>
      <c r="L200" s="8"/>
      <c r="M200" s="8" t="str">
        <f>IFERROR(__xludf.DUMMYFUNCTION("""COMPUTED_VALUE"""),"")</f>
        <v/>
      </c>
      <c r="N200" s="8" t="str">
        <f>IFERROR(__xludf.DUMMYFUNCTION("""COMPUTED_VALUE"""),"")</f>
        <v/>
      </c>
      <c r="O200" s="8"/>
      <c r="P200" s="8"/>
    </row>
    <row r="201">
      <c r="A201" s="8"/>
      <c r="B201" s="25"/>
      <c r="C201" s="385"/>
      <c r="D201" s="385"/>
      <c r="E201" s="385"/>
      <c r="F201" s="8"/>
      <c r="G201" s="8"/>
      <c r="H201" s="389"/>
      <c r="I201" s="8" t="b">
        <v>0</v>
      </c>
      <c r="J201" s="388" t="str">
        <f>IFERROR(__xludf.DUMMYFUNCTION("""COMPUTED_VALUE"""),"")</f>
        <v/>
      </c>
      <c r="K201" s="8"/>
      <c r="L201" s="8"/>
      <c r="M201" s="8" t="str">
        <f>IFERROR(__xludf.DUMMYFUNCTION("""COMPUTED_VALUE"""),"")</f>
        <v/>
      </c>
      <c r="N201" s="8" t="str">
        <f>IFERROR(__xludf.DUMMYFUNCTION("""COMPUTED_VALUE"""),"")</f>
        <v/>
      </c>
      <c r="O201" s="8"/>
      <c r="P201" s="8"/>
    </row>
    <row r="202">
      <c r="A202" s="8"/>
      <c r="B202" s="25"/>
      <c r="C202" s="385"/>
      <c r="D202" s="385"/>
      <c r="E202" s="385"/>
      <c r="F202" s="8"/>
      <c r="G202" s="8"/>
      <c r="H202" s="389"/>
      <c r="I202" s="8" t="b">
        <v>0</v>
      </c>
      <c r="J202" s="388" t="str">
        <f>IFERROR(__xludf.DUMMYFUNCTION("""COMPUTED_VALUE"""),"")</f>
        <v/>
      </c>
      <c r="K202" s="8"/>
      <c r="L202" s="8"/>
      <c r="M202" s="8" t="str">
        <f>IFERROR(__xludf.DUMMYFUNCTION("""COMPUTED_VALUE"""),"")</f>
        <v/>
      </c>
      <c r="N202" s="8" t="str">
        <f>IFERROR(__xludf.DUMMYFUNCTION("""COMPUTED_VALUE"""),"")</f>
        <v/>
      </c>
      <c r="O202" s="8"/>
      <c r="P202" s="8"/>
    </row>
    <row r="203">
      <c r="A203" s="8"/>
      <c r="B203" s="25"/>
      <c r="C203" s="385"/>
      <c r="D203" s="385"/>
      <c r="E203" s="385"/>
      <c r="F203" s="8"/>
      <c r="G203" s="8"/>
      <c r="H203" s="389"/>
      <c r="I203" s="8" t="b">
        <v>0</v>
      </c>
      <c r="J203" s="388" t="str">
        <f>IFERROR(__xludf.DUMMYFUNCTION("""COMPUTED_VALUE"""),"")</f>
        <v/>
      </c>
      <c r="K203" s="8"/>
      <c r="L203" s="8"/>
      <c r="M203" s="8" t="str">
        <f>IFERROR(__xludf.DUMMYFUNCTION("""COMPUTED_VALUE"""),"")</f>
        <v/>
      </c>
      <c r="N203" s="8" t="str">
        <f>IFERROR(__xludf.DUMMYFUNCTION("""COMPUTED_VALUE"""),"")</f>
        <v/>
      </c>
      <c r="O203" s="8"/>
      <c r="P203" s="8"/>
    </row>
    <row r="204">
      <c r="A204" s="8"/>
      <c r="B204" s="25"/>
      <c r="C204" s="385"/>
      <c r="D204" s="385"/>
      <c r="E204" s="385"/>
      <c r="F204" s="8"/>
      <c r="G204" s="8"/>
      <c r="H204" s="389"/>
      <c r="I204" s="8" t="b">
        <v>0</v>
      </c>
      <c r="J204" s="388" t="str">
        <f>IFERROR(__xludf.DUMMYFUNCTION("""COMPUTED_VALUE"""),"")</f>
        <v/>
      </c>
      <c r="K204" s="8"/>
      <c r="L204" s="8"/>
      <c r="M204" s="8" t="str">
        <f>IFERROR(__xludf.DUMMYFUNCTION("""COMPUTED_VALUE"""),"")</f>
        <v/>
      </c>
      <c r="N204" s="8" t="str">
        <f>IFERROR(__xludf.DUMMYFUNCTION("""COMPUTED_VALUE"""),"")</f>
        <v/>
      </c>
      <c r="O204" s="8"/>
      <c r="P204" s="8"/>
    </row>
    <row r="205">
      <c r="A205" s="8"/>
      <c r="B205" s="25"/>
      <c r="C205" s="385"/>
      <c r="D205" s="385"/>
      <c r="E205" s="385"/>
      <c r="F205" s="8"/>
      <c r="G205" s="8"/>
      <c r="H205" s="389"/>
      <c r="I205" s="8" t="b">
        <v>0</v>
      </c>
      <c r="J205" s="388" t="str">
        <f>IFERROR(__xludf.DUMMYFUNCTION("""COMPUTED_VALUE"""),"")</f>
        <v/>
      </c>
      <c r="K205" s="8"/>
      <c r="L205" s="8"/>
      <c r="M205" s="8" t="str">
        <f>IFERROR(__xludf.DUMMYFUNCTION("""COMPUTED_VALUE"""),"")</f>
        <v/>
      </c>
      <c r="N205" s="8" t="str">
        <f>IFERROR(__xludf.DUMMYFUNCTION("""COMPUTED_VALUE"""),"")</f>
        <v/>
      </c>
      <c r="O205" s="8"/>
      <c r="P205" s="8"/>
    </row>
    <row r="206">
      <c r="A206" s="8"/>
      <c r="B206" s="25"/>
      <c r="C206" s="385"/>
      <c r="D206" s="385"/>
      <c r="E206" s="385"/>
      <c r="F206" s="8"/>
      <c r="G206" s="8"/>
      <c r="H206" s="389"/>
      <c r="I206" s="8" t="b">
        <v>0</v>
      </c>
      <c r="J206" s="388" t="str">
        <f>IFERROR(__xludf.DUMMYFUNCTION("""COMPUTED_VALUE"""),"")</f>
        <v/>
      </c>
      <c r="K206" s="8"/>
      <c r="L206" s="8"/>
      <c r="M206" s="8" t="str">
        <f>IFERROR(__xludf.DUMMYFUNCTION("""COMPUTED_VALUE"""),"")</f>
        <v/>
      </c>
      <c r="N206" s="8" t="str">
        <f>IFERROR(__xludf.DUMMYFUNCTION("""COMPUTED_VALUE"""),"")</f>
        <v/>
      </c>
      <c r="O206" s="8"/>
      <c r="P206" s="8"/>
    </row>
    <row r="207">
      <c r="A207" s="8"/>
      <c r="B207" s="25"/>
      <c r="C207" s="385"/>
      <c r="D207" s="385"/>
      <c r="E207" s="385"/>
      <c r="F207" s="8"/>
      <c r="G207" s="8"/>
      <c r="H207" s="389"/>
      <c r="I207" s="8" t="b">
        <v>0</v>
      </c>
      <c r="J207" s="388" t="str">
        <f>IFERROR(__xludf.DUMMYFUNCTION("""COMPUTED_VALUE"""),"")</f>
        <v/>
      </c>
      <c r="K207" s="8"/>
      <c r="L207" s="8"/>
      <c r="M207" s="8" t="str">
        <f>IFERROR(__xludf.DUMMYFUNCTION("""COMPUTED_VALUE"""),"")</f>
        <v/>
      </c>
      <c r="N207" s="8" t="str">
        <f>IFERROR(__xludf.DUMMYFUNCTION("""COMPUTED_VALUE"""),"")</f>
        <v/>
      </c>
      <c r="O207" s="8"/>
      <c r="P207" s="8"/>
    </row>
    <row r="208">
      <c r="A208" s="8"/>
      <c r="B208" s="25"/>
      <c r="C208" s="385"/>
      <c r="D208" s="385"/>
      <c r="E208" s="385"/>
      <c r="F208" s="8"/>
      <c r="G208" s="8"/>
      <c r="H208" s="389"/>
      <c r="I208" s="8" t="b">
        <v>0</v>
      </c>
      <c r="J208" s="388" t="str">
        <f>IFERROR(__xludf.DUMMYFUNCTION("""COMPUTED_VALUE"""),"")</f>
        <v/>
      </c>
      <c r="K208" s="8"/>
      <c r="L208" s="8"/>
      <c r="M208" s="8" t="str">
        <f>IFERROR(__xludf.DUMMYFUNCTION("""COMPUTED_VALUE"""),"")</f>
        <v/>
      </c>
      <c r="N208" s="8" t="str">
        <f>IFERROR(__xludf.DUMMYFUNCTION("""COMPUTED_VALUE"""),"")</f>
        <v/>
      </c>
      <c r="O208" s="8"/>
      <c r="P208" s="8"/>
    </row>
    <row r="209">
      <c r="A209" s="8"/>
      <c r="B209" s="25"/>
      <c r="C209" s="385"/>
      <c r="D209" s="385"/>
      <c r="E209" s="385"/>
      <c r="F209" s="8"/>
      <c r="G209" s="8"/>
      <c r="H209" s="389"/>
      <c r="I209" s="8" t="b">
        <v>0</v>
      </c>
      <c r="J209" s="388" t="str">
        <f>IFERROR(__xludf.DUMMYFUNCTION("""COMPUTED_VALUE"""),"")</f>
        <v/>
      </c>
      <c r="K209" s="8"/>
      <c r="L209" s="8"/>
      <c r="M209" s="8" t="str">
        <f>IFERROR(__xludf.DUMMYFUNCTION("""COMPUTED_VALUE"""),"")</f>
        <v/>
      </c>
      <c r="N209" s="8" t="str">
        <f>IFERROR(__xludf.DUMMYFUNCTION("""COMPUTED_VALUE"""),"")</f>
        <v/>
      </c>
      <c r="O209" s="8"/>
      <c r="P209" s="8"/>
    </row>
    <row r="210">
      <c r="A210" s="8"/>
      <c r="B210" s="25"/>
      <c r="C210" s="385"/>
      <c r="D210" s="385"/>
      <c r="E210" s="385"/>
      <c r="F210" s="8"/>
      <c r="G210" s="8"/>
      <c r="H210" s="389"/>
      <c r="I210" s="8" t="b">
        <v>0</v>
      </c>
      <c r="J210" s="388" t="str">
        <f>IFERROR(__xludf.DUMMYFUNCTION("""COMPUTED_VALUE"""),"")</f>
        <v/>
      </c>
      <c r="K210" s="8"/>
      <c r="L210" s="8"/>
      <c r="M210" s="8" t="str">
        <f>IFERROR(__xludf.DUMMYFUNCTION("""COMPUTED_VALUE"""),"")</f>
        <v/>
      </c>
      <c r="N210" s="8" t="str">
        <f>IFERROR(__xludf.DUMMYFUNCTION("""COMPUTED_VALUE"""),"")</f>
        <v/>
      </c>
      <c r="O210" s="8"/>
      <c r="P210" s="8"/>
    </row>
    <row r="211">
      <c r="A211" s="8"/>
      <c r="B211" s="25"/>
      <c r="C211" s="385"/>
      <c r="D211" s="385"/>
      <c r="E211" s="385"/>
      <c r="F211" s="8"/>
      <c r="G211" s="8"/>
      <c r="H211" s="389"/>
      <c r="I211" s="8" t="b">
        <v>0</v>
      </c>
      <c r="J211" s="388" t="str">
        <f>IFERROR(__xludf.DUMMYFUNCTION("""COMPUTED_VALUE"""),"")</f>
        <v/>
      </c>
      <c r="K211" s="8"/>
      <c r="L211" s="8"/>
      <c r="M211" s="8" t="str">
        <f>IFERROR(__xludf.DUMMYFUNCTION("""COMPUTED_VALUE"""),"")</f>
        <v/>
      </c>
      <c r="N211" s="8" t="str">
        <f>IFERROR(__xludf.DUMMYFUNCTION("""COMPUTED_VALUE"""),"")</f>
        <v/>
      </c>
      <c r="O211" s="8"/>
      <c r="P211" s="8"/>
    </row>
    <row r="212">
      <c r="A212" s="8"/>
      <c r="B212" s="25"/>
      <c r="C212" s="385"/>
      <c r="D212" s="385"/>
      <c r="E212" s="385"/>
      <c r="F212" s="8"/>
      <c r="G212" s="8"/>
      <c r="H212" s="389"/>
      <c r="I212" s="8" t="b">
        <v>0</v>
      </c>
      <c r="J212" s="388" t="str">
        <f>IFERROR(__xludf.DUMMYFUNCTION("""COMPUTED_VALUE"""),"")</f>
        <v/>
      </c>
      <c r="K212" s="8"/>
      <c r="L212" s="8"/>
      <c r="M212" s="8" t="str">
        <f>IFERROR(__xludf.DUMMYFUNCTION("""COMPUTED_VALUE"""),"")</f>
        <v/>
      </c>
      <c r="N212" s="8" t="str">
        <f>IFERROR(__xludf.DUMMYFUNCTION("""COMPUTED_VALUE"""),"")</f>
        <v/>
      </c>
      <c r="O212" s="8"/>
      <c r="P212" s="8"/>
    </row>
    <row r="213">
      <c r="A213" s="8"/>
      <c r="B213" s="25"/>
      <c r="C213" s="385"/>
      <c r="D213" s="385"/>
      <c r="E213" s="385"/>
      <c r="F213" s="8"/>
      <c r="G213" s="8"/>
      <c r="H213" s="389"/>
      <c r="I213" s="8" t="b">
        <v>0</v>
      </c>
      <c r="J213" s="388" t="str">
        <f>IFERROR(__xludf.DUMMYFUNCTION("""COMPUTED_VALUE"""),"")</f>
        <v/>
      </c>
      <c r="K213" s="8"/>
      <c r="L213" s="8"/>
      <c r="M213" s="8" t="str">
        <f>IFERROR(__xludf.DUMMYFUNCTION("""COMPUTED_VALUE"""),"")</f>
        <v/>
      </c>
      <c r="N213" s="8" t="str">
        <f>IFERROR(__xludf.DUMMYFUNCTION("""COMPUTED_VALUE"""),"")</f>
        <v/>
      </c>
      <c r="O213" s="8"/>
      <c r="P213" s="8"/>
    </row>
    <row r="214">
      <c r="A214" s="8"/>
      <c r="B214" s="25"/>
      <c r="C214" s="385"/>
      <c r="D214" s="385"/>
      <c r="E214" s="385"/>
      <c r="F214" s="8"/>
      <c r="G214" s="8"/>
      <c r="H214" s="389"/>
      <c r="I214" s="8" t="b">
        <v>0</v>
      </c>
      <c r="J214" s="388" t="str">
        <f>IFERROR(__xludf.DUMMYFUNCTION("""COMPUTED_VALUE"""),"")</f>
        <v/>
      </c>
      <c r="K214" s="8"/>
      <c r="L214" s="8"/>
      <c r="M214" s="8" t="str">
        <f>IFERROR(__xludf.DUMMYFUNCTION("""COMPUTED_VALUE"""),"")</f>
        <v/>
      </c>
      <c r="N214" s="8" t="str">
        <f>IFERROR(__xludf.DUMMYFUNCTION("""COMPUTED_VALUE"""),"")</f>
        <v/>
      </c>
      <c r="O214" s="8"/>
      <c r="P214" s="8"/>
    </row>
    <row r="215">
      <c r="A215" s="8"/>
      <c r="B215" s="25"/>
      <c r="C215" s="385"/>
      <c r="D215" s="385"/>
      <c r="E215" s="385"/>
      <c r="F215" s="8"/>
      <c r="G215" s="8"/>
      <c r="H215" s="389"/>
      <c r="I215" s="8" t="b">
        <v>0</v>
      </c>
      <c r="J215" s="388" t="str">
        <f>IFERROR(__xludf.DUMMYFUNCTION("""COMPUTED_VALUE"""),"")</f>
        <v/>
      </c>
      <c r="K215" s="8"/>
      <c r="L215" s="8"/>
      <c r="M215" s="8" t="str">
        <f>IFERROR(__xludf.DUMMYFUNCTION("""COMPUTED_VALUE"""),"")</f>
        <v/>
      </c>
      <c r="N215" s="8" t="str">
        <f>IFERROR(__xludf.DUMMYFUNCTION("""COMPUTED_VALUE"""),"")</f>
        <v/>
      </c>
      <c r="O215" s="8"/>
      <c r="P215" s="8"/>
    </row>
    <row r="216">
      <c r="A216" s="8"/>
      <c r="B216" s="25"/>
      <c r="C216" s="385"/>
      <c r="D216" s="385"/>
      <c r="E216" s="385"/>
      <c r="F216" s="8"/>
      <c r="G216" s="8"/>
      <c r="H216" s="389"/>
      <c r="I216" s="8" t="b">
        <v>0</v>
      </c>
      <c r="J216" s="388" t="str">
        <f>IFERROR(__xludf.DUMMYFUNCTION("""COMPUTED_VALUE"""),"")</f>
        <v/>
      </c>
      <c r="K216" s="8"/>
      <c r="L216" s="8"/>
      <c r="M216" s="8" t="str">
        <f>IFERROR(__xludf.DUMMYFUNCTION("""COMPUTED_VALUE"""),"")</f>
        <v/>
      </c>
      <c r="N216" s="8" t="str">
        <f>IFERROR(__xludf.DUMMYFUNCTION("""COMPUTED_VALUE"""),"")</f>
        <v/>
      </c>
      <c r="O216" s="8"/>
      <c r="P216" s="8"/>
    </row>
    <row r="217">
      <c r="A217" s="8"/>
      <c r="B217" s="25"/>
      <c r="C217" s="385"/>
      <c r="D217" s="385"/>
      <c r="E217" s="385"/>
      <c r="F217" s="8"/>
      <c r="G217" s="8"/>
      <c r="H217" s="389"/>
      <c r="I217" s="8" t="b">
        <v>0</v>
      </c>
      <c r="J217" s="388" t="str">
        <f>IFERROR(__xludf.DUMMYFUNCTION("""COMPUTED_VALUE"""),"")</f>
        <v/>
      </c>
      <c r="K217" s="8"/>
      <c r="L217" s="8"/>
      <c r="M217" s="8" t="str">
        <f>IFERROR(__xludf.DUMMYFUNCTION("""COMPUTED_VALUE"""),"")</f>
        <v/>
      </c>
      <c r="N217" s="8" t="str">
        <f>IFERROR(__xludf.DUMMYFUNCTION("""COMPUTED_VALUE"""),"")</f>
        <v/>
      </c>
      <c r="O217" s="8"/>
      <c r="P217" s="8"/>
    </row>
    <row r="218">
      <c r="A218" s="8"/>
      <c r="B218" s="25"/>
      <c r="C218" s="385"/>
      <c r="D218" s="385"/>
      <c r="E218" s="385"/>
      <c r="F218" s="8"/>
      <c r="G218" s="8"/>
      <c r="H218" s="389"/>
      <c r="I218" s="8" t="b">
        <v>0</v>
      </c>
      <c r="J218" s="388" t="str">
        <f>IFERROR(__xludf.DUMMYFUNCTION("""COMPUTED_VALUE"""),"")</f>
        <v/>
      </c>
      <c r="K218" s="8"/>
      <c r="L218" s="8"/>
      <c r="M218" s="8" t="str">
        <f>IFERROR(__xludf.DUMMYFUNCTION("""COMPUTED_VALUE"""),"")</f>
        <v/>
      </c>
      <c r="N218" s="8" t="str">
        <f>IFERROR(__xludf.DUMMYFUNCTION("""COMPUTED_VALUE"""),"")</f>
        <v/>
      </c>
      <c r="O218" s="8"/>
      <c r="P218" s="8"/>
    </row>
    <row r="219">
      <c r="A219" s="8"/>
      <c r="B219" s="25"/>
      <c r="C219" s="385"/>
      <c r="D219" s="385"/>
      <c r="E219" s="385"/>
      <c r="F219" s="8"/>
      <c r="G219" s="8"/>
      <c r="H219" s="389"/>
      <c r="I219" s="8" t="b">
        <v>0</v>
      </c>
      <c r="J219" s="388" t="str">
        <f>IFERROR(__xludf.DUMMYFUNCTION("""COMPUTED_VALUE"""),"")</f>
        <v/>
      </c>
      <c r="K219" s="8"/>
      <c r="L219" s="8"/>
      <c r="M219" s="8" t="str">
        <f>IFERROR(__xludf.DUMMYFUNCTION("""COMPUTED_VALUE"""),"")</f>
        <v/>
      </c>
      <c r="N219" s="8" t="str">
        <f>IFERROR(__xludf.DUMMYFUNCTION("""COMPUTED_VALUE"""),"")</f>
        <v/>
      </c>
      <c r="O219" s="8"/>
      <c r="P219" s="8"/>
    </row>
    <row r="220">
      <c r="A220" s="8"/>
      <c r="B220" s="25"/>
      <c r="C220" s="385"/>
      <c r="D220" s="385"/>
      <c r="E220" s="385"/>
      <c r="F220" s="8"/>
      <c r="G220" s="8"/>
      <c r="H220" s="389"/>
      <c r="I220" s="8" t="b">
        <v>0</v>
      </c>
      <c r="J220" s="388" t="str">
        <f>IFERROR(__xludf.DUMMYFUNCTION("""COMPUTED_VALUE"""),"")</f>
        <v/>
      </c>
      <c r="K220" s="8"/>
      <c r="L220" s="8"/>
      <c r="M220" s="8" t="str">
        <f>IFERROR(__xludf.DUMMYFUNCTION("""COMPUTED_VALUE"""),"")</f>
        <v/>
      </c>
      <c r="N220" s="8" t="str">
        <f>IFERROR(__xludf.DUMMYFUNCTION("""COMPUTED_VALUE"""),"")</f>
        <v/>
      </c>
      <c r="O220" s="8"/>
      <c r="P220" s="8"/>
    </row>
    <row r="221">
      <c r="A221" s="8"/>
      <c r="B221" s="25"/>
      <c r="C221" s="385"/>
      <c r="D221" s="385"/>
      <c r="E221" s="385"/>
      <c r="F221" s="8"/>
      <c r="G221" s="8"/>
      <c r="H221" s="389"/>
      <c r="I221" s="8" t="b">
        <v>0</v>
      </c>
      <c r="J221" s="388" t="str">
        <f>IFERROR(__xludf.DUMMYFUNCTION("""COMPUTED_VALUE"""),"")</f>
        <v/>
      </c>
      <c r="K221" s="8"/>
      <c r="L221" s="8"/>
      <c r="M221" s="8" t="str">
        <f>IFERROR(__xludf.DUMMYFUNCTION("""COMPUTED_VALUE"""),"")</f>
        <v/>
      </c>
      <c r="N221" s="8" t="str">
        <f>IFERROR(__xludf.DUMMYFUNCTION("""COMPUTED_VALUE"""),"")</f>
        <v/>
      </c>
      <c r="O221" s="8"/>
      <c r="P221" s="8"/>
    </row>
    <row r="222">
      <c r="A222" s="8"/>
      <c r="B222" s="25"/>
      <c r="C222" s="385"/>
      <c r="D222" s="385"/>
      <c r="E222" s="385"/>
      <c r="F222" s="8"/>
      <c r="G222" s="8"/>
      <c r="H222" s="389"/>
      <c r="I222" s="8" t="b">
        <v>0</v>
      </c>
      <c r="J222" s="388" t="str">
        <f>IFERROR(__xludf.DUMMYFUNCTION("""COMPUTED_VALUE"""),"")</f>
        <v/>
      </c>
      <c r="K222" s="8"/>
      <c r="L222" s="8"/>
      <c r="M222" s="8" t="str">
        <f>IFERROR(__xludf.DUMMYFUNCTION("""COMPUTED_VALUE"""),"")</f>
        <v/>
      </c>
      <c r="N222" s="8" t="str">
        <f>IFERROR(__xludf.DUMMYFUNCTION("""COMPUTED_VALUE"""),"")</f>
        <v/>
      </c>
      <c r="O222" s="8"/>
      <c r="P222" s="8"/>
    </row>
    <row r="223">
      <c r="A223" s="8"/>
      <c r="B223" s="25"/>
      <c r="C223" s="385"/>
      <c r="D223" s="385"/>
      <c r="E223" s="385"/>
      <c r="F223" s="8"/>
      <c r="G223" s="8"/>
      <c r="H223" s="389"/>
      <c r="I223" s="8" t="b">
        <v>0</v>
      </c>
      <c r="J223" s="388" t="str">
        <f>IFERROR(__xludf.DUMMYFUNCTION("""COMPUTED_VALUE"""),"")</f>
        <v/>
      </c>
      <c r="K223" s="8"/>
      <c r="L223" s="8"/>
      <c r="M223" s="8" t="str">
        <f>IFERROR(__xludf.DUMMYFUNCTION("""COMPUTED_VALUE"""),"")</f>
        <v/>
      </c>
      <c r="N223" s="8" t="str">
        <f>IFERROR(__xludf.DUMMYFUNCTION("""COMPUTED_VALUE"""),"")</f>
        <v/>
      </c>
      <c r="O223" s="8"/>
      <c r="P223" s="8"/>
    </row>
    <row r="224">
      <c r="A224" s="8"/>
      <c r="B224" s="25"/>
      <c r="C224" s="385"/>
      <c r="D224" s="385"/>
      <c r="E224" s="385"/>
      <c r="F224" s="8"/>
      <c r="G224" s="8"/>
      <c r="H224" s="389"/>
      <c r="I224" s="8" t="b">
        <v>0</v>
      </c>
      <c r="J224" s="388" t="str">
        <f>IFERROR(__xludf.DUMMYFUNCTION("""COMPUTED_VALUE"""),"")</f>
        <v/>
      </c>
      <c r="K224" s="8"/>
      <c r="L224" s="8"/>
      <c r="M224" s="8" t="str">
        <f>IFERROR(__xludf.DUMMYFUNCTION("""COMPUTED_VALUE"""),"")</f>
        <v/>
      </c>
      <c r="N224" s="8" t="str">
        <f>IFERROR(__xludf.DUMMYFUNCTION("""COMPUTED_VALUE"""),"")</f>
        <v/>
      </c>
      <c r="O224" s="8"/>
      <c r="P224" s="8"/>
    </row>
    <row r="225">
      <c r="A225" s="8"/>
      <c r="B225" s="25"/>
      <c r="C225" s="385"/>
      <c r="D225" s="385"/>
      <c r="E225" s="385"/>
      <c r="F225" s="8"/>
      <c r="G225" s="8"/>
      <c r="H225" s="389"/>
      <c r="I225" s="8" t="b">
        <v>0</v>
      </c>
      <c r="J225" s="388" t="str">
        <f>IFERROR(__xludf.DUMMYFUNCTION("""COMPUTED_VALUE"""),"")</f>
        <v/>
      </c>
      <c r="K225" s="8"/>
      <c r="L225" s="8"/>
      <c r="M225" s="8" t="str">
        <f>IFERROR(__xludf.DUMMYFUNCTION("""COMPUTED_VALUE"""),"")</f>
        <v/>
      </c>
      <c r="N225" s="8" t="str">
        <f>IFERROR(__xludf.DUMMYFUNCTION("""COMPUTED_VALUE"""),"")</f>
        <v/>
      </c>
      <c r="O225" s="8"/>
      <c r="P225" s="8"/>
    </row>
    <row r="226">
      <c r="A226" s="8"/>
      <c r="B226" s="25"/>
      <c r="C226" s="385"/>
      <c r="D226" s="385"/>
      <c r="E226" s="385"/>
      <c r="F226" s="8"/>
      <c r="G226" s="8"/>
      <c r="H226" s="389"/>
      <c r="I226" s="8" t="b">
        <v>0</v>
      </c>
      <c r="J226" s="388" t="str">
        <f>IFERROR(__xludf.DUMMYFUNCTION("""COMPUTED_VALUE"""),"")</f>
        <v/>
      </c>
      <c r="K226" s="8"/>
      <c r="L226" s="8"/>
      <c r="M226" s="8" t="str">
        <f>IFERROR(__xludf.DUMMYFUNCTION("""COMPUTED_VALUE"""),"")</f>
        <v/>
      </c>
      <c r="N226" s="8" t="str">
        <f>IFERROR(__xludf.DUMMYFUNCTION("""COMPUTED_VALUE"""),"")</f>
        <v/>
      </c>
      <c r="O226" s="8"/>
      <c r="P226" s="8"/>
    </row>
    <row r="227">
      <c r="A227" s="8"/>
      <c r="B227" s="25"/>
      <c r="C227" s="385"/>
      <c r="D227" s="385"/>
      <c r="E227" s="385"/>
      <c r="F227" s="8"/>
      <c r="G227" s="8"/>
      <c r="H227" s="389"/>
      <c r="I227" s="8" t="b">
        <v>0</v>
      </c>
      <c r="J227" s="388" t="str">
        <f>IFERROR(__xludf.DUMMYFUNCTION("""COMPUTED_VALUE"""),"")</f>
        <v/>
      </c>
      <c r="K227" s="8"/>
      <c r="L227" s="8"/>
      <c r="M227" s="8" t="str">
        <f>IFERROR(__xludf.DUMMYFUNCTION("""COMPUTED_VALUE"""),"")</f>
        <v/>
      </c>
      <c r="N227" s="8" t="str">
        <f>IFERROR(__xludf.DUMMYFUNCTION("""COMPUTED_VALUE"""),"")</f>
        <v/>
      </c>
      <c r="O227" s="8"/>
      <c r="P227" s="8"/>
    </row>
    <row r="228">
      <c r="A228" s="8"/>
      <c r="B228" s="25"/>
      <c r="C228" s="385"/>
      <c r="D228" s="385"/>
      <c r="E228" s="385"/>
      <c r="F228" s="8"/>
      <c r="G228" s="8"/>
      <c r="H228" s="389"/>
      <c r="I228" s="8" t="b">
        <v>0</v>
      </c>
      <c r="J228" s="388" t="str">
        <f>IFERROR(__xludf.DUMMYFUNCTION("""COMPUTED_VALUE"""),"")</f>
        <v/>
      </c>
      <c r="K228" s="8"/>
      <c r="L228" s="8"/>
      <c r="M228" s="8" t="str">
        <f>IFERROR(__xludf.DUMMYFUNCTION("""COMPUTED_VALUE"""),"")</f>
        <v/>
      </c>
      <c r="N228" s="8" t="str">
        <f>IFERROR(__xludf.DUMMYFUNCTION("""COMPUTED_VALUE"""),"")</f>
        <v/>
      </c>
      <c r="O228" s="8"/>
      <c r="P228" s="8"/>
    </row>
    <row r="229">
      <c r="A229" s="8"/>
      <c r="B229" s="25"/>
      <c r="C229" s="385"/>
      <c r="D229" s="385"/>
      <c r="E229" s="385"/>
      <c r="F229" s="8"/>
      <c r="G229" s="8"/>
      <c r="H229" s="389"/>
      <c r="I229" s="8" t="b">
        <v>0</v>
      </c>
      <c r="J229" s="388" t="str">
        <f>IFERROR(__xludf.DUMMYFUNCTION("""COMPUTED_VALUE"""),"")</f>
        <v/>
      </c>
      <c r="K229" s="8"/>
      <c r="L229" s="8"/>
      <c r="M229" s="8" t="str">
        <f>IFERROR(__xludf.DUMMYFUNCTION("""COMPUTED_VALUE"""),"")</f>
        <v/>
      </c>
      <c r="N229" s="8" t="str">
        <f>IFERROR(__xludf.DUMMYFUNCTION("""COMPUTED_VALUE"""),"")</f>
        <v/>
      </c>
      <c r="O229" s="8"/>
      <c r="P229" s="8"/>
    </row>
    <row r="230">
      <c r="A230" s="8"/>
      <c r="B230" s="25"/>
      <c r="C230" s="385"/>
      <c r="D230" s="385"/>
      <c r="E230" s="385"/>
      <c r="F230" s="8"/>
      <c r="G230" s="8"/>
      <c r="H230" s="389"/>
      <c r="I230" s="8" t="b">
        <v>0</v>
      </c>
      <c r="J230" s="388" t="str">
        <f>IFERROR(__xludf.DUMMYFUNCTION("""COMPUTED_VALUE"""),"")</f>
        <v/>
      </c>
      <c r="K230" s="8"/>
      <c r="L230" s="8"/>
      <c r="M230" s="8" t="str">
        <f>IFERROR(__xludf.DUMMYFUNCTION("""COMPUTED_VALUE"""),"")</f>
        <v/>
      </c>
      <c r="N230" s="8" t="str">
        <f>IFERROR(__xludf.DUMMYFUNCTION("""COMPUTED_VALUE"""),"")</f>
        <v/>
      </c>
      <c r="O230" s="8"/>
      <c r="P230" s="8"/>
    </row>
    <row r="231">
      <c r="A231" s="8"/>
      <c r="B231" s="25"/>
      <c r="C231" s="385"/>
      <c r="D231" s="385"/>
      <c r="E231" s="385"/>
      <c r="F231" s="8"/>
      <c r="G231" s="8"/>
      <c r="H231" s="389"/>
      <c r="I231" s="8" t="b">
        <v>0</v>
      </c>
      <c r="J231" s="388" t="str">
        <f>IFERROR(__xludf.DUMMYFUNCTION("""COMPUTED_VALUE"""),"")</f>
        <v/>
      </c>
      <c r="K231" s="8"/>
      <c r="L231" s="8"/>
      <c r="M231" s="8" t="str">
        <f>IFERROR(__xludf.DUMMYFUNCTION("""COMPUTED_VALUE"""),"")</f>
        <v/>
      </c>
      <c r="N231" s="8" t="str">
        <f>IFERROR(__xludf.DUMMYFUNCTION("""COMPUTED_VALUE"""),"")</f>
        <v/>
      </c>
      <c r="O231" s="8"/>
      <c r="P231" s="8"/>
    </row>
    <row r="232">
      <c r="A232" s="8"/>
      <c r="B232" s="25"/>
      <c r="C232" s="385"/>
      <c r="D232" s="385"/>
      <c r="E232" s="385"/>
      <c r="F232" s="8"/>
      <c r="G232" s="8"/>
      <c r="H232" s="389"/>
      <c r="I232" s="8" t="b">
        <v>0</v>
      </c>
      <c r="J232" s="388" t="str">
        <f>IFERROR(__xludf.DUMMYFUNCTION("""COMPUTED_VALUE"""),"")</f>
        <v/>
      </c>
      <c r="K232" s="8"/>
      <c r="L232" s="8"/>
      <c r="M232" s="8" t="str">
        <f>IFERROR(__xludf.DUMMYFUNCTION("""COMPUTED_VALUE"""),"")</f>
        <v/>
      </c>
      <c r="N232" s="8" t="str">
        <f>IFERROR(__xludf.DUMMYFUNCTION("""COMPUTED_VALUE"""),"")</f>
        <v/>
      </c>
      <c r="O232" s="8"/>
      <c r="P232" s="8"/>
    </row>
    <row r="233">
      <c r="A233" s="8"/>
      <c r="B233" s="25"/>
      <c r="C233" s="385"/>
      <c r="D233" s="385"/>
      <c r="E233" s="385"/>
      <c r="F233" s="8"/>
      <c r="G233" s="8"/>
      <c r="H233" s="389"/>
      <c r="I233" s="8" t="b">
        <v>0</v>
      </c>
      <c r="J233" s="388" t="str">
        <f>IFERROR(__xludf.DUMMYFUNCTION("""COMPUTED_VALUE"""),"")</f>
        <v/>
      </c>
      <c r="K233" s="8"/>
      <c r="L233" s="8"/>
      <c r="M233" s="8" t="str">
        <f>IFERROR(__xludf.DUMMYFUNCTION("""COMPUTED_VALUE"""),"")</f>
        <v/>
      </c>
      <c r="N233" s="8" t="str">
        <f>IFERROR(__xludf.DUMMYFUNCTION("""COMPUTED_VALUE"""),"")</f>
        <v/>
      </c>
      <c r="O233" s="8"/>
      <c r="P233" s="8"/>
    </row>
    <row r="234">
      <c r="A234" s="8"/>
      <c r="B234" s="25"/>
      <c r="C234" s="385"/>
      <c r="D234" s="385"/>
      <c r="E234" s="385"/>
      <c r="F234" s="8"/>
      <c r="G234" s="8"/>
      <c r="H234" s="389"/>
      <c r="I234" s="8" t="b">
        <v>0</v>
      </c>
      <c r="J234" s="388" t="str">
        <f>IFERROR(__xludf.DUMMYFUNCTION("""COMPUTED_VALUE"""),"")</f>
        <v/>
      </c>
      <c r="K234" s="8"/>
      <c r="L234" s="8"/>
      <c r="M234" s="8" t="str">
        <f>IFERROR(__xludf.DUMMYFUNCTION("""COMPUTED_VALUE"""),"")</f>
        <v/>
      </c>
      <c r="N234" s="8" t="str">
        <f>IFERROR(__xludf.DUMMYFUNCTION("""COMPUTED_VALUE"""),"")</f>
        <v/>
      </c>
      <c r="O234" s="8"/>
      <c r="P234" s="8"/>
    </row>
    <row r="235">
      <c r="A235" s="8"/>
      <c r="B235" s="25"/>
      <c r="C235" s="385"/>
      <c r="D235" s="385"/>
      <c r="E235" s="385"/>
      <c r="F235" s="8"/>
      <c r="G235" s="8"/>
      <c r="H235" s="389"/>
      <c r="I235" s="8" t="b">
        <v>0</v>
      </c>
      <c r="J235" s="388" t="str">
        <f>IFERROR(__xludf.DUMMYFUNCTION("""COMPUTED_VALUE"""),"")</f>
        <v/>
      </c>
      <c r="K235" s="8"/>
      <c r="L235" s="8"/>
      <c r="M235" s="8" t="str">
        <f>IFERROR(__xludf.DUMMYFUNCTION("""COMPUTED_VALUE"""),"")</f>
        <v/>
      </c>
      <c r="N235" s="8" t="str">
        <f>IFERROR(__xludf.DUMMYFUNCTION("""COMPUTED_VALUE"""),"")</f>
        <v/>
      </c>
      <c r="O235" s="8"/>
      <c r="P235" s="8"/>
    </row>
    <row r="236">
      <c r="A236" s="8"/>
      <c r="B236" s="25"/>
      <c r="C236" s="385"/>
      <c r="D236" s="385"/>
      <c r="E236" s="385"/>
      <c r="F236" s="8"/>
      <c r="G236" s="8"/>
      <c r="H236" s="389"/>
      <c r="I236" s="8" t="b">
        <v>0</v>
      </c>
      <c r="J236" s="388" t="str">
        <f>IFERROR(__xludf.DUMMYFUNCTION("""COMPUTED_VALUE"""),"")</f>
        <v/>
      </c>
      <c r="K236" s="8"/>
      <c r="L236" s="8"/>
      <c r="M236" s="8" t="str">
        <f>IFERROR(__xludf.DUMMYFUNCTION("""COMPUTED_VALUE"""),"")</f>
        <v/>
      </c>
      <c r="N236" s="8" t="str">
        <f>IFERROR(__xludf.DUMMYFUNCTION("""COMPUTED_VALUE"""),"")</f>
        <v/>
      </c>
      <c r="O236" s="8"/>
      <c r="P236" s="8"/>
    </row>
    <row r="237">
      <c r="A237" s="8"/>
      <c r="B237" s="25"/>
      <c r="C237" s="385"/>
      <c r="D237" s="385"/>
      <c r="E237" s="385"/>
      <c r="F237" s="8"/>
      <c r="G237" s="8"/>
      <c r="H237" s="389"/>
      <c r="I237" s="8" t="b">
        <v>0</v>
      </c>
      <c r="J237" s="388" t="str">
        <f>IFERROR(__xludf.DUMMYFUNCTION("""COMPUTED_VALUE"""),"")</f>
        <v/>
      </c>
      <c r="K237" s="8"/>
      <c r="L237" s="8"/>
      <c r="M237" s="8" t="str">
        <f>IFERROR(__xludf.DUMMYFUNCTION("""COMPUTED_VALUE"""),"")</f>
        <v/>
      </c>
      <c r="N237" s="8" t="str">
        <f>IFERROR(__xludf.DUMMYFUNCTION("""COMPUTED_VALUE"""),"")</f>
        <v/>
      </c>
      <c r="O237" s="8"/>
      <c r="P237" s="8"/>
    </row>
    <row r="238">
      <c r="A238" s="8"/>
      <c r="B238" s="25"/>
      <c r="C238" s="385"/>
      <c r="D238" s="385"/>
      <c r="E238" s="385"/>
      <c r="F238" s="8"/>
      <c r="G238" s="8"/>
      <c r="H238" s="389"/>
      <c r="I238" s="8" t="b">
        <v>0</v>
      </c>
      <c r="J238" s="388" t="str">
        <f>IFERROR(__xludf.DUMMYFUNCTION("""COMPUTED_VALUE"""),"")</f>
        <v/>
      </c>
      <c r="K238" s="8"/>
      <c r="L238" s="8"/>
      <c r="M238" s="8" t="str">
        <f>IFERROR(__xludf.DUMMYFUNCTION("""COMPUTED_VALUE"""),"")</f>
        <v/>
      </c>
      <c r="N238" s="8" t="str">
        <f>IFERROR(__xludf.DUMMYFUNCTION("""COMPUTED_VALUE"""),"")</f>
        <v/>
      </c>
      <c r="O238" s="8"/>
      <c r="P238" s="8"/>
    </row>
    <row r="239">
      <c r="A239" s="8"/>
      <c r="B239" s="25"/>
      <c r="C239" s="385"/>
      <c r="D239" s="385"/>
      <c r="E239" s="385"/>
      <c r="F239" s="8"/>
      <c r="G239" s="8"/>
      <c r="H239" s="389"/>
      <c r="I239" s="8" t="b">
        <v>0</v>
      </c>
      <c r="J239" s="388" t="str">
        <f>IFERROR(__xludf.DUMMYFUNCTION("""COMPUTED_VALUE"""),"")</f>
        <v/>
      </c>
      <c r="K239" s="8"/>
      <c r="L239" s="8"/>
      <c r="M239" s="8" t="str">
        <f>IFERROR(__xludf.DUMMYFUNCTION("""COMPUTED_VALUE"""),"")</f>
        <v/>
      </c>
      <c r="N239" s="8" t="str">
        <f>IFERROR(__xludf.DUMMYFUNCTION("""COMPUTED_VALUE"""),"")</f>
        <v/>
      </c>
      <c r="O239" s="8"/>
      <c r="P239" s="8"/>
    </row>
    <row r="240">
      <c r="A240" s="8"/>
      <c r="B240" s="25"/>
      <c r="C240" s="385"/>
      <c r="D240" s="385"/>
      <c r="E240" s="385"/>
      <c r="F240" s="8"/>
      <c r="G240" s="8"/>
      <c r="H240" s="389"/>
      <c r="I240" s="8" t="b">
        <v>0</v>
      </c>
      <c r="J240" s="388" t="str">
        <f>IFERROR(__xludf.DUMMYFUNCTION("""COMPUTED_VALUE"""),"")</f>
        <v/>
      </c>
      <c r="K240" s="8"/>
      <c r="L240" s="8"/>
      <c r="M240" s="8" t="str">
        <f>IFERROR(__xludf.DUMMYFUNCTION("""COMPUTED_VALUE"""),"")</f>
        <v/>
      </c>
      <c r="N240" s="8" t="str">
        <f>IFERROR(__xludf.DUMMYFUNCTION("""COMPUTED_VALUE"""),"")</f>
        <v/>
      </c>
      <c r="O240" s="8"/>
      <c r="P240" s="8"/>
    </row>
    <row r="241">
      <c r="A241" s="8"/>
      <c r="B241" s="25"/>
      <c r="C241" s="385"/>
      <c r="D241" s="385"/>
      <c r="E241" s="385"/>
      <c r="F241" s="8"/>
      <c r="G241" s="8"/>
      <c r="H241" s="389"/>
      <c r="I241" s="8" t="b">
        <v>0</v>
      </c>
      <c r="J241" s="388" t="str">
        <f>IFERROR(__xludf.DUMMYFUNCTION("""COMPUTED_VALUE"""),"")</f>
        <v/>
      </c>
      <c r="K241" s="8"/>
      <c r="L241" s="8"/>
      <c r="M241" s="8" t="str">
        <f>IFERROR(__xludf.DUMMYFUNCTION("""COMPUTED_VALUE"""),"")</f>
        <v/>
      </c>
      <c r="N241" s="8" t="str">
        <f>IFERROR(__xludf.DUMMYFUNCTION("""COMPUTED_VALUE"""),"")</f>
        <v/>
      </c>
      <c r="O241" s="8"/>
      <c r="P241" s="8"/>
    </row>
    <row r="242">
      <c r="A242" s="8"/>
      <c r="B242" s="25"/>
      <c r="C242" s="385"/>
      <c r="D242" s="385"/>
      <c r="E242" s="385"/>
      <c r="F242" s="8"/>
      <c r="G242" s="8"/>
      <c r="H242" s="389"/>
      <c r="I242" s="8" t="b">
        <v>0</v>
      </c>
      <c r="J242" s="388" t="str">
        <f>IFERROR(__xludf.DUMMYFUNCTION("""COMPUTED_VALUE"""),"")</f>
        <v/>
      </c>
      <c r="K242" s="8"/>
      <c r="L242" s="8"/>
      <c r="M242" s="8" t="str">
        <f>IFERROR(__xludf.DUMMYFUNCTION("""COMPUTED_VALUE"""),"")</f>
        <v/>
      </c>
      <c r="N242" s="8" t="str">
        <f>IFERROR(__xludf.DUMMYFUNCTION("""COMPUTED_VALUE"""),"")</f>
        <v/>
      </c>
      <c r="O242" s="8"/>
      <c r="P242" s="8"/>
    </row>
    <row r="243">
      <c r="A243" s="8"/>
      <c r="B243" s="25"/>
      <c r="C243" s="385"/>
      <c r="D243" s="385"/>
      <c r="E243" s="385"/>
      <c r="F243" s="8"/>
      <c r="G243" s="8"/>
      <c r="H243" s="389"/>
      <c r="I243" s="8" t="b">
        <v>0</v>
      </c>
      <c r="J243" s="388" t="str">
        <f>IFERROR(__xludf.DUMMYFUNCTION("""COMPUTED_VALUE"""),"")</f>
        <v/>
      </c>
      <c r="K243" s="8"/>
      <c r="L243" s="8"/>
      <c r="M243" s="8" t="str">
        <f>IFERROR(__xludf.DUMMYFUNCTION("""COMPUTED_VALUE"""),"")</f>
        <v/>
      </c>
      <c r="N243" s="8" t="str">
        <f>IFERROR(__xludf.DUMMYFUNCTION("""COMPUTED_VALUE"""),"")</f>
        <v/>
      </c>
      <c r="O243" s="8"/>
      <c r="P243" s="8"/>
    </row>
    <row r="244">
      <c r="A244" s="8"/>
      <c r="B244" s="25"/>
      <c r="C244" s="385"/>
      <c r="D244" s="385"/>
      <c r="E244" s="385"/>
      <c r="F244" s="8"/>
      <c r="G244" s="8"/>
      <c r="H244" s="389"/>
      <c r="I244" s="8" t="b">
        <v>0</v>
      </c>
      <c r="J244" s="388" t="str">
        <f>IFERROR(__xludf.DUMMYFUNCTION("""COMPUTED_VALUE"""),"")</f>
        <v/>
      </c>
      <c r="K244" s="8"/>
      <c r="L244" s="8"/>
      <c r="M244" s="8" t="str">
        <f>IFERROR(__xludf.DUMMYFUNCTION("""COMPUTED_VALUE"""),"")</f>
        <v/>
      </c>
      <c r="N244" s="8" t="str">
        <f>IFERROR(__xludf.DUMMYFUNCTION("""COMPUTED_VALUE"""),"")</f>
        <v/>
      </c>
      <c r="O244" s="8"/>
      <c r="P244" s="8"/>
    </row>
    <row r="245">
      <c r="A245" s="8"/>
      <c r="B245" s="25"/>
      <c r="C245" s="385"/>
      <c r="D245" s="385"/>
      <c r="E245" s="385"/>
      <c r="F245" s="8"/>
      <c r="G245" s="8"/>
      <c r="H245" s="389"/>
      <c r="I245" s="8" t="b">
        <v>0</v>
      </c>
      <c r="J245" s="388" t="str">
        <f>IFERROR(__xludf.DUMMYFUNCTION("""COMPUTED_VALUE"""),"")</f>
        <v/>
      </c>
      <c r="K245" s="8"/>
      <c r="L245" s="8"/>
      <c r="M245" s="8" t="str">
        <f>IFERROR(__xludf.DUMMYFUNCTION("""COMPUTED_VALUE"""),"")</f>
        <v/>
      </c>
      <c r="N245" s="8" t="str">
        <f>IFERROR(__xludf.DUMMYFUNCTION("""COMPUTED_VALUE"""),"")</f>
        <v/>
      </c>
      <c r="O245" s="8"/>
      <c r="P245" s="8"/>
    </row>
    <row r="246">
      <c r="A246" s="8"/>
      <c r="B246" s="25"/>
      <c r="C246" s="385"/>
      <c r="D246" s="385"/>
      <c r="E246" s="385"/>
      <c r="F246" s="8"/>
      <c r="G246" s="8"/>
      <c r="H246" s="389"/>
      <c r="I246" s="8" t="b">
        <v>0</v>
      </c>
      <c r="J246" s="388" t="str">
        <f>IFERROR(__xludf.DUMMYFUNCTION("""COMPUTED_VALUE"""),"")</f>
        <v/>
      </c>
      <c r="K246" s="8"/>
      <c r="L246" s="8"/>
      <c r="M246" s="8" t="str">
        <f>IFERROR(__xludf.DUMMYFUNCTION("""COMPUTED_VALUE"""),"")</f>
        <v/>
      </c>
      <c r="N246" s="8" t="str">
        <f>IFERROR(__xludf.DUMMYFUNCTION("""COMPUTED_VALUE"""),"")</f>
        <v/>
      </c>
      <c r="O246" s="8"/>
      <c r="P246" s="8"/>
    </row>
    <row r="247">
      <c r="A247" s="8"/>
      <c r="B247" s="25"/>
      <c r="C247" s="385"/>
      <c r="D247" s="385"/>
      <c r="E247" s="385"/>
      <c r="F247" s="8"/>
      <c r="G247" s="8"/>
      <c r="H247" s="389"/>
      <c r="I247" s="8" t="b">
        <v>0</v>
      </c>
      <c r="J247" s="388" t="str">
        <f>IFERROR(__xludf.DUMMYFUNCTION("""COMPUTED_VALUE"""),"")</f>
        <v/>
      </c>
      <c r="K247" s="8"/>
      <c r="L247" s="8"/>
      <c r="M247" s="8" t="str">
        <f>IFERROR(__xludf.DUMMYFUNCTION("""COMPUTED_VALUE"""),"")</f>
        <v/>
      </c>
      <c r="N247" s="8" t="str">
        <f>IFERROR(__xludf.DUMMYFUNCTION("""COMPUTED_VALUE"""),"")</f>
        <v/>
      </c>
      <c r="O247" s="8"/>
      <c r="P247" s="8"/>
    </row>
    <row r="248">
      <c r="A248" s="8"/>
      <c r="B248" s="25"/>
      <c r="C248" s="385"/>
      <c r="D248" s="385"/>
      <c r="E248" s="385"/>
      <c r="F248" s="8"/>
      <c r="G248" s="8"/>
      <c r="H248" s="389"/>
      <c r="I248" s="8" t="b">
        <v>0</v>
      </c>
      <c r="J248" s="388" t="str">
        <f>IFERROR(__xludf.DUMMYFUNCTION("""COMPUTED_VALUE"""),"")</f>
        <v/>
      </c>
      <c r="K248" s="8"/>
      <c r="L248" s="8"/>
      <c r="M248" s="8" t="str">
        <f>IFERROR(__xludf.DUMMYFUNCTION("""COMPUTED_VALUE"""),"")</f>
        <v/>
      </c>
      <c r="N248" s="8" t="str">
        <f>IFERROR(__xludf.DUMMYFUNCTION("""COMPUTED_VALUE"""),"")</f>
        <v/>
      </c>
      <c r="O248" s="8"/>
      <c r="P248" s="8"/>
    </row>
    <row r="249">
      <c r="A249" s="8"/>
      <c r="B249" s="25"/>
      <c r="C249" s="385"/>
      <c r="D249" s="385"/>
      <c r="E249" s="385"/>
      <c r="F249" s="8"/>
      <c r="G249" s="8"/>
      <c r="H249" s="389"/>
      <c r="I249" s="8" t="b">
        <v>0</v>
      </c>
      <c r="J249" s="388" t="str">
        <f>IFERROR(__xludf.DUMMYFUNCTION("""COMPUTED_VALUE"""),"")</f>
        <v/>
      </c>
      <c r="K249" s="8"/>
      <c r="L249" s="8"/>
      <c r="M249" s="8" t="str">
        <f>IFERROR(__xludf.DUMMYFUNCTION("""COMPUTED_VALUE"""),"")</f>
        <v/>
      </c>
      <c r="N249" s="8" t="str">
        <f>IFERROR(__xludf.DUMMYFUNCTION("""COMPUTED_VALUE"""),"")</f>
        <v/>
      </c>
      <c r="O249" s="8"/>
      <c r="P249" s="8"/>
    </row>
    <row r="250">
      <c r="A250" s="8"/>
      <c r="B250" s="25"/>
      <c r="C250" s="385"/>
      <c r="D250" s="385"/>
      <c r="E250" s="385"/>
      <c r="F250" s="8"/>
      <c r="G250" s="8"/>
      <c r="H250" s="389"/>
      <c r="I250" s="8" t="b">
        <v>0</v>
      </c>
      <c r="J250" s="388" t="str">
        <f>IFERROR(__xludf.DUMMYFUNCTION("""COMPUTED_VALUE"""),"")</f>
        <v/>
      </c>
      <c r="K250" s="8"/>
      <c r="L250" s="8"/>
      <c r="M250" s="8" t="str">
        <f>IFERROR(__xludf.DUMMYFUNCTION("""COMPUTED_VALUE"""),"")</f>
        <v/>
      </c>
      <c r="N250" s="8" t="str">
        <f>IFERROR(__xludf.DUMMYFUNCTION("""COMPUTED_VALUE"""),"")</f>
        <v/>
      </c>
      <c r="O250" s="8"/>
      <c r="P250" s="8"/>
    </row>
    <row r="251">
      <c r="A251" s="8"/>
      <c r="B251" s="25"/>
      <c r="C251" s="385"/>
      <c r="D251" s="385"/>
      <c r="E251" s="385"/>
      <c r="F251" s="8"/>
      <c r="G251" s="8"/>
      <c r="H251" s="389"/>
      <c r="I251" s="8" t="b">
        <v>0</v>
      </c>
      <c r="J251" s="388" t="str">
        <f>IFERROR(__xludf.DUMMYFUNCTION("""COMPUTED_VALUE"""),"")</f>
        <v/>
      </c>
      <c r="K251" s="8"/>
      <c r="L251" s="8"/>
      <c r="M251" s="8" t="str">
        <f>IFERROR(__xludf.DUMMYFUNCTION("""COMPUTED_VALUE"""),"")</f>
        <v/>
      </c>
      <c r="N251" s="8" t="str">
        <f>IFERROR(__xludf.DUMMYFUNCTION("""COMPUTED_VALUE"""),"")</f>
        <v/>
      </c>
      <c r="O251" s="8"/>
      <c r="P251" s="8"/>
    </row>
    <row r="252">
      <c r="A252" s="8"/>
      <c r="B252" s="25"/>
      <c r="C252" s="385"/>
      <c r="D252" s="385"/>
      <c r="E252" s="385"/>
      <c r="F252" s="8"/>
      <c r="G252" s="8"/>
      <c r="H252" s="389"/>
      <c r="I252" s="8" t="b">
        <v>0</v>
      </c>
      <c r="J252" s="388" t="str">
        <f>IFERROR(__xludf.DUMMYFUNCTION("""COMPUTED_VALUE"""),"")</f>
        <v/>
      </c>
      <c r="K252" s="8"/>
      <c r="L252" s="8"/>
      <c r="M252" s="8" t="str">
        <f>IFERROR(__xludf.DUMMYFUNCTION("""COMPUTED_VALUE"""),"")</f>
        <v/>
      </c>
      <c r="N252" s="8" t="str">
        <f>IFERROR(__xludf.DUMMYFUNCTION("""COMPUTED_VALUE"""),"")</f>
        <v/>
      </c>
      <c r="O252" s="8"/>
      <c r="P252" s="8"/>
    </row>
    <row r="253">
      <c r="A253" s="8"/>
      <c r="B253" s="25"/>
      <c r="C253" s="385"/>
      <c r="D253" s="385"/>
      <c r="E253" s="385"/>
      <c r="F253" s="387"/>
      <c r="G253" s="8"/>
      <c r="H253" s="389"/>
      <c r="I253" s="8" t="b">
        <v>0</v>
      </c>
      <c r="J253" s="388" t="str">
        <f>IFERROR(__xludf.DUMMYFUNCTION("""COMPUTED_VALUE"""),"")</f>
        <v/>
      </c>
      <c r="K253" s="8"/>
      <c r="L253" s="8"/>
      <c r="M253" s="8" t="str">
        <f>IFERROR(__xludf.DUMMYFUNCTION("""COMPUTED_VALUE"""),"")</f>
        <v/>
      </c>
      <c r="N253" s="8" t="str">
        <f>IFERROR(__xludf.DUMMYFUNCTION("""COMPUTED_VALUE"""),"")</f>
        <v/>
      </c>
      <c r="O253" s="8"/>
      <c r="P253" s="8"/>
    </row>
    <row r="254">
      <c r="A254" s="8"/>
      <c r="B254" s="25"/>
      <c r="C254" s="385"/>
      <c r="D254" s="385"/>
      <c r="E254" s="392"/>
      <c r="F254" s="8"/>
      <c r="G254" s="8"/>
      <c r="H254" s="389"/>
      <c r="I254" s="8" t="b">
        <v>0</v>
      </c>
      <c r="J254" s="388" t="str">
        <f>IFERROR(__xludf.DUMMYFUNCTION("""COMPUTED_VALUE"""),"")</f>
        <v/>
      </c>
      <c r="K254" s="8"/>
      <c r="L254" s="8"/>
      <c r="M254" s="8" t="str">
        <f>IFERROR(__xludf.DUMMYFUNCTION("""COMPUTED_VALUE"""),"")</f>
        <v/>
      </c>
      <c r="N254" s="8" t="str">
        <f>IFERROR(__xludf.DUMMYFUNCTION("""COMPUTED_VALUE"""),"")</f>
        <v/>
      </c>
      <c r="O254" s="8"/>
      <c r="P254" s="8"/>
    </row>
    <row r="255">
      <c r="A255" s="8"/>
      <c r="B255" s="25"/>
      <c r="C255" s="385"/>
      <c r="D255" s="385"/>
      <c r="E255" s="392"/>
      <c r="F255" s="8"/>
      <c r="G255" s="8"/>
      <c r="H255" s="389"/>
      <c r="I255" s="8" t="b">
        <v>0</v>
      </c>
      <c r="J255" s="388" t="str">
        <f>IFERROR(__xludf.DUMMYFUNCTION("""COMPUTED_VALUE"""),"")</f>
        <v/>
      </c>
      <c r="K255" s="8"/>
      <c r="L255" s="8"/>
      <c r="M255" s="8" t="str">
        <f>IFERROR(__xludf.DUMMYFUNCTION("""COMPUTED_VALUE"""),"")</f>
        <v/>
      </c>
      <c r="N255" s="8" t="str">
        <f>IFERROR(__xludf.DUMMYFUNCTION("""COMPUTED_VALUE"""),"")</f>
        <v/>
      </c>
      <c r="O255" s="8"/>
      <c r="P255" s="8"/>
    </row>
    <row r="256">
      <c r="A256" s="8"/>
      <c r="B256" s="25"/>
      <c r="C256" s="385"/>
      <c r="D256" s="385"/>
      <c r="E256" s="392"/>
      <c r="F256" s="8"/>
      <c r="G256" s="8"/>
      <c r="H256" s="389"/>
      <c r="I256" s="8" t="b">
        <v>0</v>
      </c>
      <c r="J256" s="388" t="str">
        <f>IFERROR(__xludf.DUMMYFUNCTION("""COMPUTED_VALUE"""),"")</f>
        <v/>
      </c>
      <c r="K256" s="8"/>
      <c r="L256" s="8"/>
      <c r="M256" s="8" t="str">
        <f>IFERROR(__xludf.DUMMYFUNCTION("""COMPUTED_VALUE"""),"")</f>
        <v/>
      </c>
      <c r="N256" s="8" t="str">
        <f>IFERROR(__xludf.DUMMYFUNCTION("""COMPUTED_VALUE"""),"")</f>
        <v/>
      </c>
      <c r="O256" s="8"/>
      <c r="P256" s="8"/>
    </row>
    <row r="257">
      <c r="A257" s="8"/>
      <c r="B257" s="25"/>
      <c r="C257" s="385"/>
      <c r="D257" s="385"/>
      <c r="E257" s="392"/>
      <c r="F257" s="8"/>
      <c r="G257" s="8"/>
      <c r="H257" s="389"/>
      <c r="I257" s="8" t="b">
        <v>0</v>
      </c>
      <c r="J257" s="388" t="str">
        <f>IFERROR(__xludf.DUMMYFUNCTION("""COMPUTED_VALUE"""),"")</f>
        <v/>
      </c>
      <c r="K257" s="8"/>
      <c r="L257" s="8"/>
      <c r="M257" s="8" t="str">
        <f>IFERROR(__xludf.DUMMYFUNCTION("""COMPUTED_VALUE"""),"")</f>
        <v/>
      </c>
      <c r="N257" s="8" t="str">
        <f>IFERROR(__xludf.DUMMYFUNCTION("""COMPUTED_VALUE"""),"")</f>
        <v/>
      </c>
      <c r="O257" s="8"/>
      <c r="P257" s="8"/>
    </row>
    <row r="258">
      <c r="A258" s="8"/>
      <c r="B258" s="25"/>
      <c r="C258" s="385"/>
      <c r="D258" s="385"/>
      <c r="E258" s="392"/>
      <c r="F258" s="8"/>
      <c r="G258" s="8"/>
      <c r="H258" s="389"/>
      <c r="I258" s="8" t="b">
        <v>0</v>
      </c>
      <c r="J258" s="388" t="str">
        <f>IFERROR(__xludf.DUMMYFUNCTION("""COMPUTED_VALUE"""),"")</f>
        <v/>
      </c>
      <c r="K258" s="8"/>
      <c r="L258" s="8"/>
      <c r="M258" s="8" t="str">
        <f>IFERROR(__xludf.DUMMYFUNCTION("""COMPUTED_VALUE"""),"")</f>
        <v/>
      </c>
      <c r="N258" s="8" t="str">
        <f>IFERROR(__xludf.DUMMYFUNCTION("""COMPUTED_VALUE"""),"")</f>
        <v/>
      </c>
      <c r="O258" s="8"/>
      <c r="P258" s="8"/>
    </row>
    <row r="259">
      <c r="A259" s="8"/>
      <c r="B259" s="25"/>
      <c r="C259" s="385"/>
      <c r="D259" s="385"/>
      <c r="E259" s="392"/>
      <c r="F259" s="8"/>
      <c r="G259" s="8"/>
      <c r="H259" s="389"/>
      <c r="I259" s="8" t="b">
        <v>0</v>
      </c>
      <c r="J259" s="388" t="str">
        <f>IFERROR(__xludf.DUMMYFUNCTION("""COMPUTED_VALUE"""),"")</f>
        <v/>
      </c>
      <c r="K259" s="8"/>
      <c r="L259" s="8"/>
      <c r="M259" s="8" t="str">
        <f>IFERROR(__xludf.DUMMYFUNCTION("""COMPUTED_VALUE"""),"")</f>
        <v/>
      </c>
      <c r="N259" s="8" t="str">
        <f>IFERROR(__xludf.DUMMYFUNCTION("""COMPUTED_VALUE"""),"")</f>
        <v/>
      </c>
      <c r="O259" s="8"/>
      <c r="P259" s="8"/>
    </row>
    <row r="260">
      <c r="A260" s="8"/>
      <c r="B260" s="25"/>
      <c r="C260" s="385"/>
      <c r="D260" s="385"/>
      <c r="E260" s="392"/>
      <c r="F260" s="8"/>
      <c r="G260" s="8"/>
      <c r="H260" s="389"/>
      <c r="I260" s="8" t="b">
        <v>0</v>
      </c>
      <c r="J260" s="388" t="str">
        <f>IFERROR(__xludf.DUMMYFUNCTION("""COMPUTED_VALUE"""),"")</f>
        <v/>
      </c>
      <c r="K260" s="8"/>
      <c r="L260" s="8"/>
      <c r="M260" s="8" t="str">
        <f>IFERROR(__xludf.DUMMYFUNCTION("""COMPUTED_VALUE"""),"")</f>
        <v/>
      </c>
      <c r="N260" s="8" t="str">
        <f>IFERROR(__xludf.DUMMYFUNCTION("""COMPUTED_VALUE"""),"")</f>
        <v/>
      </c>
      <c r="O260" s="8"/>
      <c r="P260" s="8"/>
    </row>
    <row r="261">
      <c r="A261" s="8"/>
      <c r="B261" s="25"/>
      <c r="C261" s="385"/>
      <c r="D261" s="385"/>
      <c r="E261" s="392"/>
      <c r="F261" s="8"/>
      <c r="G261" s="8"/>
      <c r="H261" s="389"/>
      <c r="I261" s="8" t="b">
        <v>0</v>
      </c>
      <c r="J261" s="388" t="str">
        <f>IFERROR(__xludf.DUMMYFUNCTION("""COMPUTED_VALUE"""),"")</f>
        <v/>
      </c>
      <c r="K261" s="8"/>
      <c r="L261" s="8"/>
      <c r="M261" s="8" t="str">
        <f>IFERROR(__xludf.DUMMYFUNCTION("""COMPUTED_VALUE"""),"")</f>
        <v/>
      </c>
      <c r="N261" s="8" t="str">
        <f>IFERROR(__xludf.DUMMYFUNCTION("""COMPUTED_VALUE"""),"")</f>
        <v/>
      </c>
      <c r="O261" s="8"/>
      <c r="P261" s="8"/>
    </row>
    <row r="262">
      <c r="A262" s="8"/>
      <c r="B262" s="25"/>
      <c r="C262" s="385"/>
      <c r="D262" s="385"/>
      <c r="E262" s="392"/>
      <c r="F262" s="8"/>
      <c r="G262" s="8"/>
      <c r="H262" s="389"/>
      <c r="I262" s="8" t="b">
        <v>0</v>
      </c>
      <c r="J262" s="388" t="str">
        <f>IFERROR(__xludf.DUMMYFUNCTION("""COMPUTED_VALUE"""),"")</f>
        <v/>
      </c>
      <c r="K262" s="8"/>
      <c r="L262" s="8"/>
      <c r="M262" s="8" t="str">
        <f>IFERROR(__xludf.DUMMYFUNCTION("""COMPUTED_VALUE"""),"")</f>
        <v/>
      </c>
      <c r="N262" s="8" t="str">
        <f>IFERROR(__xludf.DUMMYFUNCTION("""COMPUTED_VALUE"""),"")</f>
        <v/>
      </c>
      <c r="O262" s="8"/>
      <c r="P262" s="8"/>
    </row>
    <row r="263">
      <c r="A263" s="8"/>
      <c r="B263" s="25"/>
      <c r="C263" s="385"/>
      <c r="D263" s="385"/>
      <c r="E263" s="392"/>
      <c r="F263" s="8"/>
      <c r="G263" s="8"/>
      <c r="H263" s="389"/>
      <c r="I263" s="8" t="b">
        <v>0</v>
      </c>
      <c r="J263" s="388" t="str">
        <f>IFERROR(__xludf.DUMMYFUNCTION("""COMPUTED_VALUE"""),"")</f>
        <v/>
      </c>
      <c r="K263" s="8"/>
      <c r="L263" s="8"/>
      <c r="M263" s="8" t="str">
        <f>IFERROR(__xludf.DUMMYFUNCTION("""COMPUTED_VALUE"""),"")</f>
        <v/>
      </c>
      <c r="N263" s="8" t="str">
        <f>IFERROR(__xludf.DUMMYFUNCTION("""COMPUTED_VALUE"""),"")</f>
        <v/>
      </c>
      <c r="O263" s="8"/>
      <c r="P263" s="8"/>
    </row>
    <row r="264">
      <c r="A264" s="8"/>
      <c r="B264" s="25"/>
      <c r="C264" s="385"/>
      <c r="D264" s="385"/>
      <c r="E264" s="392"/>
      <c r="F264" s="8"/>
      <c r="G264" s="8"/>
      <c r="H264" s="389"/>
      <c r="I264" s="8" t="b">
        <v>0</v>
      </c>
      <c r="J264" s="388" t="str">
        <f>IFERROR(__xludf.DUMMYFUNCTION("""COMPUTED_VALUE"""),"")</f>
        <v/>
      </c>
      <c r="K264" s="8"/>
      <c r="L264" s="8"/>
      <c r="M264" s="8" t="str">
        <f>IFERROR(__xludf.DUMMYFUNCTION("""COMPUTED_VALUE"""),"")</f>
        <v/>
      </c>
      <c r="N264" s="8" t="str">
        <f>IFERROR(__xludf.DUMMYFUNCTION("""COMPUTED_VALUE"""),"")</f>
        <v/>
      </c>
      <c r="O264" s="8"/>
      <c r="P264" s="8"/>
    </row>
    <row r="265">
      <c r="A265" s="8"/>
      <c r="B265" s="25"/>
      <c r="C265" s="385"/>
      <c r="D265" s="385"/>
      <c r="E265" s="392"/>
      <c r="F265" s="8"/>
      <c r="G265" s="8"/>
      <c r="H265" s="389"/>
      <c r="I265" s="8" t="b">
        <v>0</v>
      </c>
      <c r="J265" s="388" t="str">
        <f>IFERROR(__xludf.DUMMYFUNCTION("""COMPUTED_VALUE"""),"")</f>
        <v/>
      </c>
      <c r="K265" s="8"/>
      <c r="L265" s="8"/>
      <c r="M265" s="8" t="str">
        <f>IFERROR(__xludf.DUMMYFUNCTION("""COMPUTED_VALUE"""),"")</f>
        <v/>
      </c>
      <c r="N265" s="8" t="str">
        <f>IFERROR(__xludf.DUMMYFUNCTION("""COMPUTED_VALUE"""),"")</f>
        <v/>
      </c>
      <c r="O265" s="8"/>
      <c r="P265" s="8"/>
    </row>
    <row r="266">
      <c r="A266" s="8"/>
      <c r="B266" s="25"/>
      <c r="C266" s="385"/>
      <c r="D266" s="385"/>
      <c r="E266" s="392"/>
      <c r="F266" s="8"/>
      <c r="G266" s="8"/>
      <c r="H266" s="389"/>
      <c r="I266" s="8" t="b">
        <v>0</v>
      </c>
      <c r="J266" s="388" t="str">
        <f>IFERROR(__xludf.DUMMYFUNCTION("""COMPUTED_VALUE"""),"")</f>
        <v/>
      </c>
      <c r="K266" s="8"/>
      <c r="L266" s="8"/>
      <c r="M266" s="8" t="str">
        <f>IFERROR(__xludf.DUMMYFUNCTION("""COMPUTED_VALUE"""),"")</f>
        <v/>
      </c>
      <c r="N266" s="8" t="str">
        <f>IFERROR(__xludf.DUMMYFUNCTION("""COMPUTED_VALUE"""),"")</f>
        <v/>
      </c>
      <c r="O266" s="8"/>
      <c r="P266" s="8"/>
    </row>
    <row r="267">
      <c r="A267" s="8"/>
      <c r="B267" s="25"/>
      <c r="C267" s="385"/>
      <c r="D267" s="385"/>
      <c r="E267" s="392"/>
      <c r="F267" s="8"/>
      <c r="G267" s="8"/>
      <c r="H267" s="389"/>
      <c r="I267" s="8" t="b">
        <v>0</v>
      </c>
      <c r="J267" s="388" t="str">
        <f>IFERROR(__xludf.DUMMYFUNCTION("""COMPUTED_VALUE"""),"")</f>
        <v/>
      </c>
      <c r="K267" s="8"/>
      <c r="L267" s="8"/>
      <c r="M267" s="8" t="str">
        <f>IFERROR(__xludf.DUMMYFUNCTION("""COMPUTED_VALUE"""),"")</f>
        <v/>
      </c>
      <c r="N267" s="8" t="str">
        <f>IFERROR(__xludf.DUMMYFUNCTION("""COMPUTED_VALUE"""),"")</f>
        <v/>
      </c>
      <c r="O267" s="8"/>
      <c r="P267" s="8"/>
    </row>
    <row r="268">
      <c r="A268" s="8"/>
      <c r="B268" s="25"/>
      <c r="C268" s="385"/>
      <c r="D268" s="385"/>
      <c r="E268" s="392"/>
      <c r="F268" s="8"/>
      <c r="G268" s="8"/>
      <c r="H268" s="389"/>
      <c r="I268" s="8" t="b">
        <v>0</v>
      </c>
      <c r="J268" s="388" t="str">
        <f>IFERROR(__xludf.DUMMYFUNCTION("""COMPUTED_VALUE"""),"")</f>
        <v/>
      </c>
      <c r="K268" s="8"/>
      <c r="L268" s="8"/>
      <c r="M268" s="8" t="str">
        <f>IFERROR(__xludf.DUMMYFUNCTION("""COMPUTED_VALUE"""),"")</f>
        <v/>
      </c>
      <c r="N268" s="8" t="str">
        <f>IFERROR(__xludf.DUMMYFUNCTION("""COMPUTED_VALUE"""),"")</f>
        <v/>
      </c>
      <c r="O268" s="8"/>
      <c r="P268" s="8"/>
    </row>
    <row r="269">
      <c r="A269" s="8"/>
      <c r="B269" s="25"/>
      <c r="C269" s="385"/>
      <c r="D269" s="385"/>
      <c r="E269" s="392"/>
      <c r="F269" s="8"/>
      <c r="G269" s="8"/>
      <c r="H269" s="389"/>
      <c r="I269" s="8" t="b">
        <v>0</v>
      </c>
      <c r="J269" s="388" t="str">
        <f>IFERROR(__xludf.DUMMYFUNCTION("""COMPUTED_VALUE"""),"")</f>
        <v/>
      </c>
      <c r="K269" s="8"/>
      <c r="L269" s="8"/>
      <c r="M269" s="8" t="str">
        <f>IFERROR(__xludf.DUMMYFUNCTION("""COMPUTED_VALUE"""),"")</f>
        <v/>
      </c>
      <c r="N269" s="8" t="str">
        <f>IFERROR(__xludf.DUMMYFUNCTION("""COMPUTED_VALUE"""),"")</f>
        <v/>
      </c>
      <c r="O269" s="8"/>
      <c r="P269" s="8"/>
    </row>
    <row r="270">
      <c r="A270" s="8"/>
      <c r="B270" s="25"/>
      <c r="C270" s="385"/>
      <c r="D270" s="385"/>
      <c r="E270" s="392"/>
      <c r="F270" s="8"/>
      <c r="G270" s="8"/>
      <c r="H270" s="389"/>
      <c r="I270" s="8" t="b">
        <v>0</v>
      </c>
      <c r="J270" s="388" t="str">
        <f>IFERROR(__xludf.DUMMYFUNCTION("""COMPUTED_VALUE"""),"")</f>
        <v/>
      </c>
      <c r="K270" s="8"/>
      <c r="L270" s="8"/>
      <c r="M270" s="8" t="str">
        <f>IFERROR(__xludf.DUMMYFUNCTION("""COMPUTED_VALUE"""),"")</f>
        <v/>
      </c>
      <c r="N270" s="8" t="str">
        <f>IFERROR(__xludf.DUMMYFUNCTION("""COMPUTED_VALUE"""),"")</f>
        <v/>
      </c>
      <c r="O270" s="8"/>
      <c r="P270" s="8"/>
    </row>
    <row r="271">
      <c r="A271" s="8"/>
      <c r="B271" s="25"/>
      <c r="C271" s="385"/>
      <c r="D271" s="385"/>
      <c r="E271" s="392"/>
      <c r="F271" s="8"/>
      <c r="G271" s="8"/>
      <c r="H271" s="389"/>
      <c r="I271" s="8" t="b">
        <v>0</v>
      </c>
      <c r="J271" s="388" t="str">
        <f>IFERROR(__xludf.DUMMYFUNCTION("""COMPUTED_VALUE"""),"")</f>
        <v/>
      </c>
      <c r="K271" s="8"/>
      <c r="L271" s="8"/>
      <c r="M271" s="8" t="str">
        <f>IFERROR(__xludf.DUMMYFUNCTION("""COMPUTED_VALUE"""),"")</f>
        <v/>
      </c>
      <c r="N271" s="8" t="str">
        <f>IFERROR(__xludf.DUMMYFUNCTION("""COMPUTED_VALUE"""),"")</f>
        <v/>
      </c>
      <c r="O271" s="8"/>
      <c r="P271" s="8"/>
    </row>
    <row r="272">
      <c r="A272" s="8"/>
      <c r="B272" s="25"/>
      <c r="C272" s="385"/>
      <c r="D272" s="385"/>
      <c r="E272" s="392"/>
      <c r="F272" s="8"/>
      <c r="G272" s="8"/>
      <c r="H272" s="389"/>
      <c r="I272" s="8" t="b">
        <v>0</v>
      </c>
      <c r="J272" s="388" t="str">
        <f>IFERROR(__xludf.DUMMYFUNCTION("""COMPUTED_VALUE"""),"")</f>
        <v/>
      </c>
      <c r="K272" s="8"/>
      <c r="L272" s="8"/>
      <c r="M272" s="8" t="str">
        <f>IFERROR(__xludf.DUMMYFUNCTION("""COMPUTED_VALUE"""),"")</f>
        <v/>
      </c>
      <c r="N272" s="8" t="str">
        <f>IFERROR(__xludf.DUMMYFUNCTION("""COMPUTED_VALUE"""),"")</f>
        <v/>
      </c>
      <c r="O272" s="8"/>
      <c r="P272" s="8"/>
    </row>
    <row r="273">
      <c r="A273" s="8"/>
      <c r="B273" s="25"/>
      <c r="C273" s="385"/>
      <c r="D273" s="385"/>
      <c r="E273" s="392"/>
      <c r="F273" s="8"/>
      <c r="G273" s="8"/>
      <c r="H273" s="389"/>
      <c r="I273" s="8" t="b">
        <v>0</v>
      </c>
      <c r="J273" s="388" t="str">
        <f>IFERROR(__xludf.DUMMYFUNCTION("""COMPUTED_VALUE"""),"")</f>
        <v/>
      </c>
      <c r="K273" s="8"/>
      <c r="L273" s="8"/>
      <c r="M273" s="8" t="str">
        <f>IFERROR(__xludf.DUMMYFUNCTION("""COMPUTED_VALUE"""),"")</f>
        <v/>
      </c>
      <c r="N273" s="8" t="str">
        <f>IFERROR(__xludf.DUMMYFUNCTION("""COMPUTED_VALUE"""),"")</f>
        <v/>
      </c>
      <c r="O273" s="8"/>
      <c r="P273" s="8"/>
    </row>
    <row r="274">
      <c r="A274" s="8"/>
      <c r="B274" s="25"/>
      <c r="C274" s="385"/>
      <c r="D274" s="385"/>
      <c r="E274" s="392"/>
      <c r="F274" s="8"/>
      <c r="G274" s="8"/>
      <c r="H274" s="389"/>
      <c r="I274" s="8" t="b">
        <v>0</v>
      </c>
      <c r="J274" s="388" t="str">
        <f>IFERROR(__xludf.DUMMYFUNCTION("""COMPUTED_VALUE"""),"")</f>
        <v/>
      </c>
      <c r="K274" s="8"/>
      <c r="L274" s="8"/>
      <c r="M274" s="8" t="str">
        <f>IFERROR(__xludf.DUMMYFUNCTION("""COMPUTED_VALUE"""),"")</f>
        <v/>
      </c>
      <c r="N274" s="8" t="str">
        <f>IFERROR(__xludf.DUMMYFUNCTION("""COMPUTED_VALUE"""),"")</f>
        <v/>
      </c>
      <c r="O274" s="8"/>
      <c r="P274" s="8"/>
    </row>
    <row r="275">
      <c r="A275" s="8"/>
      <c r="B275" s="25"/>
      <c r="C275" s="385"/>
      <c r="D275" s="385"/>
      <c r="E275" s="392"/>
      <c r="F275" s="8"/>
      <c r="G275" s="8"/>
      <c r="H275" s="389"/>
      <c r="I275" s="8" t="b">
        <v>0</v>
      </c>
      <c r="J275" s="388" t="str">
        <f>IFERROR(__xludf.DUMMYFUNCTION("""COMPUTED_VALUE"""),"")</f>
        <v/>
      </c>
      <c r="K275" s="8"/>
      <c r="L275" s="8"/>
      <c r="M275" s="8" t="str">
        <f>IFERROR(__xludf.DUMMYFUNCTION("""COMPUTED_VALUE"""),"")</f>
        <v/>
      </c>
      <c r="N275" s="8" t="str">
        <f>IFERROR(__xludf.DUMMYFUNCTION("""COMPUTED_VALUE"""),"")</f>
        <v/>
      </c>
      <c r="O275" s="8"/>
      <c r="P275" s="8"/>
    </row>
    <row r="276">
      <c r="A276" s="8"/>
      <c r="B276" s="25"/>
      <c r="C276" s="385"/>
      <c r="D276" s="385"/>
      <c r="E276" s="392"/>
      <c r="F276" s="8"/>
      <c r="G276" s="8"/>
      <c r="H276" s="389"/>
      <c r="I276" s="8" t="b">
        <v>0</v>
      </c>
      <c r="J276" s="388" t="str">
        <f>IFERROR(__xludf.DUMMYFUNCTION("""COMPUTED_VALUE"""),"")</f>
        <v/>
      </c>
      <c r="K276" s="8"/>
      <c r="L276" s="8"/>
      <c r="M276" s="8" t="str">
        <f>IFERROR(__xludf.DUMMYFUNCTION("""COMPUTED_VALUE"""),"")</f>
        <v/>
      </c>
      <c r="N276" s="8" t="str">
        <f>IFERROR(__xludf.DUMMYFUNCTION("""COMPUTED_VALUE"""),"")</f>
        <v/>
      </c>
      <c r="O276" s="8"/>
      <c r="P276" s="8"/>
    </row>
    <row r="277">
      <c r="A277" s="8"/>
      <c r="B277" s="25"/>
      <c r="C277" s="385"/>
      <c r="D277" s="385"/>
      <c r="E277" s="392"/>
      <c r="F277" s="8"/>
      <c r="G277" s="8"/>
      <c r="H277" s="389"/>
      <c r="I277" s="8" t="b">
        <v>0</v>
      </c>
      <c r="J277" s="388" t="str">
        <f>IFERROR(__xludf.DUMMYFUNCTION("""COMPUTED_VALUE"""),"")</f>
        <v/>
      </c>
      <c r="K277" s="8"/>
      <c r="L277" s="8"/>
      <c r="M277" s="8" t="str">
        <f>IFERROR(__xludf.DUMMYFUNCTION("""COMPUTED_VALUE"""),"")</f>
        <v/>
      </c>
      <c r="N277" s="8" t="str">
        <f>IFERROR(__xludf.DUMMYFUNCTION("""COMPUTED_VALUE"""),"")</f>
        <v/>
      </c>
      <c r="O277" s="8"/>
      <c r="P277" s="8"/>
    </row>
    <row r="278">
      <c r="A278" s="8"/>
      <c r="B278" s="25"/>
      <c r="C278" s="385"/>
      <c r="D278" s="385"/>
      <c r="E278" s="392"/>
      <c r="F278" s="8"/>
      <c r="G278" s="8"/>
      <c r="H278" s="389"/>
      <c r="I278" s="8" t="b">
        <v>0</v>
      </c>
      <c r="J278" s="388" t="str">
        <f>IFERROR(__xludf.DUMMYFUNCTION("""COMPUTED_VALUE"""),"")</f>
        <v/>
      </c>
      <c r="K278" s="8"/>
      <c r="L278" s="8"/>
      <c r="M278" s="8" t="str">
        <f>IFERROR(__xludf.DUMMYFUNCTION("""COMPUTED_VALUE"""),"")</f>
        <v/>
      </c>
      <c r="N278" s="8" t="str">
        <f>IFERROR(__xludf.DUMMYFUNCTION("""COMPUTED_VALUE"""),"")</f>
        <v/>
      </c>
      <c r="O278" s="8"/>
      <c r="P278" s="8"/>
    </row>
    <row r="279">
      <c r="A279" s="8"/>
      <c r="B279" s="25"/>
      <c r="C279" s="385"/>
      <c r="D279" s="385"/>
      <c r="E279" s="392"/>
      <c r="F279" s="8"/>
      <c r="G279" s="8"/>
      <c r="H279" s="389"/>
      <c r="I279" s="8" t="b">
        <v>0</v>
      </c>
      <c r="J279" s="388" t="str">
        <f>IFERROR(__xludf.DUMMYFUNCTION("""COMPUTED_VALUE"""),"")</f>
        <v/>
      </c>
      <c r="K279" s="8"/>
      <c r="L279" s="8"/>
      <c r="M279" s="8" t="str">
        <f>IFERROR(__xludf.DUMMYFUNCTION("""COMPUTED_VALUE"""),"")</f>
        <v/>
      </c>
      <c r="N279" s="8" t="str">
        <f>IFERROR(__xludf.DUMMYFUNCTION("""COMPUTED_VALUE"""),"")</f>
        <v/>
      </c>
      <c r="O279" s="8"/>
      <c r="P279" s="8"/>
    </row>
    <row r="280">
      <c r="A280" s="8"/>
      <c r="B280" s="25"/>
      <c r="C280" s="385"/>
      <c r="D280" s="385"/>
      <c r="E280" s="392"/>
      <c r="F280" s="8"/>
      <c r="G280" s="8"/>
      <c r="H280" s="389"/>
      <c r="I280" s="8" t="b">
        <v>0</v>
      </c>
      <c r="J280" s="388" t="str">
        <f>IFERROR(__xludf.DUMMYFUNCTION("""COMPUTED_VALUE"""),"")</f>
        <v/>
      </c>
      <c r="K280" s="8"/>
      <c r="L280" s="8"/>
      <c r="M280" s="8" t="str">
        <f>IFERROR(__xludf.DUMMYFUNCTION("""COMPUTED_VALUE"""),"")</f>
        <v/>
      </c>
      <c r="N280" s="8" t="str">
        <f>IFERROR(__xludf.DUMMYFUNCTION("""COMPUTED_VALUE"""),"")</f>
        <v/>
      </c>
      <c r="O280" s="8"/>
      <c r="P280" s="8"/>
    </row>
    <row r="281">
      <c r="A281" s="8"/>
      <c r="B281" s="25"/>
      <c r="C281" s="385"/>
      <c r="D281" s="385"/>
      <c r="E281" s="392"/>
      <c r="F281" s="8"/>
      <c r="G281" s="8"/>
      <c r="H281" s="389"/>
      <c r="I281" s="8" t="b">
        <v>0</v>
      </c>
      <c r="J281" s="388" t="str">
        <f>IFERROR(__xludf.DUMMYFUNCTION("""COMPUTED_VALUE"""),"")</f>
        <v/>
      </c>
      <c r="K281" s="8"/>
      <c r="L281" s="8"/>
      <c r="M281" s="8" t="str">
        <f>IFERROR(__xludf.DUMMYFUNCTION("""COMPUTED_VALUE"""),"")</f>
        <v/>
      </c>
      <c r="N281" s="8" t="str">
        <f>IFERROR(__xludf.DUMMYFUNCTION("""COMPUTED_VALUE"""),"")</f>
        <v/>
      </c>
      <c r="O281" s="8"/>
      <c r="P281" s="8"/>
    </row>
    <row r="282">
      <c r="A282" s="8"/>
      <c r="B282" s="25"/>
      <c r="C282" s="385"/>
      <c r="D282" s="385"/>
      <c r="E282" s="392"/>
      <c r="F282" s="8"/>
      <c r="G282" s="8"/>
      <c r="H282" s="389"/>
      <c r="I282" s="8" t="b">
        <v>0</v>
      </c>
      <c r="J282" s="388" t="str">
        <f>IFERROR(__xludf.DUMMYFUNCTION("""COMPUTED_VALUE"""),"")</f>
        <v/>
      </c>
      <c r="K282" s="8"/>
      <c r="L282" s="8"/>
      <c r="M282" s="8" t="str">
        <f>IFERROR(__xludf.DUMMYFUNCTION("""COMPUTED_VALUE"""),"")</f>
        <v/>
      </c>
      <c r="N282" s="8" t="str">
        <f>IFERROR(__xludf.DUMMYFUNCTION("""COMPUTED_VALUE"""),"")</f>
        <v/>
      </c>
      <c r="O282" s="8"/>
      <c r="P282" s="8"/>
    </row>
    <row r="283">
      <c r="A283" s="8"/>
      <c r="B283" s="25"/>
      <c r="C283" s="385"/>
      <c r="D283" s="385"/>
      <c r="E283" s="392"/>
      <c r="F283" s="8"/>
      <c r="G283" s="8"/>
      <c r="H283" s="389"/>
      <c r="I283" s="8" t="b">
        <v>0</v>
      </c>
      <c r="J283" s="388" t="str">
        <f>IFERROR(__xludf.DUMMYFUNCTION("""COMPUTED_VALUE"""),"")</f>
        <v/>
      </c>
      <c r="K283" s="8"/>
      <c r="L283" s="8"/>
      <c r="M283" s="8" t="str">
        <f>IFERROR(__xludf.DUMMYFUNCTION("""COMPUTED_VALUE"""),"")</f>
        <v/>
      </c>
      <c r="N283" s="8" t="str">
        <f>IFERROR(__xludf.DUMMYFUNCTION("""COMPUTED_VALUE"""),"")</f>
        <v/>
      </c>
      <c r="O283" s="8"/>
      <c r="P283" s="8"/>
    </row>
    <row r="284">
      <c r="A284" s="8"/>
      <c r="B284" s="25"/>
      <c r="C284" s="385"/>
      <c r="D284" s="385"/>
      <c r="E284" s="392"/>
      <c r="F284" s="8"/>
      <c r="G284" s="8"/>
      <c r="H284" s="389"/>
      <c r="I284" s="8" t="b">
        <v>0</v>
      </c>
      <c r="J284" s="388" t="str">
        <f>IFERROR(__xludf.DUMMYFUNCTION("""COMPUTED_VALUE"""),"")</f>
        <v/>
      </c>
      <c r="K284" s="8"/>
      <c r="L284" s="8"/>
      <c r="M284" s="8" t="str">
        <f>IFERROR(__xludf.DUMMYFUNCTION("""COMPUTED_VALUE"""),"")</f>
        <v/>
      </c>
      <c r="N284" s="8" t="str">
        <f>IFERROR(__xludf.DUMMYFUNCTION("""COMPUTED_VALUE"""),"")</f>
        <v/>
      </c>
      <c r="O284" s="8"/>
      <c r="P284" s="8"/>
    </row>
    <row r="285">
      <c r="A285" s="8"/>
      <c r="B285" s="25"/>
      <c r="C285" s="385"/>
      <c r="D285" s="385"/>
      <c r="E285" s="392"/>
      <c r="F285" s="8"/>
      <c r="G285" s="8"/>
      <c r="H285" s="389"/>
      <c r="I285" s="8" t="b">
        <v>0</v>
      </c>
      <c r="J285" s="388" t="str">
        <f>IFERROR(__xludf.DUMMYFUNCTION("""COMPUTED_VALUE"""),"")</f>
        <v/>
      </c>
      <c r="K285" s="8"/>
      <c r="L285" s="8"/>
      <c r="M285" s="8" t="str">
        <f>IFERROR(__xludf.DUMMYFUNCTION("""COMPUTED_VALUE"""),"")</f>
        <v/>
      </c>
      <c r="N285" s="8" t="str">
        <f>IFERROR(__xludf.DUMMYFUNCTION("""COMPUTED_VALUE"""),"")</f>
        <v/>
      </c>
      <c r="O285" s="8"/>
      <c r="P285" s="8"/>
    </row>
    <row r="286">
      <c r="A286" s="8"/>
      <c r="B286" s="25"/>
      <c r="C286" s="385"/>
      <c r="D286" s="385"/>
      <c r="E286" s="392"/>
      <c r="F286" s="8"/>
      <c r="G286" s="8"/>
      <c r="H286" s="389"/>
      <c r="I286" s="8" t="b">
        <v>0</v>
      </c>
      <c r="J286" s="388" t="str">
        <f>IFERROR(__xludf.DUMMYFUNCTION("""COMPUTED_VALUE"""),"")</f>
        <v/>
      </c>
      <c r="K286" s="8"/>
      <c r="L286" s="8"/>
      <c r="M286" s="8" t="str">
        <f>IFERROR(__xludf.DUMMYFUNCTION("""COMPUTED_VALUE"""),"")</f>
        <v/>
      </c>
      <c r="N286" s="8" t="str">
        <f>IFERROR(__xludf.DUMMYFUNCTION("""COMPUTED_VALUE"""),"")</f>
        <v/>
      </c>
      <c r="O286" s="8"/>
      <c r="P286" s="8"/>
    </row>
    <row r="287">
      <c r="A287" s="8"/>
      <c r="B287" s="25"/>
      <c r="C287" s="385"/>
      <c r="D287" s="385"/>
      <c r="E287" s="392"/>
      <c r="F287" s="8"/>
      <c r="G287" s="8"/>
      <c r="H287" s="389"/>
      <c r="I287" s="8" t="b">
        <v>0</v>
      </c>
      <c r="J287" s="388" t="str">
        <f>IFERROR(__xludf.DUMMYFUNCTION("""COMPUTED_VALUE"""),"")</f>
        <v/>
      </c>
      <c r="K287" s="8"/>
      <c r="L287" s="8"/>
      <c r="M287" s="8" t="str">
        <f>IFERROR(__xludf.DUMMYFUNCTION("""COMPUTED_VALUE"""),"")</f>
        <v/>
      </c>
      <c r="N287" s="8" t="str">
        <f>IFERROR(__xludf.DUMMYFUNCTION("""COMPUTED_VALUE"""),"")</f>
        <v/>
      </c>
      <c r="O287" s="8"/>
      <c r="P287" s="8"/>
    </row>
    <row r="288">
      <c r="A288" s="8"/>
      <c r="B288" s="25"/>
      <c r="C288" s="385"/>
      <c r="D288" s="385"/>
      <c r="E288" s="392"/>
      <c r="F288" s="8"/>
      <c r="G288" s="8"/>
      <c r="H288" s="389"/>
      <c r="I288" s="8" t="b">
        <v>0</v>
      </c>
      <c r="J288" s="388" t="str">
        <f>IFERROR(__xludf.DUMMYFUNCTION("""COMPUTED_VALUE"""),"")</f>
        <v/>
      </c>
      <c r="K288" s="8"/>
      <c r="L288" s="8"/>
      <c r="M288" s="8" t="str">
        <f>IFERROR(__xludf.DUMMYFUNCTION("""COMPUTED_VALUE"""),"")</f>
        <v/>
      </c>
      <c r="N288" s="8" t="str">
        <f>IFERROR(__xludf.DUMMYFUNCTION("""COMPUTED_VALUE"""),"")</f>
        <v/>
      </c>
      <c r="O288" s="8"/>
      <c r="P288" s="8"/>
    </row>
    <row r="289">
      <c r="A289" s="8"/>
      <c r="B289" s="25"/>
      <c r="C289" s="385"/>
      <c r="D289" s="385"/>
      <c r="E289" s="392"/>
      <c r="F289" s="8"/>
      <c r="G289" s="8"/>
      <c r="H289" s="389"/>
      <c r="I289" s="8" t="b">
        <v>0</v>
      </c>
      <c r="J289" s="388" t="str">
        <f>IFERROR(__xludf.DUMMYFUNCTION("""COMPUTED_VALUE"""),"")</f>
        <v/>
      </c>
      <c r="K289" s="8"/>
      <c r="L289" s="8"/>
      <c r="M289" s="8" t="str">
        <f>IFERROR(__xludf.DUMMYFUNCTION("""COMPUTED_VALUE"""),"")</f>
        <v/>
      </c>
      <c r="N289" s="8" t="str">
        <f>IFERROR(__xludf.DUMMYFUNCTION("""COMPUTED_VALUE"""),"")</f>
        <v/>
      </c>
      <c r="O289" s="8"/>
      <c r="P289" s="8"/>
    </row>
    <row r="290">
      <c r="A290" s="8"/>
      <c r="B290" s="25"/>
      <c r="C290" s="385"/>
      <c r="D290" s="385"/>
      <c r="E290" s="392"/>
      <c r="F290" s="8"/>
      <c r="G290" s="8"/>
      <c r="H290" s="389"/>
      <c r="I290" s="8" t="b">
        <v>0</v>
      </c>
      <c r="J290" s="388" t="str">
        <f>IFERROR(__xludf.DUMMYFUNCTION("""COMPUTED_VALUE"""),"")</f>
        <v/>
      </c>
      <c r="K290" s="8"/>
      <c r="L290" s="8"/>
      <c r="M290" s="8" t="str">
        <f>IFERROR(__xludf.DUMMYFUNCTION("""COMPUTED_VALUE"""),"")</f>
        <v/>
      </c>
      <c r="N290" s="8" t="str">
        <f>IFERROR(__xludf.DUMMYFUNCTION("""COMPUTED_VALUE"""),"")</f>
        <v/>
      </c>
      <c r="O290" s="8"/>
      <c r="P290" s="8"/>
    </row>
    <row r="291">
      <c r="A291" s="8"/>
      <c r="B291" s="25"/>
      <c r="C291" s="385"/>
      <c r="D291" s="385"/>
      <c r="E291" s="392"/>
      <c r="F291" s="8"/>
      <c r="G291" s="8"/>
      <c r="H291" s="389"/>
      <c r="I291" s="8" t="b">
        <v>0</v>
      </c>
      <c r="J291" s="388" t="str">
        <f>IFERROR(__xludf.DUMMYFUNCTION("""COMPUTED_VALUE"""),"")</f>
        <v/>
      </c>
      <c r="K291" s="8"/>
      <c r="L291" s="8"/>
      <c r="M291" s="8" t="str">
        <f>IFERROR(__xludf.DUMMYFUNCTION("""COMPUTED_VALUE"""),"")</f>
        <v/>
      </c>
      <c r="N291" s="8" t="str">
        <f>IFERROR(__xludf.DUMMYFUNCTION("""COMPUTED_VALUE"""),"")</f>
        <v/>
      </c>
      <c r="O291" s="8"/>
      <c r="P291" s="8"/>
    </row>
    <row r="292">
      <c r="A292" s="8"/>
      <c r="B292" s="25"/>
      <c r="C292" s="385"/>
      <c r="D292" s="385"/>
      <c r="E292" s="392"/>
      <c r="F292" s="8"/>
      <c r="G292" s="8"/>
      <c r="H292" s="389"/>
      <c r="I292" s="8" t="b">
        <v>0</v>
      </c>
      <c r="J292" s="388" t="str">
        <f>IFERROR(__xludf.DUMMYFUNCTION("""COMPUTED_VALUE"""),"")</f>
        <v/>
      </c>
      <c r="K292" s="8"/>
      <c r="L292" s="8"/>
      <c r="M292" s="8" t="str">
        <f>IFERROR(__xludf.DUMMYFUNCTION("""COMPUTED_VALUE"""),"")</f>
        <v/>
      </c>
      <c r="N292" s="8" t="str">
        <f>IFERROR(__xludf.DUMMYFUNCTION("""COMPUTED_VALUE"""),"")</f>
        <v/>
      </c>
      <c r="O292" s="8"/>
      <c r="P292" s="8"/>
    </row>
    <row r="293">
      <c r="A293" s="8"/>
      <c r="B293" s="25"/>
      <c r="C293" s="385"/>
      <c r="D293" s="385"/>
      <c r="E293" s="392"/>
      <c r="F293" s="8"/>
      <c r="G293" s="8"/>
      <c r="H293" s="389"/>
      <c r="I293" s="8" t="b">
        <v>0</v>
      </c>
      <c r="J293" s="388" t="str">
        <f>IFERROR(__xludf.DUMMYFUNCTION("""COMPUTED_VALUE"""),"")</f>
        <v/>
      </c>
      <c r="K293" s="8"/>
      <c r="L293" s="8"/>
      <c r="M293" s="8" t="str">
        <f>IFERROR(__xludf.DUMMYFUNCTION("""COMPUTED_VALUE"""),"")</f>
        <v/>
      </c>
      <c r="N293" s="8" t="str">
        <f>IFERROR(__xludf.DUMMYFUNCTION("""COMPUTED_VALUE"""),"")</f>
        <v/>
      </c>
      <c r="O293" s="8"/>
      <c r="P293" s="8"/>
    </row>
    <row r="294">
      <c r="A294" s="8"/>
      <c r="B294" s="25"/>
      <c r="C294" s="385"/>
      <c r="D294" s="385"/>
      <c r="E294" s="392"/>
      <c r="F294" s="8"/>
      <c r="G294" s="8"/>
      <c r="H294" s="389"/>
      <c r="I294" s="8" t="b">
        <v>0</v>
      </c>
      <c r="J294" s="388" t="str">
        <f>IFERROR(__xludf.DUMMYFUNCTION("""COMPUTED_VALUE"""),"")</f>
        <v/>
      </c>
      <c r="K294" s="8"/>
      <c r="L294" s="8"/>
      <c r="M294" s="8" t="str">
        <f>IFERROR(__xludf.DUMMYFUNCTION("""COMPUTED_VALUE"""),"")</f>
        <v/>
      </c>
      <c r="N294" s="8" t="str">
        <f>IFERROR(__xludf.DUMMYFUNCTION("""COMPUTED_VALUE"""),"")</f>
        <v/>
      </c>
      <c r="O294" s="8"/>
      <c r="P294" s="8"/>
    </row>
    <row r="295">
      <c r="A295" s="8"/>
      <c r="B295" s="25"/>
      <c r="C295" s="385"/>
      <c r="D295" s="385"/>
      <c r="E295" s="392"/>
      <c r="F295" s="8"/>
      <c r="G295" s="8"/>
      <c r="H295" s="389"/>
      <c r="I295" s="8" t="b">
        <v>0</v>
      </c>
      <c r="J295" s="388" t="str">
        <f>IFERROR(__xludf.DUMMYFUNCTION("""COMPUTED_VALUE"""),"")</f>
        <v/>
      </c>
      <c r="K295" s="8"/>
      <c r="L295" s="8"/>
      <c r="M295" s="8" t="str">
        <f>IFERROR(__xludf.DUMMYFUNCTION("""COMPUTED_VALUE"""),"")</f>
        <v/>
      </c>
      <c r="N295" s="8" t="str">
        <f>IFERROR(__xludf.DUMMYFUNCTION("""COMPUTED_VALUE"""),"")</f>
        <v/>
      </c>
      <c r="O295" s="8"/>
      <c r="P295" s="8"/>
    </row>
    <row r="296">
      <c r="A296" s="8"/>
      <c r="B296" s="25"/>
      <c r="C296" s="385"/>
      <c r="D296" s="385"/>
      <c r="E296" s="392"/>
      <c r="F296" s="8"/>
      <c r="G296" s="8"/>
      <c r="H296" s="389"/>
      <c r="I296" s="8" t="b">
        <v>0</v>
      </c>
      <c r="J296" s="388" t="str">
        <f>IFERROR(__xludf.DUMMYFUNCTION("""COMPUTED_VALUE"""),"")</f>
        <v/>
      </c>
      <c r="K296" s="8"/>
      <c r="L296" s="8"/>
      <c r="M296" s="8" t="str">
        <f>IFERROR(__xludf.DUMMYFUNCTION("""COMPUTED_VALUE"""),"")</f>
        <v/>
      </c>
      <c r="N296" s="8" t="str">
        <f>IFERROR(__xludf.DUMMYFUNCTION("""COMPUTED_VALUE"""),"")</f>
        <v/>
      </c>
      <c r="O296" s="8"/>
      <c r="P296" s="8"/>
    </row>
    <row r="297">
      <c r="A297" s="8"/>
      <c r="B297" s="25"/>
      <c r="C297" s="385"/>
      <c r="D297" s="385"/>
      <c r="E297" s="392"/>
      <c r="F297" s="8"/>
      <c r="G297" s="8"/>
      <c r="H297" s="389"/>
      <c r="I297" s="8" t="b">
        <v>0</v>
      </c>
      <c r="J297" s="388" t="str">
        <f>IFERROR(__xludf.DUMMYFUNCTION("""COMPUTED_VALUE"""),"")</f>
        <v/>
      </c>
      <c r="K297" s="8"/>
      <c r="L297" s="8"/>
      <c r="M297" s="8" t="str">
        <f>IFERROR(__xludf.DUMMYFUNCTION("""COMPUTED_VALUE"""),"")</f>
        <v/>
      </c>
      <c r="N297" s="8" t="str">
        <f>IFERROR(__xludf.DUMMYFUNCTION("""COMPUTED_VALUE"""),"")</f>
        <v/>
      </c>
      <c r="O297" s="8"/>
      <c r="P297" s="8"/>
    </row>
    <row r="298">
      <c r="A298" s="8"/>
      <c r="B298" s="25"/>
      <c r="C298" s="385"/>
      <c r="D298" s="385"/>
      <c r="E298" s="392"/>
      <c r="F298" s="8"/>
      <c r="G298" s="8"/>
      <c r="H298" s="389"/>
      <c r="I298" s="8" t="b">
        <v>0</v>
      </c>
      <c r="J298" s="388" t="str">
        <f>IFERROR(__xludf.DUMMYFUNCTION("""COMPUTED_VALUE"""),"")</f>
        <v/>
      </c>
      <c r="K298" s="8"/>
      <c r="L298" s="8"/>
      <c r="M298" s="8" t="str">
        <f>IFERROR(__xludf.DUMMYFUNCTION("""COMPUTED_VALUE"""),"")</f>
        <v/>
      </c>
      <c r="N298" s="8" t="str">
        <f>IFERROR(__xludf.DUMMYFUNCTION("""COMPUTED_VALUE"""),"")</f>
        <v/>
      </c>
      <c r="O298" s="8"/>
      <c r="P298" s="8"/>
    </row>
    <row r="299">
      <c r="A299" s="8"/>
      <c r="B299" s="25"/>
      <c r="C299" s="385"/>
      <c r="D299" s="385"/>
      <c r="E299" s="392"/>
      <c r="F299" s="8"/>
      <c r="G299" s="8"/>
      <c r="H299" s="389"/>
      <c r="I299" s="8" t="b">
        <v>0</v>
      </c>
      <c r="J299" s="388" t="str">
        <f>IFERROR(__xludf.DUMMYFUNCTION("""COMPUTED_VALUE"""),"")</f>
        <v/>
      </c>
      <c r="K299" s="8"/>
      <c r="L299" s="8"/>
      <c r="M299" s="8" t="str">
        <f>IFERROR(__xludf.DUMMYFUNCTION("""COMPUTED_VALUE"""),"")</f>
        <v/>
      </c>
      <c r="N299" s="8" t="str">
        <f>IFERROR(__xludf.DUMMYFUNCTION("""COMPUTED_VALUE"""),"")</f>
        <v/>
      </c>
      <c r="O299" s="8"/>
      <c r="P299" s="8"/>
    </row>
    <row r="300">
      <c r="A300" s="8"/>
      <c r="B300" s="25"/>
      <c r="C300" s="385"/>
      <c r="D300" s="385"/>
      <c r="E300" s="392"/>
      <c r="F300" s="8"/>
      <c r="G300" s="8"/>
      <c r="H300" s="389"/>
      <c r="I300" s="8" t="b">
        <v>0</v>
      </c>
      <c r="J300" s="388" t="str">
        <f>IFERROR(__xludf.DUMMYFUNCTION("""COMPUTED_VALUE"""),"")</f>
        <v/>
      </c>
      <c r="K300" s="8"/>
      <c r="L300" s="8"/>
      <c r="M300" s="8" t="str">
        <f>IFERROR(__xludf.DUMMYFUNCTION("""COMPUTED_VALUE"""),"")</f>
        <v/>
      </c>
      <c r="N300" s="8" t="str">
        <f>IFERROR(__xludf.DUMMYFUNCTION("""COMPUTED_VALUE"""),"")</f>
        <v/>
      </c>
      <c r="O300" s="8"/>
      <c r="P300" s="8"/>
    </row>
    <row r="301">
      <c r="A301" s="8"/>
      <c r="B301" s="25"/>
      <c r="C301" s="385"/>
      <c r="D301" s="385"/>
      <c r="E301" s="392"/>
      <c r="F301" s="8"/>
      <c r="G301" s="8"/>
      <c r="H301" s="389"/>
      <c r="I301" s="8" t="b">
        <v>0</v>
      </c>
      <c r="J301" s="388" t="str">
        <f>IFERROR(__xludf.DUMMYFUNCTION("""COMPUTED_VALUE"""),"")</f>
        <v/>
      </c>
      <c r="K301" s="8"/>
      <c r="L301" s="8"/>
      <c r="M301" s="8" t="str">
        <f>IFERROR(__xludf.DUMMYFUNCTION("""COMPUTED_VALUE"""),"")</f>
        <v/>
      </c>
      <c r="N301" s="8" t="str">
        <f>IFERROR(__xludf.DUMMYFUNCTION("""COMPUTED_VALUE"""),"")</f>
        <v/>
      </c>
      <c r="O301" s="8"/>
      <c r="P301" s="8"/>
    </row>
    <row r="302">
      <c r="A302" s="8"/>
      <c r="B302" s="25"/>
      <c r="C302" s="385"/>
      <c r="D302" s="385"/>
      <c r="E302" s="392"/>
      <c r="F302" s="8"/>
      <c r="G302" s="8"/>
      <c r="H302" s="389"/>
      <c r="I302" s="8" t="b">
        <v>0</v>
      </c>
      <c r="J302" s="388" t="str">
        <f>IFERROR(__xludf.DUMMYFUNCTION("""COMPUTED_VALUE"""),"")</f>
        <v/>
      </c>
      <c r="K302" s="8"/>
      <c r="L302" s="8"/>
      <c r="M302" s="8" t="str">
        <f>IFERROR(__xludf.DUMMYFUNCTION("""COMPUTED_VALUE"""),"")</f>
        <v/>
      </c>
      <c r="N302" s="8" t="str">
        <f>IFERROR(__xludf.DUMMYFUNCTION("""COMPUTED_VALUE"""),"")</f>
        <v/>
      </c>
      <c r="O302" s="8"/>
      <c r="P302" s="8"/>
    </row>
    <row r="303">
      <c r="A303" s="8"/>
      <c r="B303" s="25"/>
      <c r="C303" s="385"/>
      <c r="D303" s="385"/>
      <c r="E303" s="392"/>
      <c r="F303" s="8"/>
      <c r="G303" s="8"/>
      <c r="H303" s="389"/>
      <c r="I303" s="8" t="b">
        <v>0</v>
      </c>
      <c r="J303" s="388" t="str">
        <f>IFERROR(__xludf.DUMMYFUNCTION("""COMPUTED_VALUE"""),"")</f>
        <v/>
      </c>
      <c r="K303" s="8"/>
      <c r="L303" s="8"/>
      <c r="M303" s="8" t="str">
        <f>IFERROR(__xludf.DUMMYFUNCTION("""COMPUTED_VALUE"""),"")</f>
        <v/>
      </c>
      <c r="N303" s="8" t="str">
        <f>IFERROR(__xludf.DUMMYFUNCTION("""COMPUTED_VALUE"""),"")</f>
        <v/>
      </c>
      <c r="O303" s="8"/>
      <c r="P303" s="8"/>
    </row>
    <row r="304">
      <c r="A304" s="8"/>
      <c r="B304" s="25"/>
      <c r="C304" s="385"/>
      <c r="D304" s="385"/>
      <c r="E304" s="392"/>
      <c r="F304" s="8"/>
      <c r="G304" s="8"/>
      <c r="H304" s="389"/>
      <c r="I304" s="8" t="b">
        <v>0</v>
      </c>
      <c r="J304" s="388" t="str">
        <f>IFERROR(__xludf.DUMMYFUNCTION("""COMPUTED_VALUE"""),"")</f>
        <v/>
      </c>
      <c r="K304" s="8"/>
      <c r="L304" s="8"/>
      <c r="M304" s="8" t="str">
        <f>IFERROR(__xludf.DUMMYFUNCTION("""COMPUTED_VALUE"""),"")</f>
        <v/>
      </c>
      <c r="N304" s="8" t="str">
        <f>IFERROR(__xludf.DUMMYFUNCTION("""COMPUTED_VALUE"""),"")</f>
        <v/>
      </c>
      <c r="O304" s="8"/>
      <c r="P304" s="8"/>
    </row>
    <row r="305">
      <c r="A305" s="8"/>
      <c r="B305" s="25"/>
      <c r="C305" s="385"/>
      <c r="D305" s="385"/>
      <c r="E305" s="392"/>
      <c r="F305" s="8"/>
      <c r="G305" s="8"/>
      <c r="H305" s="389"/>
      <c r="I305" s="8" t="b">
        <v>0</v>
      </c>
      <c r="J305" s="388" t="str">
        <f>IFERROR(__xludf.DUMMYFUNCTION("""COMPUTED_VALUE"""),"")</f>
        <v/>
      </c>
      <c r="K305" s="8"/>
      <c r="L305" s="8"/>
      <c r="M305" s="8" t="str">
        <f>IFERROR(__xludf.DUMMYFUNCTION("""COMPUTED_VALUE"""),"")</f>
        <v/>
      </c>
      <c r="N305" s="8" t="str">
        <f>IFERROR(__xludf.DUMMYFUNCTION("""COMPUTED_VALUE"""),"")</f>
        <v/>
      </c>
      <c r="O305" s="8"/>
      <c r="P305" s="8"/>
    </row>
    <row r="306">
      <c r="A306" s="8"/>
      <c r="B306" s="25"/>
      <c r="C306" s="385"/>
      <c r="D306" s="385"/>
      <c r="E306" s="392"/>
      <c r="F306" s="8"/>
      <c r="G306" s="8"/>
      <c r="H306" s="389"/>
      <c r="I306" s="8" t="b">
        <v>0</v>
      </c>
      <c r="J306" s="388" t="str">
        <f>IFERROR(__xludf.DUMMYFUNCTION("""COMPUTED_VALUE"""),"")</f>
        <v/>
      </c>
      <c r="K306" s="8"/>
      <c r="L306" s="8"/>
      <c r="M306" s="8" t="str">
        <f>IFERROR(__xludf.DUMMYFUNCTION("""COMPUTED_VALUE"""),"")</f>
        <v/>
      </c>
      <c r="N306" s="8" t="str">
        <f>IFERROR(__xludf.DUMMYFUNCTION("""COMPUTED_VALUE"""),"")</f>
        <v/>
      </c>
      <c r="O306" s="8"/>
      <c r="P306" s="8"/>
    </row>
    <row r="307">
      <c r="A307" s="8"/>
      <c r="B307" s="25"/>
      <c r="C307" s="385"/>
      <c r="D307" s="385"/>
      <c r="E307" s="392"/>
      <c r="F307" s="8"/>
      <c r="G307" s="8"/>
      <c r="H307" s="389"/>
      <c r="I307" s="8" t="b">
        <v>0</v>
      </c>
      <c r="J307" s="388" t="str">
        <f>IFERROR(__xludf.DUMMYFUNCTION("""COMPUTED_VALUE"""),"")</f>
        <v/>
      </c>
      <c r="K307" s="8"/>
      <c r="L307" s="8"/>
      <c r="M307" s="8" t="str">
        <f>IFERROR(__xludf.DUMMYFUNCTION("""COMPUTED_VALUE"""),"")</f>
        <v/>
      </c>
      <c r="N307" s="8" t="str">
        <f>IFERROR(__xludf.DUMMYFUNCTION("""COMPUTED_VALUE"""),"")</f>
        <v/>
      </c>
      <c r="O307" s="8"/>
      <c r="P307" s="8"/>
    </row>
    <row r="308">
      <c r="A308" s="8"/>
      <c r="B308" s="25"/>
      <c r="C308" s="385"/>
      <c r="D308" s="385"/>
      <c r="E308" s="392"/>
      <c r="F308" s="8"/>
      <c r="G308" s="8"/>
      <c r="H308" s="389"/>
      <c r="I308" s="8" t="b">
        <v>0</v>
      </c>
      <c r="J308" s="388" t="str">
        <f>IFERROR(__xludf.DUMMYFUNCTION("""COMPUTED_VALUE"""),"")</f>
        <v/>
      </c>
      <c r="K308" s="8"/>
      <c r="L308" s="8"/>
      <c r="M308" s="8" t="str">
        <f>IFERROR(__xludf.DUMMYFUNCTION("""COMPUTED_VALUE"""),"")</f>
        <v/>
      </c>
      <c r="N308" s="8" t="str">
        <f>IFERROR(__xludf.DUMMYFUNCTION("""COMPUTED_VALUE"""),"")</f>
        <v/>
      </c>
      <c r="O308" s="8"/>
      <c r="P308" s="8"/>
    </row>
    <row r="309">
      <c r="A309" s="8"/>
      <c r="B309" s="25"/>
      <c r="C309" s="385"/>
      <c r="D309" s="385"/>
      <c r="E309" s="392"/>
      <c r="F309" s="8"/>
      <c r="G309" s="8"/>
      <c r="H309" s="389"/>
      <c r="I309" s="8" t="b">
        <v>0</v>
      </c>
      <c r="J309" s="388" t="str">
        <f>IFERROR(__xludf.DUMMYFUNCTION("""COMPUTED_VALUE"""),"")</f>
        <v/>
      </c>
      <c r="K309" s="8"/>
      <c r="L309" s="8"/>
      <c r="M309" s="8" t="str">
        <f>IFERROR(__xludf.DUMMYFUNCTION("""COMPUTED_VALUE"""),"")</f>
        <v/>
      </c>
      <c r="N309" s="8" t="str">
        <f>IFERROR(__xludf.DUMMYFUNCTION("""COMPUTED_VALUE"""),"")</f>
        <v/>
      </c>
      <c r="O309" s="8"/>
      <c r="P309" s="8"/>
    </row>
    <row r="310">
      <c r="A310" s="8"/>
      <c r="B310" s="25"/>
      <c r="C310" s="385"/>
      <c r="D310" s="385"/>
      <c r="E310" s="392"/>
      <c r="F310" s="8"/>
      <c r="G310" s="8"/>
      <c r="H310" s="389"/>
      <c r="I310" s="8" t="b">
        <v>0</v>
      </c>
      <c r="J310" s="388" t="str">
        <f>IFERROR(__xludf.DUMMYFUNCTION("""COMPUTED_VALUE"""),"")</f>
        <v/>
      </c>
      <c r="K310" s="8"/>
      <c r="L310" s="8"/>
      <c r="M310" s="8" t="str">
        <f>IFERROR(__xludf.DUMMYFUNCTION("""COMPUTED_VALUE"""),"")</f>
        <v/>
      </c>
      <c r="N310" s="8" t="str">
        <f>IFERROR(__xludf.DUMMYFUNCTION("""COMPUTED_VALUE"""),"")</f>
        <v/>
      </c>
      <c r="O310" s="8"/>
      <c r="P310" s="8"/>
    </row>
    <row r="311">
      <c r="A311" s="8"/>
      <c r="B311" s="25"/>
      <c r="C311" s="385"/>
      <c r="D311" s="385"/>
      <c r="E311" s="392"/>
      <c r="F311" s="8"/>
      <c r="G311" s="8"/>
      <c r="H311" s="389"/>
      <c r="I311" s="8" t="b">
        <v>0</v>
      </c>
      <c r="J311" s="388" t="str">
        <f>IFERROR(__xludf.DUMMYFUNCTION("""COMPUTED_VALUE"""),"")</f>
        <v/>
      </c>
      <c r="K311" s="8"/>
      <c r="L311" s="8"/>
      <c r="M311" s="8" t="str">
        <f>IFERROR(__xludf.DUMMYFUNCTION("""COMPUTED_VALUE"""),"")</f>
        <v/>
      </c>
      <c r="N311" s="8" t="str">
        <f>IFERROR(__xludf.DUMMYFUNCTION("""COMPUTED_VALUE"""),"")</f>
        <v/>
      </c>
      <c r="O311" s="8"/>
      <c r="P311" s="8"/>
    </row>
    <row r="312">
      <c r="A312" s="8"/>
      <c r="B312" s="25"/>
      <c r="C312" s="385"/>
      <c r="D312" s="385"/>
      <c r="E312" s="392"/>
      <c r="F312" s="8"/>
      <c r="G312" s="8"/>
      <c r="H312" s="389"/>
      <c r="I312" s="8" t="b">
        <v>0</v>
      </c>
      <c r="J312" s="388" t="str">
        <f>IFERROR(__xludf.DUMMYFUNCTION("""COMPUTED_VALUE"""),"")</f>
        <v/>
      </c>
      <c r="K312" s="8"/>
      <c r="L312" s="8"/>
      <c r="M312" s="8" t="str">
        <f>IFERROR(__xludf.DUMMYFUNCTION("""COMPUTED_VALUE"""),"")</f>
        <v/>
      </c>
      <c r="N312" s="8" t="str">
        <f>IFERROR(__xludf.DUMMYFUNCTION("""COMPUTED_VALUE"""),"")</f>
        <v/>
      </c>
      <c r="O312" s="8"/>
      <c r="P312" s="8"/>
    </row>
    <row r="313">
      <c r="A313" s="8"/>
      <c r="B313" s="25"/>
      <c r="C313" s="385"/>
      <c r="D313" s="385"/>
      <c r="E313" s="392"/>
      <c r="F313" s="8"/>
      <c r="G313" s="8"/>
      <c r="H313" s="389"/>
      <c r="I313" s="8" t="b">
        <v>0</v>
      </c>
      <c r="J313" s="388" t="str">
        <f>IFERROR(__xludf.DUMMYFUNCTION("""COMPUTED_VALUE"""),"")</f>
        <v/>
      </c>
      <c r="K313" s="8"/>
      <c r="L313" s="8"/>
      <c r="M313" s="8" t="str">
        <f>IFERROR(__xludf.DUMMYFUNCTION("""COMPUTED_VALUE"""),"")</f>
        <v/>
      </c>
      <c r="N313" s="8" t="str">
        <f>IFERROR(__xludf.DUMMYFUNCTION("""COMPUTED_VALUE"""),"")</f>
        <v/>
      </c>
      <c r="O313" s="8"/>
      <c r="P313" s="8"/>
    </row>
    <row r="314">
      <c r="A314" s="8"/>
      <c r="B314" s="25"/>
      <c r="C314" s="385"/>
      <c r="D314" s="385"/>
      <c r="E314" s="392"/>
      <c r="F314" s="8"/>
      <c r="G314" s="8"/>
      <c r="H314" s="389"/>
      <c r="I314" s="8" t="b">
        <v>0</v>
      </c>
      <c r="J314" s="388" t="str">
        <f>IFERROR(__xludf.DUMMYFUNCTION("""COMPUTED_VALUE"""),"")</f>
        <v/>
      </c>
      <c r="K314" s="8"/>
      <c r="L314" s="8"/>
      <c r="M314" s="8" t="str">
        <f>IFERROR(__xludf.DUMMYFUNCTION("""COMPUTED_VALUE"""),"")</f>
        <v/>
      </c>
      <c r="N314" s="8" t="str">
        <f>IFERROR(__xludf.DUMMYFUNCTION("""COMPUTED_VALUE"""),"")</f>
        <v/>
      </c>
      <c r="O314" s="8"/>
      <c r="P314" s="8"/>
    </row>
    <row r="315">
      <c r="A315" s="8"/>
      <c r="B315" s="25"/>
      <c r="C315" s="385"/>
      <c r="D315" s="385"/>
      <c r="E315" s="392"/>
      <c r="F315" s="8"/>
      <c r="G315" s="8"/>
      <c r="H315" s="389"/>
      <c r="I315" s="8" t="b">
        <v>0</v>
      </c>
      <c r="J315" s="388" t="str">
        <f>IFERROR(__xludf.DUMMYFUNCTION("""COMPUTED_VALUE"""),"")</f>
        <v/>
      </c>
      <c r="K315" s="8"/>
      <c r="L315" s="8"/>
      <c r="M315" s="8" t="str">
        <f>IFERROR(__xludf.DUMMYFUNCTION("""COMPUTED_VALUE"""),"")</f>
        <v/>
      </c>
      <c r="N315" s="8" t="str">
        <f>IFERROR(__xludf.DUMMYFUNCTION("""COMPUTED_VALUE"""),"")</f>
        <v/>
      </c>
      <c r="O315" s="8"/>
      <c r="P315" s="8"/>
    </row>
    <row r="316">
      <c r="A316" s="8"/>
      <c r="B316" s="25"/>
      <c r="C316" s="385"/>
      <c r="D316" s="385"/>
      <c r="E316" s="392"/>
      <c r="F316" s="8"/>
      <c r="G316" s="8"/>
      <c r="H316" s="389"/>
      <c r="I316" s="8" t="b">
        <v>0</v>
      </c>
      <c r="J316" s="388" t="str">
        <f>IFERROR(__xludf.DUMMYFUNCTION("""COMPUTED_VALUE"""),"")</f>
        <v/>
      </c>
      <c r="K316" s="8"/>
      <c r="L316" s="8"/>
      <c r="M316" s="8" t="str">
        <f>IFERROR(__xludf.DUMMYFUNCTION("""COMPUTED_VALUE"""),"")</f>
        <v/>
      </c>
      <c r="N316" s="8" t="str">
        <f>IFERROR(__xludf.DUMMYFUNCTION("""COMPUTED_VALUE"""),"")</f>
        <v/>
      </c>
      <c r="O316" s="8"/>
      <c r="P316" s="8"/>
    </row>
    <row r="317">
      <c r="A317" s="8"/>
      <c r="B317" s="25"/>
      <c r="C317" s="385"/>
      <c r="D317" s="385"/>
      <c r="E317" s="392"/>
      <c r="F317" s="8"/>
      <c r="G317" s="8"/>
      <c r="H317" s="389"/>
      <c r="I317" s="8" t="b">
        <v>0</v>
      </c>
      <c r="J317" s="388" t="str">
        <f>IFERROR(__xludf.DUMMYFUNCTION("""COMPUTED_VALUE"""),"")</f>
        <v/>
      </c>
      <c r="K317" s="8"/>
      <c r="L317" s="8"/>
      <c r="M317" s="8" t="str">
        <f>IFERROR(__xludf.DUMMYFUNCTION("""COMPUTED_VALUE"""),"")</f>
        <v/>
      </c>
      <c r="N317" s="8" t="str">
        <f>IFERROR(__xludf.DUMMYFUNCTION("""COMPUTED_VALUE"""),"")</f>
        <v/>
      </c>
      <c r="O317" s="8"/>
      <c r="P317" s="8"/>
    </row>
    <row r="318">
      <c r="A318" s="8"/>
      <c r="B318" s="25"/>
      <c r="C318" s="385"/>
      <c r="D318" s="385"/>
      <c r="E318" s="392"/>
      <c r="F318" s="8"/>
      <c r="G318" s="8"/>
      <c r="H318" s="389"/>
      <c r="I318" s="8" t="b">
        <v>0</v>
      </c>
      <c r="J318" s="388" t="str">
        <f>IFERROR(__xludf.DUMMYFUNCTION("""COMPUTED_VALUE"""),"")</f>
        <v/>
      </c>
      <c r="K318" s="8"/>
      <c r="L318" s="8"/>
      <c r="M318" s="8" t="str">
        <f>IFERROR(__xludf.DUMMYFUNCTION("""COMPUTED_VALUE"""),"")</f>
        <v/>
      </c>
      <c r="N318" s="8" t="str">
        <f>IFERROR(__xludf.DUMMYFUNCTION("""COMPUTED_VALUE"""),"")</f>
        <v/>
      </c>
      <c r="O318" s="8"/>
      <c r="P318" s="8"/>
    </row>
    <row r="319">
      <c r="A319" s="8"/>
      <c r="B319" s="25"/>
      <c r="C319" s="385"/>
      <c r="D319" s="385"/>
      <c r="E319" s="392"/>
      <c r="F319" s="8"/>
      <c r="G319" s="8"/>
      <c r="H319" s="389"/>
      <c r="I319" s="8" t="b">
        <v>0</v>
      </c>
      <c r="J319" s="388" t="str">
        <f>IFERROR(__xludf.DUMMYFUNCTION("""COMPUTED_VALUE"""),"")</f>
        <v/>
      </c>
      <c r="K319" s="8"/>
      <c r="L319" s="8"/>
      <c r="M319" s="8" t="str">
        <f>IFERROR(__xludf.DUMMYFUNCTION("""COMPUTED_VALUE"""),"")</f>
        <v/>
      </c>
      <c r="N319" s="8" t="str">
        <f>IFERROR(__xludf.DUMMYFUNCTION("""COMPUTED_VALUE"""),"")</f>
        <v/>
      </c>
      <c r="O319" s="8"/>
      <c r="P319" s="8"/>
    </row>
    <row r="320">
      <c r="A320" s="8"/>
      <c r="B320" s="25"/>
      <c r="C320" s="385"/>
      <c r="D320" s="385"/>
      <c r="E320" s="392"/>
      <c r="F320" s="8"/>
      <c r="G320" s="8"/>
      <c r="H320" s="389"/>
      <c r="I320" s="8" t="b">
        <v>0</v>
      </c>
      <c r="J320" s="388" t="str">
        <f>IFERROR(__xludf.DUMMYFUNCTION("""COMPUTED_VALUE"""),"")</f>
        <v/>
      </c>
      <c r="K320" s="8"/>
      <c r="L320" s="8"/>
      <c r="M320" s="8" t="str">
        <f>IFERROR(__xludf.DUMMYFUNCTION("""COMPUTED_VALUE"""),"")</f>
        <v/>
      </c>
      <c r="N320" s="8" t="str">
        <f>IFERROR(__xludf.DUMMYFUNCTION("""COMPUTED_VALUE"""),"")</f>
        <v/>
      </c>
      <c r="O320" s="8"/>
      <c r="P320" s="8"/>
    </row>
    <row r="321">
      <c r="A321" s="8"/>
      <c r="B321" s="25"/>
      <c r="C321" s="385"/>
      <c r="D321" s="385"/>
      <c r="E321" s="392"/>
      <c r="F321" s="8"/>
      <c r="G321" s="8"/>
      <c r="H321" s="389"/>
      <c r="I321" s="8" t="b">
        <v>0</v>
      </c>
      <c r="J321" s="388" t="str">
        <f>IFERROR(__xludf.DUMMYFUNCTION("""COMPUTED_VALUE"""),"")</f>
        <v/>
      </c>
      <c r="K321" s="8"/>
      <c r="L321" s="8"/>
      <c r="M321" s="8" t="str">
        <f>IFERROR(__xludf.DUMMYFUNCTION("""COMPUTED_VALUE"""),"")</f>
        <v/>
      </c>
      <c r="N321" s="8" t="str">
        <f>IFERROR(__xludf.DUMMYFUNCTION("""COMPUTED_VALUE"""),"")</f>
        <v/>
      </c>
      <c r="O321" s="8"/>
      <c r="P321" s="8"/>
    </row>
    <row r="322">
      <c r="A322" s="8"/>
      <c r="B322" s="25"/>
      <c r="C322" s="385"/>
      <c r="D322" s="385"/>
      <c r="E322" s="392"/>
      <c r="F322" s="8"/>
      <c r="G322" s="8"/>
      <c r="H322" s="389"/>
      <c r="I322" s="8" t="b">
        <v>0</v>
      </c>
      <c r="J322" s="388" t="str">
        <f>IFERROR(__xludf.DUMMYFUNCTION("""COMPUTED_VALUE"""),"")</f>
        <v/>
      </c>
      <c r="K322" s="8"/>
      <c r="L322" s="8"/>
      <c r="M322" s="8" t="str">
        <f>IFERROR(__xludf.DUMMYFUNCTION("""COMPUTED_VALUE"""),"")</f>
        <v/>
      </c>
      <c r="N322" s="8" t="str">
        <f>IFERROR(__xludf.DUMMYFUNCTION("""COMPUTED_VALUE"""),"")</f>
        <v/>
      </c>
      <c r="O322" s="8"/>
      <c r="P322" s="8"/>
    </row>
    <row r="323">
      <c r="A323" s="8"/>
      <c r="B323" s="25"/>
      <c r="C323" s="385"/>
      <c r="D323" s="385"/>
      <c r="E323" s="392"/>
      <c r="F323" s="8"/>
      <c r="G323" s="8"/>
      <c r="H323" s="389"/>
      <c r="I323" s="8" t="b">
        <v>0</v>
      </c>
      <c r="J323" s="388" t="str">
        <f>IFERROR(__xludf.DUMMYFUNCTION("""COMPUTED_VALUE"""),"")</f>
        <v/>
      </c>
      <c r="K323" s="8"/>
      <c r="L323" s="8"/>
      <c r="M323" s="8" t="str">
        <f>IFERROR(__xludf.DUMMYFUNCTION("""COMPUTED_VALUE"""),"")</f>
        <v/>
      </c>
      <c r="N323" s="8" t="str">
        <f>IFERROR(__xludf.DUMMYFUNCTION("""COMPUTED_VALUE"""),"")</f>
        <v/>
      </c>
      <c r="O323" s="8"/>
      <c r="P323" s="8"/>
    </row>
    <row r="324">
      <c r="A324" s="8"/>
      <c r="B324" s="25"/>
      <c r="C324" s="385"/>
      <c r="D324" s="385"/>
      <c r="E324" s="392"/>
      <c r="F324" s="8"/>
      <c r="G324" s="8"/>
      <c r="H324" s="389"/>
      <c r="I324" s="8" t="b">
        <v>0</v>
      </c>
      <c r="J324" s="388" t="str">
        <f>IFERROR(__xludf.DUMMYFUNCTION("""COMPUTED_VALUE"""),"")</f>
        <v/>
      </c>
      <c r="K324" s="8"/>
      <c r="L324" s="8"/>
      <c r="M324" s="8" t="str">
        <f>IFERROR(__xludf.DUMMYFUNCTION("""COMPUTED_VALUE"""),"")</f>
        <v/>
      </c>
      <c r="N324" s="8" t="str">
        <f>IFERROR(__xludf.DUMMYFUNCTION("""COMPUTED_VALUE"""),"")</f>
        <v/>
      </c>
      <c r="O324" s="8"/>
      <c r="P324" s="8"/>
    </row>
    <row r="325">
      <c r="A325" s="8"/>
      <c r="B325" s="25"/>
      <c r="C325" s="385"/>
      <c r="D325" s="385"/>
      <c r="E325" s="392"/>
      <c r="F325" s="8"/>
      <c r="G325" s="8"/>
      <c r="H325" s="389"/>
      <c r="I325" s="8" t="b">
        <v>0</v>
      </c>
      <c r="J325" s="388" t="str">
        <f>IFERROR(__xludf.DUMMYFUNCTION("""COMPUTED_VALUE"""),"")</f>
        <v/>
      </c>
      <c r="K325" s="8"/>
      <c r="L325" s="8"/>
      <c r="M325" s="8" t="str">
        <f>IFERROR(__xludf.DUMMYFUNCTION("""COMPUTED_VALUE"""),"")</f>
        <v/>
      </c>
      <c r="N325" s="8" t="str">
        <f>IFERROR(__xludf.DUMMYFUNCTION("""COMPUTED_VALUE"""),"")</f>
        <v/>
      </c>
      <c r="O325" s="8"/>
      <c r="P325" s="8"/>
    </row>
    <row r="326">
      <c r="A326" s="8"/>
      <c r="B326" s="25"/>
      <c r="C326" s="385"/>
      <c r="D326" s="385"/>
      <c r="E326" s="392"/>
      <c r="F326" s="8"/>
      <c r="G326" s="8"/>
      <c r="H326" s="389"/>
      <c r="I326" s="8" t="b">
        <v>0</v>
      </c>
      <c r="J326" s="388" t="str">
        <f>IFERROR(__xludf.DUMMYFUNCTION("""COMPUTED_VALUE"""),"")</f>
        <v/>
      </c>
      <c r="K326" s="8"/>
      <c r="L326" s="8"/>
      <c r="M326" s="8" t="str">
        <f>IFERROR(__xludf.DUMMYFUNCTION("""COMPUTED_VALUE"""),"")</f>
        <v/>
      </c>
      <c r="N326" s="8" t="str">
        <f>IFERROR(__xludf.DUMMYFUNCTION("""COMPUTED_VALUE"""),"")</f>
        <v/>
      </c>
      <c r="O326" s="8"/>
      <c r="P326" s="8"/>
    </row>
    <row r="327">
      <c r="A327" s="8"/>
      <c r="B327" s="25"/>
      <c r="C327" s="385"/>
      <c r="D327" s="385"/>
      <c r="E327" s="392"/>
      <c r="F327" s="8"/>
      <c r="G327" s="8"/>
      <c r="H327" s="389"/>
      <c r="I327" s="8" t="b">
        <v>0</v>
      </c>
      <c r="J327" s="388" t="str">
        <f>IFERROR(__xludf.DUMMYFUNCTION("""COMPUTED_VALUE"""),"")</f>
        <v/>
      </c>
      <c r="K327" s="8"/>
      <c r="L327" s="8"/>
      <c r="M327" s="8" t="str">
        <f>IFERROR(__xludf.DUMMYFUNCTION("""COMPUTED_VALUE"""),"")</f>
        <v/>
      </c>
      <c r="N327" s="8" t="str">
        <f>IFERROR(__xludf.DUMMYFUNCTION("""COMPUTED_VALUE"""),"")</f>
        <v/>
      </c>
      <c r="O327" s="8"/>
      <c r="P327" s="8"/>
    </row>
    <row r="328">
      <c r="A328" s="8"/>
      <c r="B328" s="25"/>
      <c r="C328" s="385"/>
      <c r="D328" s="385"/>
      <c r="E328" s="392"/>
      <c r="F328" s="8"/>
      <c r="G328" s="8"/>
      <c r="H328" s="389"/>
      <c r="I328" s="8" t="b">
        <v>0</v>
      </c>
      <c r="J328" s="388" t="str">
        <f>IFERROR(__xludf.DUMMYFUNCTION("""COMPUTED_VALUE"""),"")</f>
        <v/>
      </c>
      <c r="K328" s="8"/>
      <c r="L328" s="8"/>
      <c r="M328" s="8" t="str">
        <f>IFERROR(__xludf.DUMMYFUNCTION("""COMPUTED_VALUE"""),"")</f>
        <v/>
      </c>
      <c r="N328" s="8" t="str">
        <f>IFERROR(__xludf.DUMMYFUNCTION("""COMPUTED_VALUE"""),"")</f>
        <v/>
      </c>
      <c r="O328" s="8"/>
      <c r="P328" s="8"/>
    </row>
    <row r="329">
      <c r="A329" s="8"/>
      <c r="B329" s="25"/>
      <c r="C329" s="385"/>
      <c r="D329" s="385"/>
      <c r="E329" s="392"/>
      <c r="F329" s="8"/>
      <c r="G329" s="8"/>
      <c r="H329" s="389"/>
      <c r="I329" s="8" t="b">
        <v>0</v>
      </c>
      <c r="J329" s="388" t="str">
        <f>IFERROR(__xludf.DUMMYFUNCTION("""COMPUTED_VALUE"""),"")</f>
        <v/>
      </c>
      <c r="K329" s="8"/>
      <c r="L329" s="8"/>
      <c r="M329" s="8" t="str">
        <f>IFERROR(__xludf.DUMMYFUNCTION("""COMPUTED_VALUE"""),"")</f>
        <v/>
      </c>
      <c r="N329" s="8" t="str">
        <f>IFERROR(__xludf.DUMMYFUNCTION("""COMPUTED_VALUE"""),"")</f>
        <v/>
      </c>
      <c r="O329" s="8"/>
      <c r="P329" s="8"/>
    </row>
    <row r="330">
      <c r="A330" s="8"/>
      <c r="B330" s="25"/>
      <c r="C330" s="385"/>
      <c r="D330" s="385"/>
      <c r="E330" s="392"/>
      <c r="F330" s="8"/>
      <c r="G330" s="8"/>
      <c r="H330" s="389"/>
      <c r="I330" s="8" t="b">
        <v>0</v>
      </c>
      <c r="J330" s="388" t="str">
        <f>IFERROR(__xludf.DUMMYFUNCTION("""COMPUTED_VALUE"""),"")</f>
        <v/>
      </c>
      <c r="K330" s="8"/>
      <c r="L330" s="8"/>
      <c r="M330" s="8" t="str">
        <f>IFERROR(__xludf.DUMMYFUNCTION("""COMPUTED_VALUE"""),"")</f>
        <v/>
      </c>
      <c r="N330" s="8" t="str">
        <f>IFERROR(__xludf.DUMMYFUNCTION("""COMPUTED_VALUE"""),"")</f>
        <v/>
      </c>
      <c r="O330" s="8"/>
      <c r="P330" s="8"/>
    </row>
    <row r="331">
      <c r="A331" s="8"/>
      <c r="B331" s="25"/>
      <c r="C331" s="385"/>
      <c r="D331" s="385"/>
      <c r="E331" s="392"/>
      <c r="F331" s="8"/>
      <c r="G331" s="8"/>
      <c r="H331" s="389"/>
      <c r="I331" s="8" t="b">
        <v>0</v>
      </c>
      <c r="J331" s="388" t="str">
        <f>IFERROR(__xludf.DUMMYFUNCTION("""COMPUTED_VALUE"""),"")</f>
        <v/>
      </c>
      <c r="K331" s="8"/>
      <c r="L331" s="8"/>
      <c r="M331" s="8" t="str">
        <f>IFERROR(__xludf.DUMMYFUNCTION("""COMPUTED_VALUE"""),"")</f>
        <v/>
      </c>
      <c r="N331" s="8" t="str">
        <f>IFERROR(__xludf.DUMMYFUNCTION("""COMPUTED_VALUE"""),"")</f>
        <v/>
      </c>
      <c r="O331" s="8"/>
      <c r="P331" s="8"/>
    </row>
    <row r="332">
      <c r="A332" s="8"/>
      <c r="B332" s="25"/>
      <c r="C332" s="385"/>
      <c r="D332" s="385"/>
      <c r="E332" s="392"/>
      <c r="F332" s="8"/>
      <c r="G332" s="8"/>
      <c r="H332" s="389"/>
      <c r="I332" s="8" t="b">
        <v>0</v>
      </c>
      <c r="J332" s="388" t="str">
        <f>IFERROR(__xludf.DUMMYFUNCTION("""COMPUTED_VALUE"""),"")</f>
        <v/>
      </c>
      <c r="K332" s="8"/>
      <c r="L332" s="8"/>
      <c r="M332" s="8" t="str">
        <f>IFERROR(__xludf.DUMMYFUNCTION("""COMPUTED_VALUE"""),"")</f>
        <v/>
      </c>
      <c r="N332" s="8" t="str">
        <f>IFERROR(__xludf.DUMMYFUNCTION("""COMPUTED_VALUE"""),"")</f>
        <v/>
      </c>
      <c r="O332" s="8"/>
      <c r="P332" s="8"/>
    </row>
    <row r="333">
      <c r="A333" s="8"/>
      <c r="B333" s="25"/>
      <c r="C333" s="385"/>
      <c r="D333" s="385"/>
      <c r="E333" s="392"/>
      <c r="F333" s="8"/>
      <c r="G333" s="8"/>
      <c r="H333" s="389"/>
      <c r="I333" s="8" t="b">
        <v>0</v>
      </c>
      <c r="J333" s="388" t="str">
        <f>IFERROR(__xludf.DUMMYFUNCTION("""COMPUTED_VALUE"""),"")</f>
        <v/>
      </c>
      <c r="K333" s="8"/>
      <c r="L333" s="8"/>
      <c r="M333" s="8" t="str">
        <f>IFERROR(__xludf.DUMMYFUNCTION("""COMPUTED_VALUE"""),"")</f>
        <v/>
      </c>
      <c r="N333" s="8" t="str">
        <f>IFERROR(__xludf.DUMMYFUNCTION("""COMPUTED_VALUE"""),"")</f>
        <v/>
      </c>
      <c r="O333" s="8"/>
      <c r="P333" s="8"/>
    </row>
    <row r="334">
      <c r="A334" s="8"/>
      <c r="B334" s="25"/>
      <c r="C334" s="385"/>
      <c r="D334" s="385"/>
      <c r="E334" s="392"/>
      <c r="F334" s="8"/>
      <c r="G334" s="8"/>
      <c r="H334" s="389"/>
      <c r="I334" s="8" t="b">
        <v>0</v>
      </c>
      <c r="J334" s="388" t="str">
        <f>IFERROR(__xludf.DUMMYFUNCTION("""COMPUTED_VALUE"""),"")</f>
        <v/>
      </c>
      <c r="K334" s="8"/>
      <c r="L334" s="8"/>
      <c r="M334" s="8" t="str">
        <f>IFERROR(__xludf.DUMMYFUNCTION("""COMPUTED_VALUE"""),"")</f>
        <v/>
      </c>
      <c r="N334" s="8" t="str">
        <f>IFERROR(__xludf.DUMMYFUNCTION("""COMPUTED_VALUE"""),"")</f>
        <v/>
      </c>
      <c r="O334" s="8"/>
      <c r="P334" s="8"/>
    </row>
    <row r="335">
      <c r="A335" s="8"/>
      <c r="B335" s="25"/>
      <c r="C335" s="385"/>
      <c r="D335" s="385"/>
      <c r="E335" s="392"/>
      <c r="F335" s="8"/>
      <c r="G335" s="8"/>
      <c r="H335" s="389"/>
      <c r="I335" s="8" t="b">
        <v>0</v>
      </c>
      <c r="J335" s="388" t="str">
        <f>IFERROR(__xludf.DUMMYFUNCTION("""COMPUTED_VALUE"""),"")</f>
        <v/>
      </c>
      <c r="K335" s="8"/>
      <c r="L335" s="8"/>
      <c r="M335" s="8" t="str">
        <f>IFERROR(__xludf.DUMMYFUNCTION("""COMPUTED_VALUE"""),"")</f>
        <v/>
      </c>
      <c r="N335" s="8" t="str">
        <f>IFERROR(__xludf.DUMMYFUNCTION("""COMPUTED_VALUE"""),"")</f>
        <v/>
      </c>
      <c r="O335" s="8"/>
      <c r="P335" s="8"/>
    </row>
    <row r="336">
      <c r="A336" s="8"/>
      <c r="B336" s="25"/>
      <c r="C336" s="385"/>
      <c r="D336" s="385"/>
      <c r="E336" s="392"/>
      <c r="F336" s="8"/>
      <c r="G336" s="8"/>
      <c r="H336" s="389"/>
      <c r="I336" s="8" t="b">
        <v>0</v>
      </c>
      <c r="J336" s="388" t="str">
        <f>IFERROR(__xludf.DUMMYFUNCTION("""COMPUTED_VALUE"""),"")</f>
        <v/>
      </c>
      <c r="K336" s="8"/>
      <c r="L336" s="8"/>
      <c r="M336" s="8" t="str">
        <f>IFERROR(__xludf.DUMMYFUNCTION("""COMPUTED_VALUE"""),"")</f>
        <v/>
      </c>
      <c r="N336" s="8" t="str">
        <f>IFERROR(__xludf.DUMMYFUNCTION("""COMPUTED_VALUE"""),"")</f>
        <v/>
      </c>
      <c r="O336" s="8"/>
      <c r="P336" s="8"/>
    </row>
    <row r="337">
      <c r="A337" s="8"/>
      <c r="B337" s="25"/>
      <c r="C337" s="385"/>
      <c r="D337" s="385"/>
      <c r="E337" s="392"/>
      <c r="F337" s="8"/>
      <c r="G337" s="8"/>
      <c r="H337" s="389"/>
      <c r="I337" s="8" t="b">
        <v>0</v>
      </c>
      <c r="J337" s="388" t="str">
        <f>IFERROR(__xludf.DUMMYFUNCTION("""COMPUTED_VALUE"""),"")</f>
        <v/>
      </c>
      <c r="K337" s="8"/>
      <c r="L337" s="8"/>
      <c r="M337" s="8" t="str">
        <f>IFERROR(__xludf.DUMMYFUNCTION("""COMPUTED_VALUE"""),"")</f>
        <v/>
      </c>
      <c r="N337" s="8" t="str">
        <f>IFERROR(__xludf.DUMMYFUNCTION("""COMPUTED_VALUE"""),"")</f>
        <v/>
      </c>
      <c r="O337" s="8"/>
      <c r="P337" s="8"/>
    </row>
    <row r="338">
      <c r="A338" s="8"/>
      <c r="B338" s="25"/>
      <c r="C338" s="385"/>
      <c r="D338" s="385"/>
      <c r="E338" s="392"/>
      <c r="F338" s="8"/>
      <c r="G338" s="8"/>
      <c r="H338" s="389"/>
      <c r="I338" s="8" t="b">
        <v>0</v>
      </c>
      <c r="J338" s="388" t="str">
        <f>IFERROR(__xludf.DUMMYFUNCTION("""COMPUTED_VALUE"""),"")</f>
        <v/>
      </c>
      <c r="K338" s="8"/>
      <c r="L338" s="8"/>
      <c r="M338" s="8" t="str">
        <f>IFERROR(__xludf.DUMMYFUNCTION("""COMPUTED_VALUE"""),"")</f>
        <v/>
      </c>
      <c r="N338" s="8" t="str">
        <f>IFERROR(__xludf.DUMMYFUNCTION("""COMPUTED_VALUE"""),"")</f>
        <v/>
      </c>
      <c r="O338" s="8"/>
      <c r="P338" s="8"/>
    </row>
    <row r="339">
      <c r="A339" s="8"/>
      <c r="B339" s="25"/>
      <c r="C339" s="385"/>
      <c r="D339" s="385"/>
      <c r="E339" s="392"/>
      <c r="F339" s="8"/>
      <c r="G339" s="8"/>
      <c r="H339" s="389"/>
      <c r="I339" s="8" t="b">
        <v>0</v>
      </c>
      <c r="J339" s="388" t="str">
        <f>IFERROR(__xludf.DUMMYFUNCTION("""COMPUTED_VALUE"""),"")</f>
        <v/>
      </c>
      <c r="K339" s="8"/>
      <c r="L339" s="8"/>
      <c r="M339" s="8" t="str">
        <f>IFERROR(__xludf.DUMMYFUNCTION("""COMPUTED_VALUE"""),"")</f>
        <v/>
      </c>
      <c r="N339" s="8" t="str">
        <f>IFERROR(__xludf.DUMMYFUNCTION("""COMPUTED_VALUE"""),"")</f>
        <v/>
      </c>
      <c r="O339" s="8"/>
      <c r="P339" s="8"/>
    </row>
    <row r="340">
      <c r="A340" s="8"/>
      <c r="B340" s="25"/>
      <c r="C340" s="385"/>
      <c r="D340" s="385"/>
      <c r="E340" s="392"/>
      <c r="F340" s="8"/>
      <c r="G340" s="8"/>
      <c r="H340" s="389"/>
      <c r="I340" s="8" t="b">
        <v>0</v>
      </c>
      <c r="J340" s="388" t="str">
        <f>IFERROR(__xludf.DUMMYFUNCTION("""COMPUTED_VALUE"""),"")</f>
        <v/>
      </c>
      <c r="K340" s="8"/>
      <c r="L340" s="8"/>
      <c r="M340" s="8" t="str">
        <f>IFERROR(__xludf.DUMMYFUNCTION("""COMPUTED_VALUE"""),"")</f>
        <v/>
      </c>
      <c r="N340" s="8" t="str">
        <f>IFERROR(__xludf.DUMMYFUNCTION("""COMPUTED_VALUE"""),"")</f>
        <v/>
      </c>
      <c r="O340" s="8"/>
      <c r="P340" s="8"/>
    </row>
    <row r="341">
      <c r="A341" s="8"/>
      <c r="B341" s="25"/>
      <c r="C341" s="385"/>
      <c r="D341" s="385"/>
      <c r="E341" s="392"/>
      <c r="F341" s="8"/>
      <c r="G341" s="8"/>
      <c r="H341" s="389"/>
      <c r="I341" s="8" t="b">
        <v>0</v>
      </c>
      <c r="J341" s="388" t="str">
        <f>IFERROR(__xludf.DUMMYFUNCTION("""COMPUTED_VALUE"""),"")</f>
        <v/>
      </c>
      <c r="K341" s="8"/>
      <c r="L341" s="8"/>
      <c r="M341" s="8" t="str">
        <f>IFERROR(__xludf.DUMMYFUNCTION("""COMPUTED_VALUE"""),"")</f>
        <v/>
      </c>
      <c r="N341" s="8" t="str">
        <f>IFERROR(__xludf.DUMMYFUNCTION("""COMPUTED_VALUE"""),"")</f>
        <v/>
      </c>
      <c r="O341" s="8"/>
      <c r="P341" s="8"/>
    </row>
    <row r="342">
      <c r="A342" s="8"/>
      <c r="B342" s="25"/>
      <c r="C342" s="385"/>
      <c r="D342" s="385"/>
      <c r="E342" s="392"/>
      <c r="F342" s="8"/>
      <c r="G342" s="8"/>
      <c r="H342" s="389"/>
      <c r="I342" s="8" t="b">
        <v>0</v>
      </c>
      <c r="J342" s="388" t="str">
        <f>IFERROR(__xludf.DUMMYFUNCTION("""COMPUTED_VALUE"""),"")</f>
        <v/>
      </c>
      <c r="K342" s="8"/>
      <c r="L342" s="8"/>
      <c r="M342" s="8" t="str">
        <f>IFERROR(__xludf.DUMMYFUNCTION("""COMPUTED_VALUE"""),"")</f>
        <v/>
      </c>
      <c r="N342" s="8" t="str">
        <f>IFERROR(__xludf.DUMMYFUNCTION("""COMPUTED_VALUE"""),"")</f>
        <v/>
      </c>
      <c r="O342" s="8"/>
      <c r="P342" s="8"/>
    </row>
    <row r="343">
      <c r="A343" s="8"/>
      <c r="B343" s="25"/>
      <c r="C343" s="385"/>
      <c r="D343" s="385"/>
      <c r="E343" s="392"/>
      <c r="F343" s="8"/>
      <c r="G343" s="8"/>
      <c r="H343" s="389"/>
      <c r="I343" s="8" t="b">
        <v>0</v>
      </c>
      <c r="J343" s="388" t="str">
        <f>IFERROR(__xludf.DUMMYFUNCTION("""COMPUTED_VALUE"""),"")</f>
        <v/>
      </c>
      <c r="K343" s="8"/>
      <c r="L343" s="8"/>
      <c r="M343" s="8" t="str">
        <f>IFERROR(__xludf.DUMMYFUNCTION("""COMPUTED_VALUE"""),"")</f>
        <v/>
      </c>
      <c r="N343" s="8" t="str">
        <f>IFERROR(__xludf.DUMMYFUNCTION("""COMPUTED_VALUE"""),"")</f>
        <v/>
      </c>
      <c r="O343" s="8"/>
      <c r="P343" s="8"/>
    </row>
    <row r="344">
      <c r="A344" s="8"/>
      <c r="B344" s="25"/>
      <c r="C344" s="385"/>
      <c r="D344" s="385"/>
      <c r="E344" s="392"/>
      <c r="F344" s="8"/>
      <c r="G344" s="8"/>
      <c r="H344" s="389"/>
      <c r="I344" s="8" t="b">
        <v>0</v>
      </c>
      <c r="J344" s="388" t="str">
        <f>IFERROR(__xludf.DUMMYFUNCTION("""COMPUTED_VALUE"""),"")</f>
        <v/>
      </c>
      <c r="K344" s="8"/>
      <c r="L344" s="8"/>
      <c r="M344" s="8" t="str">
        <f>IFERROR(__xludf.DUMMYFUNCTION("""COMPUTED_VALUE"""),"")</f>
        <v/>
      </c>
      <c r="N344" s="8" t="str">
        <f>IFERROR(__xludf.DUMMYFUNCTION("""COMPUTED_VALUE"""),"")</f>
        <v/>
      </c>
      <c r="O344" s="8"/>
      <c r="P344" s="8"/>
    </row>
    <row r="345">
      <c r="A345" s="8"/>
      <c r="B345" s="25"/>
      <c r="C345" s="385"/>
      <c r="D345" s="385"/>
      <c r="E345" s="392"/>
      <c r="F345" s="8"/>
      <c r="G345" s="8"/>
      <c r="H345" s="389"/>
      <c r="I345" s="8" t="b">
        <v>0</v>
      </c>
      <c r="J345" s="388" t="str">
        <f>IFERROR(__xludf.DUMMYFUNCTION("""COMPUTED_VALUE"""),"")</f>
        <v/>
      </c>
      <c r="K345" s="8"/>
      <c r="L345" s="8"/>
      <c r="M345" s="8" t="str">
        <f>IFERROR(__xludf.DUMMYFUNCTION("""COMPUTED_VALUE"""),"")</f>
        <v/>
      </c>
      <c r="N345" s="8" t="str">
        <f>IFERROR(__xludf.DUMMYFUNCTION("""COMPUTED_VALUE"""),"")</f>
        <v/>
      </c>
      <c r="O345" s="8"/>
      <c r="P345" s="8"/>
    </row>
    <row r="346">
      <c r="A346" s="8"/>
      <c r="B346" s="25"/>
      <c r="C346" s="385"/>
      <c r="D346" s="385"/>
      <c r="E346" s="392"/>
      <c r="F346" s="8"/>
      <c r="G346" s="8"/>
      <c r="H346" s="389"/>
      <c r="I346" s="8" t="b">
        <v>0</v>
      </c>
      <c r="J346" s="388" t="str">
        <f>IFERROR(__xludf.DUMMYFUNCTION("""COMPUTED_VALUE"""),"")</f>
        <v/>
      </c>
      <c r="K346" s="8"/>
      <c r="L346" s="8"/>
      <c r="M346" s="8" t="str">
        <f>IFERROR(__xludf.DUMMYFUNCTION("""COMPUTED_VALUE"""),"")</f>
        <v/>
      </c>
      <c r="N346" s="8" t="str">
        <f>IFERROR(__xludf.DUMMYFUNCTION("""COMPUTED_VALUE"""),"")</f>
        <v/>
      </c>
      <c r="O346" s="8"/>
      <c r="P346" s="8"/>
    </row>
    <row r="347">
      <c r="A347" s="8"/>
      <c r="B347" s="25"/>
      <c r="C347" s="385"/>
      <c r="D347" s="385"/>
      <c r="E347" s="392"/>
      <c r="F347" s="8"/>
      <c r="G347" s="8"/>
      <c r="H347" s="389"/>
      <c r="I347" s="8" t="b">
        <v>0</v>
      </c>
      <c r="J347" s="388" t="str">
        <f>IFERROR(__xludf.DUMMYFUNCTION("""COMPUTED_VALUE"""),"")</f>
        <v/>
      </c>
      <c r="K347" s="8"/>
      <c r="L347" s="8"/>
      <c r="M347" s="8" t="str">
        <f>IFERROR(__xludf.DUMMYFUNCTION("""COMPUTED_VALUE"""),"")</f>
        <v/>
      </c>
      <c r="N347" s="8" t="str">
        <f>IFERROR(__xludf.DUMMYFUNCTION("""COMPUTED_VALUE"""),"")</f>
        <v/>
      </c>
      <c r="O347" s="8"/>
      <c r="P347" s="8"/>
    </row>
    <row r="348">
      <c r="A348" s="8"/>
      <c r="B348" s="25"/>
      <c r="C348" s="385"/>
      <c r="D348" s="385"/>
      <c r="E348" s="392"/>
      <c r="F348" s="8"/>
      <c r="G348" s="8"/>
      <c r="H348" s="389"/>
      <c r="I348" s="8" t="b">
        <v>0</v>
      </c>
      <c r="J348" s="388" t="str">
        <f>IFERROR(__xludf.DUMMYFUNCTION("""COMPUTED_VALUE"""),"")</f>
        <v/>
      </c>
      <c r="K348" s="8"/>
      <c r="L348" s="8"/>
      <c r="M348" s="8" t="str">
        <f>IFERROR(__xludf.DUMMYFUNCTION("""COMPUTED_VALUE"""),"")</f>
        <v/>
      </c>
      <c r="N348" s="8" t="str">
        <f>IFERROR(__xludf.DUMMYFUNCTION("""COMPUTED_VALUE"""),"")</f>
        <v/>
      </c>
      <c r="O348" s="8"/>
      <c r="P348" s="8"/>
    </row>
    <row r="349">
      <c r="A349" s="8"/>
      <c r="B349" s="25"/>
      <c r="C349" s="385"/>
      <c r="D349" s="385"/>
      <c r="E349" s="392"/>
      <c r="F349" s="8"/>
      <c r="G349" s="8"/>
      <c r="H349" s="389"/>
      <c r="I349" s="8" t="b">
        <v>0</v>
      </c>
      <c r="J349" s="388" t="str">
        <f>IFERROR(__xludf.DUMMYFUNCTION("""COMPUTED_VALUE"""),"")</f>
        <v/>
      </c>
      <c r="K349" s="8"/>
      <c r="L349" s="8"/>
      <c r="M349" s="8" t="str">
        <f>IFERROR(__xludf.DUMMYFUNCTION("""COMPUTED_VALUE"""),"")</f>
        <v/>
      </c>
      <c r="N349" s="8" t="str">
        <f>IFERROR(__xludf.DUMMYFUNCTION("""COMPUTED_VALUE"""),"")</f>
        <v/>
      </c>
      <c r="O349" s="8"/>
      <c r="P349" s="8"/>
    </row>
    <row r="350">
      <c r="A350" s="8"/>
      <c r="B350" s="25"/>
      <c r="C350" s="385"/>
      <c r="D350" s="385"/>
      <c r="E350" s="392"/>
      <c r="F350" s="8"/>
      <c r="G350" s="8"/>
      <c r="H350" s="389"/>
      <c r="I350" s="8" t="b">
        <v>0</v>
      </c>
      <c r="J350" s="388" t="str">
        <f>IFERROR(__xludf.DUMMYFUNCTION("""COMPUTED_VALUE"""),"")</f>
        <v/>
      </c>
      <c r="K350" s="8"/>
      <c r="L350" s="8"/>
      <c r="M350" s="8" t="str">
        <f>IFERROR(__xludf.DUMMYFUNCTION("""COMPUTED_VALUE"""),"")</f>
        <v/>
      </c>
      <c r="N350" s="8" t="str">
        <f>IFERROR(__xludf.DUMMYFUNCTION("""COMPUTED_VALUE"""),"")</f>
        <v/>
      </c>
      <c r="O350" s="8"/>
      <c r="P350" s="8"/>
    </row>
    <row r="351">
      <c r="A351" s="8"/>
      <c r="B351" s="25"/>
      <c r="C351" s="385"/>
      <c r="D351" s="385"/>
      <c r="E351" s="392"/>
      <c r="F351" s="8"/>
      <c r="G351" s="8"/>
      <c r="H351" s="389"/>
      <c r="I351" s="8" t="b">
        <v>0</v>
      </c>
      <c r="J351" s="388" t="str">
        <f>IFERROR(__xludf.DUMMYFUNCTION("""COMPUTED_VALUE"""),"")</f>
        <v/>
      </c>
      <c r="K351" s="8"/>
      <c r="L351" s="8"/>
      <c r="M351" s="8" t="str">
        <f>IFERROR(__xludf.DUMMYFUNCTION("""COMPUTED_VALUE"""),"")</f>
        <v/>
      </c>
      <c r="N351" s="8" t="str">
        <f>IFERROR(__xludf.DUMMYFUNCTION("""COMPUTED_VALUE"""),"")</f>
        <v/>
      </c>
      <c r="O351" s="8"/>
      <c r="P351" s="8"/>
    </row>
    <row r="352">
      <c r="A352" s="8"/>
      <c r="B352" s="25"/>
      <c r="C352" s="385"/>
      <c r="D352" s="385"/>
      <c r="E352" s="392"/>
      <c r="F352" s="8"/>
      <c r="G352" s="8"/>
      <c r="H352" s="389"/>
      <c r="I352" s="8" t="b">
        <v>0</v>
      </c>
      <c r="J352" s="388" t="str">
        <f>IFERROR(__xludf.DUMMYFUNCTION("""COMPUTED_VALUE"""),"")</f>
        <v/>
      </c>
      <c r="K352" s="8"/>
      <c r="L352" s="8"/>
      <c r="M352" s="8" t="str">
        <f>IFERROR(__xludf.DUMMYFUNCTION("""COMPUTED_VALUE"""),"")</f>
        <v/>
      </c>
      <c r="N352" s="8" t="str">
        <f>IFERROR(__xludf.DUMMYFUNCTION("""COMPUTED_VALUE"""),"")</f>
        <v/>
      </c>
      <c r="O352" s="8"/>
      <c r="P352" s="8"/>
    </row>
    <row r="353">
      <c r="A353" s="8"/>
      <c r="B353" s="25"/>
      <c r="C353" s="385"/>
      <c r="D353" s="385"/>
      <c r="E353" s="392"/>
      <c r="F353" s="8"/>
      <c r="G353" s="8"/>
      <c r="H353" s="389"/>
      <c r="I353" s="8" t="b">
        <v>0</v>
      </c>
      <c r="J353" s="388" t="str">
        <f>IFERROR(__xludf.DUMMYFUNCTION("""COMPUTED_VALUE"""),"")</f>
        <v/>
      </c>
      <c r="K353" s="8"/>
      <c r="L353" s="8"/>
      <c r="M353" s="8" t="str">
        <f>IFERROR(__xludf.DUMMYFUNCTION("""COMPUTED_VALUE"""),"")</f>
        <v/>
      </c>
      <c r="N353" s="8" t="str">
        <f>IFERROR(__xludf.DUMMYFUNCTION("""COMPUTED_VALUE"""),"")</f>
        <v/>
      </c>
      <c r="O353" s="8"/>
      <c r="P353" s="8"/>
    </row>
    <row r="354">
      <c r="A354" s="8"/>
      <c r="B354" s="25"/>
      <c r="C354" s="385"/>
      <c r="D354" s="385"/>
      <c r="E354" s="392"/>
      <c r="F354" s="8"/>
      <c r="G354" s="8"/>
      <c r="H354" s="389"/>
      <c r="I354" s="8" t="b">
        <v>0</v>
      </c>
      <c r="J354" s="388" t="str">
        <f>IFERROR(__xludf.DUMMYFUNCTION("""COMPUTED_VALUE"""),"")</f>
        <v/>
      </c>
      <c r="K354" s="8"/>
      <c r="L354" s="8"/>
      <c r="M354" s="8" t="str">
        <f>IFERROR(__xludf.DUMMYFUNCTION("""COMPUTED_VALUE"""),"")</f>
        <v/>
      </c>
      <c r="N354" s="8" t="str">
        <f>IFERROR(__xludf.DUMMYFUNCTION("""COMPUTED_VALUE"""),"")</f>
        <v/>
      </c>
      <c r="O354" s="8"/>
      <c r="P354" s="8"/>
    </row>
    <row r="355">
      <c r="A355" s="8"/>
      <c r="B355" s="25"/>
      <c r="C355" s="385"/>
      <c r="D355" s="385"/>
      <c r="E355" s="392"/>
      <c r="F355" s="8"/>
      <c r="G355" s="8"/>
      <c r="H355" s="389"/>
      <c r="I355" s="8" t="b">
        <v>0</v>
      </c>
      <c r="J355" s="388" t="str">
        <f>IFERROR(__xludf.DUMMYFUNCTION("""COMPUTED_VALUE"""),"")</f>
        <v/>
      </c>
      <c r="K355" s="8"/>
      <c r="L355" s="8"/>
      <c r="M355" s="8" t="str">
        <f>IFERROR(__xludf.DUMMYFUNCTION("""COMPUTED_VALUE"""),"")</f>
        <v/>
      </c>
      <c r="N355" s="8" t="str">
        <f>IFERROR(__xludf.DUMMYFUNCTION("""COMPUTED_VALUE"""),"")</f>
        <v/>
      </c>
      <c r="O355" s="8"/>
      <c r="P355" s="8"/>
    </row>
    <row r="356">
      <c r="A356" s="8"/>
      <c r="B356" s="25"/>
      <c r="C356" s="385"/>
      <c r="D356" s="385"/>
      <c r="E356" s="392"/>
      <c r="F356" s="8"/>
      <c r="G356" s="8"/>
      <c r="H356" s="389"/>
      <c r="I356" s="8" t="b">
        <v>0</v>
      </c>
      <c r="J356" s="388" t="str">
        <f>IFERROR(__xludf.DUMMYFUNCTION("""COMPUTED_VALUE"""),"")</f>
        <v/>
      </c>
      <c r="K356" s="8"/>
      <c r="L356" s="8"/>
      <c r="M356" s="8" t="str">
        <f>IFERROR(__xludf.DUMMYFUNCTION("""COMPUTED_VALUE"""),"")</f>
        <v/>
      </c>
      <c r="N356" s="8" t="str">
        <f>IFERROR(__xludf.DUMMYFUNCTION("""COMPUTED_VALUE"""),"")</f>
        <v/>
      </c>
      <c r="O356" s="8"/>
      <c r="P356" s="8"/>
    </row>
    <row r="357">
      <c r="A357" s="8"/>
      <c r="B357" s="25"/>
      <c r="C357" s="385"/>
      <c r="D357" s="385"/>
      <c r="E357" s="392"/>
      <c r="F357" s="8"/>
      <c r="G357" s="8"/>
      <c r="H357" s="389"/>
      <c r="I357" s="8" t="b">
        <v>0</v>
      </c>
      <c r="J357" s="388" t="str">
        <f>IFERROR(__xludf.DUMMYFUNCTION("""COMPUTED_VALUE"""),"")</f>
        <v/>
      </c>
      <c r="K357" s="8"/>
      <c r="L357" s="8"/>
      <c r="M357" s="8" t="str">
        <f>IFERROR(__xludf.DUMMYFUNCTION("""COMPUTED_VALUE"""),"")</f>
        <v/>
      </c>
      <c r="N357" s="8" t="str">
        <f>IFERROR(__xludf.DUMMYFUNCTION("""COMPUTED_VALUE"""),"")</f>
        <v/>
      </c>
      <c r="O357" s="8"/>
      <c r="P357" s="8"/>
    </row>
    <row r="358">
      <c r="A358" s="8"/>
      <c r="B358" s="25"/>
      <c r="C358" s="385"/>
      <c r="D358" s="385"/>
      <c r="E358" s="392"/>
      <c r="F358" s="8"/>
      <c r="G358" s="8"/>
      <c r="H358" s="389"/>
      <c r="I358" s="8" t="b">
        <v>0</v>
      </c>
      <c r="J358" s="388" t="str">
        <f>IFERROR(__xludf.DUMMYFUNCTION("""COMPUTED_VALUE"""),"")</f>
        <v/>
      </c>
      <c r="K358" s="8"/>
      <c r="L358" s="8"/>
      <c r="M358" s="8" t="str">
        <f>IFERROR(__xludf.DUMMYFUNCTION("""COMPUTED_VALUE"""),"")</f>
        <v/>
      </c>
      <c r="N358" s="8" t="str">
        <f>IFERROR(__xludf.DUMMYFUNCTION("""COMPUTED_VALUE"""),"")</f>
        <v/>
      </c>
      <c r="O358" s="8"/>
      <c r="P358" s="8"/>
    </row>
    <row r="359">
      <c r="A359" s="8"/>
      <c r="B359" s="25"/>
      <c r="C359" s="385"/>
      <c r="D359" s="385"/>
      <c r="E359" s="392"/>
      <c r="F359" s="8"/>
      <c r="G359" s="8"/>
      <c r="H359" s="389"/>
      <c r="I359" s="8" t="b">
        <v>0</v>
      </c>
      <c r="J359" s="388" t="str">
        <f>IFERROR(__xludf.DUMMYFUNCTION("""COMPUTED_VALUE"""),"")</f>
        <v/>
      </c>
      <c r="K359" s="8"/>
      <c r="L359" s="8"/>
      <c r="M359" s="8" t="str">
        <f>IFERROR(__xludf.DUMMYFUNCTION("""COMPUTED_VALUE"""),"")</f>
        <v/>
      </c>
      <c r="N359" s="8" t="str">
        <f>IFERROR(__xludf.DUMMYFUNCTION("""COMPUTED_VALUE"""),"")</f>
        <v/>
      </c>
      <c r="O359" s="8"/>
      <c r="P359" s="8"/>
    </row>
    <row r="360">
      <c r="A360" s="8"/>
      <c r="B360" s="25"/>
      <c r="C360" s="385"/>
      <c r="D360" s="385"/>
      <c r="E360" s="392"/>
      <c r="F360" s="8"/>
      <c r="G360" s="8"/>
      <c r="H360" s="389"/>
      <c r="I360" s="8" t="b">
        <v>0</v>
      </c>
      <c r="J360" s="388" t="str">
        <f>IFERROR(__xludf.DUMMYFUNCTION("""COMPUTED_VALUE"""),"")</f>
        <v/>
      </c>
      <c r="K360" s="8"/>
      <c r="L360" s="8"/>
      <c r="M360" s="8" t="str">
        <f>IFERROR(__xludf.DUMMYFUNCTION("""COMPUTED_VALUE"""),"")</f>
        <v/>
      </c>
      <c r="N360" s="8" t="str">
        <f>IFERROR(__xludf.DUMMYFUNCTION("""COMPUTED_VALUE"""),"")</f>
        <v/>
      </c>
      <c r="O360" s="8"/>
      <c r="P360" s="8"/>
    </row>
    <row r="361">
      <c r="A361" s="8"/>
      <c r="B361" s="25"/>
      <c r="C361" s="385"/>
      <c r="D361" s="385"/>
      <c r="E361" s="392"/>
      <c r="F361" s="8"/>
      <c r="G361" s="8"/>
      <c r="H361" s="389"/>
      <c r="I361" s="8" t="b">
        <v>0</v>
      </c>
      <c r="J361" s="388" t="str">
        <f>IFERROR(__xludf.DUMMYFUNCTION("""COMPUTED_VALUE"""),"")</f>
        <v/>
      </c>
      <c r="K361" s="8"/>
      <c r="L361" s="8"/>
      <c r="M361" s="8" t="str">
        <f>IFERROR(__xludf.DUMMYFUNCTION("""COMPUTED_VALUE"""),"")</f>
        <v/>
      </c>
      <c r="N361" s="8" t="str">
        <f>IFERROR(__xludf.DUMMYFUNCTION("""COMPUTED_VALUE"""),"")</f>
        <v/>
      </c>
      <c r="O361" s="8"/>
      <c r="P361" s="8"/>
    </row>
    <row r="362">
      <c r="A362" s="8"/>
      <c r="B362" s="25"/>
      <c r="C362" s="385"/>
      <c r="D362" s="385"/>
      <c r="E362" s="392"/>
      <c r="F362" s="8"/>
      <c r="G362" s="8"/>
      <c r="H362" s="389"/>
      <c r="I362" s="8" t="b">
        <v>0</v>
      </c>
      <c r="J362" s="388" t="str">
        <f>IFERROR(__xludf.DUMMYFUNCTION("""COMPUTED_VALUE"""),"")</f>
        <v/>
      </c>
      <c r="K362" s="8"/>
      <c r="L362" s="8"/>
      <c r="M362" s="8" t="str">
        <f>IFERROR(__xludf.DUMMYFUNCTION("""COMPUTED_VALUE"""),"")</f>
        <v/>
      </c>
      <c r="N362" s="8" t="str">
        <f>IFERROR(__xludf.DUMMYFUNCTION("""COMPUTED_VALUE"""),"")</f>
        <v/>
      </c>
      <c r="O362" s="8"/>
      <c r="P362" s="8"/>
    </row>
    <row r="363">
      <c r="A363" s="8"/>
      <c r="B363" s="25"/>
      <c r="C363" s="385"/>
      <c r="D363" s="385"/>
      <c r="E363" s="392"/>
      <c r="F363" s="8"/>
      <c r="G363" s="8"/>
      <c r="H363" s="389"/>
      <c r="I363" s="8" t="b">
        <v>0</v>
      </c>
      <c r="J363" s="388" t="str">
        <f>IFERROR(__xludf.DUMMYFUNCTION("""COMPUTED_VALUE"""),"")</f>
        <v/>
      </c>
      <c r="K363" s="8"/>
      <c r="L363" s="8"/>
      <c r="M363" s="8" t="str">
        <f>IFERROR(__xludf.DUMMYFUNCTION("""COMPUTED_VALUE"""),"")</f>
        <v/>
      </c>
      <c r="N363" s="8" t="str">
        <f>IFERROR(__xludf.DUMMYFUNCTION("""COMPUTED_VALUE"""),"")</f>
        <v/>
      </c>
      <c r="O363" s="8"/>
      <c r="P363" s="8"/>
    </row>
    <row r="364">
      <c r="A364" s="8"/>
      <c r="B364" s="25"/>
      <c r="C364" s="385"/>
      <c r="D364" s="385"/>
      <c r="E364" s="392"/>
      <c r="F364" s="8"/>
      <c r="G364" s="8"/>
      <c r="H364" s="389"/>
      <c r="I364" s="8" t="b">
        <v>0</v>
      </c>
      <c r="J364" s="388" t="str">
        <f>IFERROR(__xludf.DUMMYFUNCTION("""COMPUTED_VALUE"""),"")</f>
        <v/>
      </c>
      <c r="K364" s="8"/>
      <c r="L364" s="8"/>
      <c r="M364" s="8" t="str">
        <f>IFERROR(__xludf.DUMMYFUNCTION("""COMPUTED_VALUE"""),"")</f>
        <v/>
      </c>
      <c r="N364" s="8" t="str">
        <f>IFERROR(__xludf.DUMMYFUNCTION("""COMPUTED_VALUE"""),"")</f>
        <v/>
      </c>
      <c r="O364" s="8"/>
      <c r="P364" s="8"/>
    </row>
    <row r="365">
      <c r="A365" s="8"/>
      <c r="B365" s="25"/>
      <c r="C365" s="385"/>
      <c r="D365" s="385"/>
      <c r="E365" s="392"/>
      <c r="F365" s="8"/>
      <c r="G365" s="8"/>
      <c r="H365" s="389"/>
      <c r="I365" s="8" t="b">
        <v>0</v>
      </c>
      <c r="J365" s="388" t="str">
        <f>IFERROR(__xludf.DUMMYFUNCTION("""COMPUTED_VALUE"""),"")</f>
        <v/>
      </c>
      <c r="K365" s="8"/>
      <c r="L365" s="8"/>
      <c r="M365" s="8" t="str">
        <f>IFERROR(__xludf.DUMMYFUNCTION("""COMPUTED_VALUE"""),"")</f>
        <v/>
      </c>
      <c r="N365" s="8" t="str">
        <f>IFERROR(__xludf.DUMMYFUNCTION("""COMPUTED_VALUE"""),"")</f>
        <v/>
      </c>
      <c r="O365" s="8"/>
      <c r="P365" s="8"/>
    </row>
    <row r="366">
      <c r="A366" s="8"/>
      <c r="B366" s="25"/>
      <c r="C366" s="385"/>
      <c r="D366" s="385"/>
      <c r="E366" s="392"/>
      <c r="F366" s="8"/>
      <c r="G366" s="8"/>
      <c r="H366" s="389"/>
      <c r="I366" s="8" t="b">
        <v>0</v>
      </c>
      <c r="J366" s="388" t="str">
        <f>IFERROR(__xludf.DUMMYFUNCTION("""COMPUTED_VALUE"""),"")</f>
        <v/>
      </c>
      <c r="K366" s="8"/>
      <c r="L366" s="8"/>
      <c r="M366" s="8" t="str">
        <f>IFERROR(__xludf.DUMMYFUNCTION("""COMPUTED_VALUE"""),"")</f>
        <v/>
      </c>
      <c r="N366" s="8" t="str">
        <f>IFERROR(__xludf.DUMMYFUNCTION("""COMPUTED_VALUE"""),"")</f>
        <v/>
      </c>
      <c r="O366" s="8"/>
      <c r="P366" s="8"/>
    </row>
    <row r="367">
      <c r="A367" s="8"/>
      <c r="B367" s="25"/>
      <c r="C367" s="385"/>
      <c r="D367" s="385"/>
      <c r="E367" s="392"/>
      <c r="F367" s="8"/>
      <c r="G367" s="8"/>
      <c r="H367" s="389"/>
      <c r="I367" s="8" t="b">
        <v>0</v>
      </c>
      <c r="J367" s="388" t="str">
        <f>IFERROR(__xludf.DUMMYFUNCTION("""COMPUTED_VALUE"""),"")</f>
        <v/>
      </c>
      <c r="K367" s="8"/>
      <c r="L367" s="8"/>
      <c r="M367" s="8" t="str">
        <f>IFERROR(__xludf.DUMMYFUNCTION("""COMPUTED_VALUE"""),"")</f>
        <v/>
      </c>
      <c r="N367" s="8" t="str">
        <f>IFERROR(__xludf.DUMMYFUNCTION("""COMPUTED_VALUE"""),"")</f>
        <v/>
      </c>
      <c r="O367" s="8"/>
      <c r="P367" s="8"/>
    </row>
    <row r="368">
      <c r="A368" s="8"/>
      <c r="B368" s="25"/>
      <c r="C368" s="385"/>
      <c r="D368" s="385"/>
      <c r="E368" s="392"/>
      <c r="F368" s="8"/>
      <c r="G368" s="8"/>
      <c r="H368" s="389"/>
      <c r="I368" s="8" t="b">
        <v>0</v>
      </c>
      <c r="J368" s="388" t="str">
        <f>IFERROR(__xludf.DUMMYFUNCTION("""COMPUTED_VALUE"""),"")</f>
        <v/>
      </c>
      <c r="K368" s="8"/>
      <c r="L368" s="8"/>
      <c r="M368" s="8" t="str">
        <f>IFERROR(__xludf.DUMMYFUNCTION("""COMPUTED_VALUE"""),"")</f>
        <v/>
      </c>
      <c r="N368" s="8" t="str">
        <f>IFERROR(__xludf.DUMMYFUNCTION("""COMPUTED_VALUE"""),"")</f>
        <v/>
      </c>
      <c r="O368" s="8"/>
      <c r="P368" s="8"/>
    </row>
    <row r="369">
      <c r="A369" s="8"/>
      <c r="B369" s="25"/>
      <c r="C369" s="385"/>
      <c r="D369" s="385"/>
      <c r="E369" s="392"/>
      <c r="F369" s="8"/>
      <c r="G369" s="8"/>
      <c r="H369" s="389"/>
      <c r="I369" s="8" t="b">
        <v>0</v>
      </c>
      <c r="J369" s="388" t="str">
        <f>IFERROR(__xludf.DUMMYFUNCTION("""COMPUTED_VALUE"""),"")</f>
        <v/>
      </c>
      <c r="K369" s="8"/>
      <c r="L369" s="8"/>
      <c r="M369" s="8" t="str">
        <f>IFERROR(__xludf.DUMMYFUNCTION("""COMPUTED_VALUE"""),"")</f>
        <v/>
      </c>
      <c r="N369" s="8" t="str">
        <f>IFERROR(__xludf.DUMMYFUNCTION("""COMPUTED_VALUE"""),"")</f>
        <v/>
      </c>
      <c r="O369" s="8"/>
      <c r="P369" s="8"/>
    </row>
    <row r="370">
      <c r="A370" s="8"/>
      <c r="B370" s="25"/>
      <c r="C370" s="385"/>
      <c r="D370" s="385"/>
      <c r="E370" s="392"/>
      <c r="F370" s="8"/>
      <c r="G370" s="8"/>
      <c r="H370" s="389"/>
      <c r="I370" s="8" t="b">
        <v>0</v>
      </c>
      <c r="J370" s="388" t="str">
        <f>IFERROR(__xludf.DUMMYFUNCTION("""COMPUTED_VALUE"""),"")</f>
        <v/>
      </c>
      <c r="K370" s="8"/>
      <c r="L370" s="8"/>
      <c r="M370" s="8" t="str">
        <f>IFERROR(__xludf.DUMMYFUNCTION("""COMPUTED_VALUE"""),"")</f>
        <v/>
      </c>
      <c r="N370" s="8" t="str">
        <f>IFERROR(__xludf.DUMMYFUNCTION("""COMPUTED_VALUE"""),"")</f>
        <v/>
      </c>
      <c r="O370" s="8"/>
      <c r="P370" s="8"/>
    </row>
    <row r="371">
      <c r="A371" s="8"/>
      <c r="B371" s="25"/>
      <c r="C371" s="385"/>
      <c r="D371" s="385"/>
      <c r="E371" s="392"/>
      <c r="F371" s="8"/>
      <c r="G371" s="8"/>
      <c r="H371" s="389"/>
      <c r="I371" s="8" t="b">
        <v>0</v>
      </c>
      <c r="J371" s="388" t="str">
        <f>IFERROR(__xludf.DUMMYFUNCTION("""COMPUTED_VALUE"""),"")</f>
        <v/>
      </c>
      <c r="K371" s="8"/>
      <c r="L371" s="8"/>
      <c r="M371" s="8" t="str">
        <f>IFERROR(__xludf.DUMMYFUNCTION("""COMPUTED_VALUE"""),"")</f>
        <v/>
      </c>
      <c r="N371" s="8" t="str">
        <f>IFERROR(__xludf.DUMMYFUNCTION("""COMPUTED_VALUE"""),"")</f>
        <v/>
      </c>
      <c r="O371" s="8"/>
      <c r="P371" s="8"/>
    </row>
    <row r="372">
      <c r="A372" s="8"/>
      <c r="B372" s="25"/>
      <c r="C372" s="385"/>
      <c r="D372" s="385"/>
      <c r="E372" s="392"/>
      <c r="F372" s="8"/>
      <c r="G372" s="8"/>
      <c r="H372" s="389"/>
      <c r="I372" s="8" t="b">
        <v>0</v>
      </c>
      <c r="J372" s="388" t="str">
        <f>IFERROR(__xludf.DUMMYFUNCTION("""COMPUTED_VALUE"""),"")</f>
        <v/>
      </c>
      <c r="K372" s="8"/>
      <c r="L372" s="8"/>
      <c r="M372" s="8" t="str">
        <f>IFERROR(__xludf.DUMMYFUNCTION("""COMPUTED_VALUE"""),"")</f>
        <v/>
      </c>
      <c r="N372" s="8" t="str">
        <f>IFERROR(__xludf.DUMMYFUNCTION("""COMPUTED_VALUE"""),"")</f>
        <v/>
      </c>
      <c r="O372" s="8"/>
      <c r="P372" s="8"/>
    </row>
    <row r="373">
      <c r="A373" s="8"/>
      <c r="B373" s="25"/>
      <c r="C373" s="385"/>
      <c r="D373" s="385"/>
      <c r="E373" s="392"/>
      <c r="F373" s="8"/>
      <c r="G373" s="8"/>
      <c r="H373" s="389"/>
      <c r="I373" s="8" t="b">
        <v>0</v>
      </c>
      <c r="J373" s="388" t="str">
        <f>IFERROR(__xludf.DUMMYFUNCTION("""COMPUTED_VALUE"""),"")</f>
        <v/>
      </c>
      <c r="K373" s="8"/>
      <c r="L373" s="8"/>
      <c r="M373" s="8" t="str">
        <f>IFERROR(__xludf.DUMMYFUNCTION("""COMPUTED_VALUE"""),"")</f>
        <v/>
      </c>
      <c r="N373" s="8" t="str">
        <f>IFERROR(__xludf.DUMMYFUNCTION("""COMPUTED_VALUE"""),"")</f>
        <v/>
      </c>
      <c r="O373" s="8"/>
      <c r="P373" s="8"/>
    </row>
    <row r="374">
      <c r="A374" s="8"/>
      <c r="B374" s="25"/>
      <c r="C374" s="385"/>
      <c r="D374" s="385"/>
      <c r="E374" s="392"/>
      <c r="F374" s="8"/>
      <c r="G374" s="8"/>
      <c r="H374" s="389"/>
      <c r="I374" s="8" t="b">
        <v>0</v>
      </c>
      <c r="J374" s="388" t="str">
        <f>IFERROR(__xludf.DUMMYFUNCTION("""COMPUTED_VALUE"""),"")</f>
        <v/>
      </c>
      <c r="K374" s="8"/>
      <c r="L374" s="8"/>
      <c r="M374" s="8" t="str">
        <f>IFERROR(__xludf.DUMMYFUNCTION("""COMPUTED_VALUE"""),"")</f>
        <v/>
      </c>
      <c r="N374" s="8" t="str">
        <f>IFERROR(__xludf.DUMMYFUNCTION("""COMPUTED_VALUE"""),"")</f>
        <v/>
      </c>
      <c r="O374" s="8"/>
      <c r="P374" s="8"/>
    </row>
    <row r="375">
      <c r="A375" s="8"/>
      <c r="B375" s="25"/>
      <c r="C375" s="385"/>
      <c r="D375" s="385"/>
      <c r="E375" s="392"/>
      <c r="F375" s="8"/>
      <c r="G375" s="8"/>
      <c r="H375" s="389"/>
      <c r="I375" s="8" t="b">
        <v>0</v>
      </c>
      <c r="J375" s="388" t="str">
        <f>IFERROR(__xludf.DUMMYFUNCTION("""COMPUTED_VALUE"""),"")</f>
        <v/>
      </c>
      <c r="K375" s="8"/>
      <c r="L375" s="8"/>
      <c r="M375" s="8" t="str">
        <f>IFERROR(__xludf.DUMMYFUNCTION("""COMPUTED_VALUE"""),"")</f>
        <v/>
      </c>
      <c r="N375" s="8" t="str">
        <f>IFERROR(__xludf.DUMMYFUNCTION("""COMPUTED_VALUE"""),"")</f>
        <v/>
      </c>
      <c r="O375" s="8"/>
      <c r="P375" s="8"/>
    </row>
    <row r="376">
      <c r="A376" s="8"/>
      <c r="B376" s="25"/>
      <c r="C376" s="385"/>
      <c r="D376" s="385"/>
      <c r="E376" s="392"/>
      <c r="F376" s="8"/>
      <c r="G376" s="8"/>
      <c r="H376" s="389"/>
      <c r="I376" s="8" t="b">
        <v>0</v>
      </c>
      <c r="J376" s="388" t="str">
        <f>IFERROR(__xludf.DUMMYFUNCTION("""COMPUTED_VALUE"""),"")</f>
        <v/>
      </c>
      <c r="K376" s="8"/>
      <c r="L376" s="8"/>
      <c r="M376" s="8" t="str">
        <f>IFERROR(__xludf.DUMMYFUNCTION("""COMPUTED_VALUE"""),"")</f>
        <v/>
      </c>
      <c r="N376" s="8" t="str">
        <f>IFERROR(__xludf.DUMMYFUNCTION("""COMPUTED_VALUE"""),"")</f>
        <v/>
      </c>
      <c r="O376" s="8"/>
      <c r="P376" s="8"/>
    </row>
    <row r="377">
      <c r="A377" s="8"/>
      <c r="B377" s="25"/>
      <c r="C377" s="385"/>
      <c r="D377" s="385"/>
      <c r="E377" s="392"/>
      <c r="F377" s="8"/>
      <c r="G377" s="8"/>
      <c r="H377" s="389"/>
      <c r="I377" s="8" t="b">
        <v>0</v>
      </c>
      <c r="J377" s="388" t="str">
        <f>IFERROR(__xludf.DUMMYFUNCTION("""COMPUTED_VALUE"""),"")</f>
        <v/>
      </c>
      <c r="K377" s="8"/>
      <c r="L377" s="8"/>
      <c r="M377" s="8" t="str">
        <f>IFERROR(__xludf.DUMMYFUNCTION("""COMPUTED_VALUE"""),"")</f>
        <v/>
      </c>
      <c r="N377" s="8" t="str">
        <f>IFERROR(__xludf.DUMMYFUNCTION("""COMPUTED_VALUE"""),"")</f>
        <v/>
      </c>
      <c r="O377" s="8"/>
      <c r="P377" s="8"/>
    </row>
    <row r="378">
      <c r="A378" s="8"/>
      <c r="B378" s="25"/>
      <c r="C378" s="385"/>
      <c r="D378" s="385"/>
      <c r="E378" s="392"/>
      <c r="F378" s="8"/>
      <c r="G378" s="8"/>
      <c r="H378" s="389"/>
      <c r="I378" s="8" t="b">
        <v>0</v>
      </c>
      <c r="J378" s="388" t="str">
        <f>IFERROR(__xludf.DUMMYFUNCTION("""COMPUTED_VALUE"""),"")</f>
        <v/>
      </c>
      <c r="K378" s="8"/>
      <c r="L378" s="8"/>
      <c r="M378" s="8" t="str">
        <f>IFERROR(__xludf.DUMMYFUNCTION("""COMPUTED_VALUE"""),"")</f>
        <v/>
      </c>
      <c r="N378" s="8" t="str">
        <f>IFERROR(__xludf.DUMMYFUNCTION("""COMPUTED_VALUE"""),"")</f>
        <v/>
      </c>
      <c r="O378" s="8"/>
      <c r="P378" s="8"/>
    </row>
    <row r="379">
      <c r="A379" s="8"/>
      <c r="B379" s="25"/>
      <c r="C379" s="385"/>
      <c r="D379" s="385"/>
      <c r="E379" s="392"/>
      <c r="F379" s="8"/>
      <c r="G379" s="8"/>
      <c r="H379" s="389"/>
      <c r="I379" s="8" t="b">
        <v>0</v>
      </c>
      <c r="J379" s="388" t="str">
        <f>IFERROR(__xludf.DUMMYFUNCTION("""COMPUTED_VALUE"""),"")</f>
        <v/>
      </c>
      <c r="K379" s="8"/>
      <c r="L379" s="8"/>
      <c r="M379" s="8" t="str">
        <f>IFERROR(__xludf.DUMMYFUNCTION("""COMPUTED_VALUE"""),"")</f>
        <v/>
      </c>
      <c r="N379" s="8" t="str">
        <f>IFERROR(__xludf.DUMMYFUNCTION("""COMPUTED_VALUE"""),"")</f>
        <v/>
      </c>
      <c r="O379" s="8"/>
      <c r="P379" s="8"/>
    </row>
    <row r="380">
      <c r="A380" s="8"/>
      <c r="B380" s="25"/>
      <c r="C380" s="385"/>
      <c r="D380" s="385"/>
      <c r="E380" s="392"/>
      <c r="F380" s="8"/>
      <c r="G380" s="8"/>
      <c r="H380" s="389"/>
      <c r="I380" s="8" t="b">
        <v>0</v>
      </c>
      <c r="J380" s="388" t="str">
        <f>IFERROR(__xludf.DUMMYFUNCTION("""COMPUTED_VALUE"""),"")</f>
        <v/>
      </c>
      <c r="K380" s="8"/>
      <c r="L380" s="8"/>
      <c r="M380" s="8" t="str">
        <f>IFERROR(__xludf.DUMMYFUNCTION("""COMPUTED_VALUE"""),"")</f>
        <v/>
      </c>
      <c r="N380" s="8" t="str">
        <f>IFERROR(__xludf.DUMMYFUNCTION("""COMPUTED_VALUE"""),"")</f>
        <v/>
      </c>
      <c r="O380" s="8"/>
      <c r="P380" s="8"/>
    </row>
    <row r="381">
      <c r="A381" s="8"/>
      <c r="B381" s="25"/>
      <c r="C381" s="385"/>
      <c r="D381" s="385"/>
      <c r="E381" s="392"/>
      <c r="F381" s="8"/>
      <c r="G381" s="8"/>
      <c r="H381" s="389"/>
      <c r="I381" s="8" t="b">
        <v>0</v>
      </c>
      <c r="J381" s="388" t="str">
        <f>IFERROR(__xludf.DUMMYFUNCTION("""COMPUTED_VALUE"""),"")</f>
        <v/>
      </c>
      <c r="K381" s="8"/>
      <c r="L381" s="8"/>
      <c r="M381" s="8" t="str">
        <f>IFERROR(__xludf.DUMMYFUNCTION("""COMPUTED_VALUE"""),"")</f>
        <v/>
      </c>
      <c r="N381" s="8" t="str">
        <f>IFERROR(__xludf.DUMMYFUNCTION("""COMPUTED_VALUE"""),"")</f>
        <v/>
      </c>
      <c r="O381" s="8"/>
      <c r="P381" s="8"/>
    </row>
    <row r="382">
      <c r="A382" s="8"/>
      <c r="B382" s="25"/>
      <c r="C382" s="385"/>
      <c r="D382" s="385"/>
      <c r="E382" s="392"/>
      <c r="F382" s="8"/>
      <c r="G382" s="8"/>
      <c r="H382" s="389"/>
      <c r="I382" s="8" t="b">
        <v>0</v>
      </c>
      <c r="J382" s="388" t="str">
        <f>IFERROR(__xludf.DUMMYFUNCTION("""COMPUTED_VALUE"""),"")</f>
        <v/>
      </c>
      <c r="K382" s="8"/>
      <c r="L382" s="8"/>
      <c r="M382" s="8" t="str">
        <f>IFERROR(__xludf.DUMMYFUNCTION("""COMPUTED_VALUE"""),"")</f>
        <v/>
      </c>
      <c r="N382" s="8" t="str">
        <f>IFERROR(__xludf.DUMMYFUNCTION("""COMPUTED_VALUE"""),"")</f>
        <v/>
      </c>
      <c r="O382" s="8"/>
      <c r="P382" s="8"/>
    </row>
    <row r="383">
      <c r="A383" s="8"/>
      <c r="B383" s="25"/>
      <c r="C383" s="385"/>
      <c r="D383" s="385"/>
      <c r="E383" s="392"/>
      <c r="F383" s="8"/>
      <c r="G383" s="8"/>
      <c r="H383" s="389"/>
      <c r="I383" s="8" t="b">
        <v>0</v>
      </c>
      <c r="J383" s="388" t="str">
        <f>IFERROR(__xludf.DUMMYFUNCTION("""COMPUTED_VALUE"""),"")</f>
        <v/>
      </c>
      <c r="K383" s="8"/>
      <c r="L383" s="8"/>
      <c r="M383" s="8" t="str">
        <f>IFERROR(__xludf.DUMMYFUNCTION("""COMPUTED_VALUE"""),"")</f>
        <v/>
      </c>
      <c r="N383" s="8" t="str">
        <f>IFERROR(__xludf.DUMMYFUNCTION("""COMPUTED_VALUE"""),"")</f>
        <v/>
      </c>
      <c r="O383" s="8"/>
      <c r="P383" s="8"/>
    </row>
    <row r="384">
      <c r="A384" s="8"/>
      <c r="B384" s="25"/>
      <c r="C384" s="385"/>
      <c r="D384" s="385"/>
      <c r="E384" s="392"/>
      <c r="F384" s="8"/>
      <c r="G384" s="8"/>
      <c r="H384" s="389"/>
      <c r="I384" s="8" t="b">
        <v>0</v>
      </c>
      <c r="J384" s="388" t="str">
        <f>IFERROR(__xludf.DUMMYFUNCTION("""COMPUTED_VALUE"""),"")</f>
        <v/>
      </c>
      <c r="K384" s="8"/>
      <c r="L384" s="8"/>
      <c r="M384" s="8" t="str">
        <f>IFERROR(__xludf.DUMMYFUNCTION("""COMPUTED_VALUE"""),"")</f>
        <v/>
      </c>
      <c r="N384" s="8" t="str">
        <f>IFERROR(__xludf.DUMMYFUNCTION("""COMPUTED_VALUE"""),"")</f>
        <v/>
      </c>
      <c r="O384" s="8"/>
      <c r="P384" s="8"/>
    </row>
    <row r="385">
      <c r="A385" s="8"/>
      <c r="B385" s="25"/>
      <c r="C385" s="385"/>
      <c r="D385" s="385"/>
      <c r="E385" s="392"/>
      <c r="F385" s="8"/>
      <c r="G385" s="8"/>
      <c r="H385" s="389"/>
      <c r="I385" s="8" t="b">
        <v>0</v>
      </c>
      <c r="J385" s="388" t="str">
        <f>IFERROR(__xludf.DUMMYFUNCTION("""COMPUTED_VALUE"""),"")</f>
        <v/>
      </c>
      <c r="K385" s="8"/>
      <c r="L385" s="8"/>
      <c r="M385" s="8" t="str">
        <f>IFERROR(__xludf.DUMMYFUNCTION("""COMPUTED_VALUE"""),"")</f>
        <v/>
      </c>
      <c r="N385" s="8" t="str">
        <f>IFERROR(__xludf.DUMMYFUNCTION("""COMPUTED_VALUE"""),"")</f>
        <v/>
      </c>
      <c r="O385" s="8"/>
      <c r="P385" s="8"/>
    </row>
    <row r="386">
      <c r="A386" s="8"/>
      <c r="B386" s="25"/>
      <c r="C386" s="385"/>
      <c r="D386" s="385"/>
      <c r="E386" s="392"/>
      <c r="F386" s="8"/>
      <c r="G386" s="8"/>
      <c r="H386" s="389"/>
      <c r="I386" s="8" t="b">
        <v>0</v>
      </c>
      <c r="J386" s="388" t="str">
        <f>IFERROR(__xludf.DUMMYFUNCTION("""COMPUTED_VALUE"""),"")</f>
        <v/>
      </c>
      <c r="K386" s="8"/>
      <c r="L386" s="8"/>
      <c r="M386" s="8" t="str">
        <f>IFERROR(__xludf.DUMMYFUNCTION("""COMPUTED_VALUE"""),"")</f>
        <v/>
      </c>
      <c r="N386" s="8" t="str">
        <f>IFERROR(__xludf.DUMMYFUNCTION("""COMPUTED_VALUE"""),"")</f>
        <v/>
      </c>
      <c r="O386" s="8"/>
      <c r="P386" s="8"/>
    </row>
    <row r="387">
      <c r="A387" s="8"/>
      <c r="B387" s="25"/>
      <c r="C387" s="385"/>
      <c r="D387" s="385"/>
      <c r="E387" s="392"/>
      <c r="F387" s="8"/>
      <c r="G387" s="8"/>
      <c r="H387" s="389"/>
      <c r="I387" s="8" t="b">
        <v>0</v>
      </c>
      <c r="J387" s="388" t="str">
        <f>IFERROR(__xludf.DUMMYFUNCTION("""COMPUTED_VALUE"""),"")</f>
        <v/>
      </c>
      <c r="K387" s="8"/>
      <c r="L387" s="8"/>
      <c r="M387" s="8" t="str">
        <f>IFERROR(__xludf.DUMMYFUNCTION("""COMPUTED_VALUE"""),"")</f>
        <v/>
      </c>
      <c r="N387" s="8" t="str">
        <f>IFERROR(__xludf.DUMMYFUNCTION("""COMPUTED_VALUE"""),"")</f>
        <v/>
      </c>
      <c r="O387" s="8"/>
      <c r="P387" s="8"/>
    </row>
    <row r="388">
      <c r="A388" s="8"/>
      <c r="B388" s="25"/>
      <c r="C388" s="385"/>
      <c r="D388" s="385"/>
      <c r="E388" s="392"/>
      <c r="F388" s="8"/>
      <c r="G388" s="8"/>
      <c r="H388" s="389"/>
      <c r="I388" s="8" t="b">
        <v>0</v>
      </c>
      <c r="J388" s="388" t="str">
        <f>IFERROR(__xludf.DUMMYFUNCTION("""COMPUTED_VALUE"""),"")</f>
        <v/>
      </c>
      <c r="K388" s="8"/>
      <c r="L388" s="8"/>
      <c r="M388" s="8" t="str">
        <f>IFERROR(__xludf.DUMMYFUNCTION("""COMPUTED_VALUE"""),"")</f>
        <v/>
      </c>
      <c r="N388" s="8" t="str">
        <f>IFERROR(__xludf.DUMMYFUNCTION("""COMPUTED_VALUE"""),"")</f>
        <v/>
      </c>
      <c r="O388" s="8"/>
      <c r="P388" s="8"/>
    </row>
    <row r="389">
      <c r="A389" s="8"/>
      <c r="B389" s="25"/>
      <c r="C389" s="385"/>
      <c r="D389" s="385"/>
      <c r="E389" s="392"/>
      <c r="F389" s="8"/>
      <c r="G389" s="8"/>
      <c r="H389" s="389"/>
      <c r="I389" s="8" t="b">
        <v>0</v>
      </c>
      <c r="J389" s="388" t="str">
        <f>IFERROR(__xludf.DUMMYFUNCTION("""COMPUTED_VALUE"""),"")</f>
        <v/>
      </c>
      <c r="K389" s="8"/>
      <c r="L389" s="8"/>
      <c r="M389" s="8" t="str">
        <f>IFERROR(__xludf.DUMMYFUNCTION("""COMPUTED_VALUE"""),"")</f>
        <v/>
      </c>
      <c r="N389" s="8" t="str">
        <f>IFERROR(__xludf.DUMMYFUNCTION("""COMPUTED_VALUE"""),"")</f>
        <v/>
      </c>
      <c r="O389" s="8"/>
      <c r="P389" s="8"/>
    </row>
    <row r="390">
      <c r="A390" s="8"/>
      <c r="B390" s="25"/>
      <c r="C390" s="385"/>
      <c r="D390" s="385"/>
      <c r="E390" s="392"/>
      <c r="F390" s="8"/>
      <c r="G390" s="8"/>
      <c r="H390" s="389"/>
      <c r="I390" s="8" t="b">
        <v>0</v>
      </c>
      <c r="J390" s="388" t="str">
        <f>IFERROR(__xludf.DUMMYFUNCTION("""COMPUTED_VALUE"""),"")</f>
        <v/>
      </c>
      <c r="K390" s="8"/>
      <c r="L390" s="8"/>
      <c r="M390" s="8" t="str">
        <f>IFERROR(__xludf.DUMMYFUNCTION("""COMPUTED_VALUE"""),"")</f>
        <v/>
      </c>
      <c r="N390" s="8" t="str">
        <f>IFERROR(__xludf.DUMMYFUNCTION("""COMPUTED_VALUE"""),"")</f>
        <v/>
      </c>
      <c r="O390" s="8"/>
      <c r="P390" s="8"/>
    </row>
    <row r="391">
      <c r="A391" s="8"/>
      <c r="B391" s="25"/>
      <c r="C391" s="385"/>
      <c r="D391" s="385"/>
      <c r="E391" s="392"/>
      <c r="F391" s="8"/>
      <c r="G391" s="8"/>
      <c r="H391" s="389"/>
      <c r="I391" s="8" t="b">
        <v>0</v>
      </c>
      <c r="J391" s="388" t="str">
        <f>IFERROR(__xludf.DUMMYFUNCTION("""COMPUTED_VALUE"""),"")</f>
        <v/>
      </c>
      <c r="K391" s="8"/>
      <c r="L391" s="8"/>
      <c r="M391" s="8" t="str">
        <f>IFERROR(__xludf.DUMMYFUNCTION("""COMPUTED_VALUE"""),"")</f>
        <v/>
      </c>
      <c r="N391" s="8" t="str">
        <f>IFERROR(__xludf.DUMMYFUNCTION("""COMPUTED_VALUE"""),"")</f>
        <v/>
      </c>
      <c r="O391" s="8"/>
      <c r="P391" s="8"/>
    </row>
    <row r="392">
      <c r="A392" s="8"/>
      <c r="B392" s="25"/>
      <c r="C392" s="385"/>
      <c r="D392" s="385"/>
      <c r="E392" s="392"/>
      <c r="F392" s="8"/>
      <c r="G392" s="8"/>
      <c r="H392" s="389"/>
      <c r="I392" s="8" t="b">
        <v>0</v>
      </c>
      <c r="J392" s="388" t="str">
        <f>IFERROR(__xludf.DUMMYFUNCTION("""COMPUTED_VALUE"""),"")</f>
        <v/>
      </c>
      <c r="K392" s="8"/>
      <c r="L392" s="8"/>
      <c r="M392" s="8" t="str">
        <f>IFERROR(__xludf.DUMMYFUNCTION("""COMPUTED_VALUE"""),"")</f>
        <v/>
      </c>
      <c r="N392" s="8" t="str">
        <f>IFERROR(__xludf.DUMMYFUNCTION("""COMPUTED_VALUE"""),"")</f>
        <v/>
      </c>
      <c r="O392" s="8"/>
      <c r="P392" s="8"/>
    </row>
    <row r="393">
      <c r="A393" s="8"/>
      <c r="B393" s="25"/>
      <c r="C393" s="385"/>
      <c r="D393" s="385"/>
      <c r="E393" s="392"/>
      <c r="F393" s="8"/>
      <c r="G393" s="8"/>
      <c r="H393" s="389"/>
      <c r="I393" s="8" t="b">
        <v>0</v>
      </c>
      <c r="J393" s="388" t="str">
        <f>IFERROR(__xludf.DUMMYFUNCTION("""COMPUTED_VALUE"""),"")</f>
        <v/>
      </c>
      <c r="K393" s="8"/>
      <c r="L393" s="8"/>
      <c r="M393" s="8" t="str">
        <f>IFERROR(__xludf.DUMMYFUNCTION("""COMPUTED_VALUE"""),"")</f>
        <v/>
      </c>
      <c r="N393" s="8" t="str">
        <f>IFERROR(__xludf.DUMMYFUNCTION("""COMPUTED_VALUE"""),"")</f>
        <v/>
      </c>
      <c r="O393" s="8"/>
      <c r="P393" s="8"/>
    </row>
    <row r="394">
      <c r="A394" s="8"/>
      <c r="B394" s="25"/>
      <c r="C394" s="385"/>
      <c r="D394" s="385"/>
      <c r="E394" s="392"/>
      <c r="F394" s="8"/>
      <c r="G394" s="8"/>
      <c r="H394" s="389"/>
      <c r="I394" s="8" t="b">
        <v>0</v>
      </c>
      <c r="J394" s="388" t="str">
        <f>IFERROR(__xludf.DUMMYFUNCTION("""COMPUTED_VALUE"""),"")</f>
        <v/>
      </c>
      <c r="K394" s="8"/>
      <c r="L394" s="8"/>
      <c r="M394" s="8" t="str">
        <f>IFERROR(__xludf.DUMMYFUNCTION("""COMPUTED_VALUE"""),"")</f>
        <v/>
      </c>
      <c r="N394" s="8" t="str">
        <f>IFERROR(__xludf.DUMMYFUNCTION("""COMPUTED_VALUE"""),"")</f>
        <v/>
      </c>
      <c r="O394" s="8"/>
      <c r="P394" s="8"/>
    </row>
    <row r="395">
      <c r="A395" s="8"/>
      <c r="B395" s="25"/>
      <c r="C395" s="385"/>
      <c r="D395" s="385"/>
      <c r="E395" s="392"/>
      <c r="F395" s="8"/>
      <c r="G395" s="8"/>
      <c r="H395" s="389"/>
      <c r="I395" s="8" t="b">
        <v>0</v>
      </c>
      <c r="J395" s="388" t="str">
        <f>IFERROR(__xludf.DUMMYFUNCTION("""COMPUTED_VALUE"""),"")</f>
        <v/>
      </c>
      <c r="K395" s="8"/>
      <c r="L395" s="8"/>
      <c r="M395" s="8" t="str">
        <f>IFERROR(__xludf.DUMMYFUNCTION("""COMPUTED_VALUE"""),"")</f>
        <v/>
      </c>
      <c r="N395" s="8" t="str">
        <f>IFERROR(__xludf.DUMMYFUNCTION("""COMPUTED_VALUE"""),"")</f>
        <v/>
      </c>
      <c r="O395" s="8"/>
      <c r="P395" s="8"/>
    </row>
    <row r="396">
      <c r="A396" s="8"/>
      <c r="B396" s="25"/>
      <c r="C396" s="385"/>
      <c r="D396" s="385"/>
      <c r="E396" s="392"/>
      <c r="F396" s="8"/>
      <c r="G396" s="8"/>
      <c r="H396" s="389"/>
      <c r="I396" s="8" t="b">
        <v>0</v>
      </c>
      <c r="J396" s="388" t="str">
        <f>IFERROR(__xludf.DUMMYFUNCTION("""COMPUTED_VALUE"""),"")</f>
        <v/>
      </c>
      <c r="K396" s="8"/>
      <c r="L396" s="8"/>
      <c r="M396" s="8" t="str">
        <f>IFERROR(__xludf.DUMMYFUNCTION("""COMPUTED_VALUE"""),"")</f>
        <v/>
      </c>
      <c r="N396" s="8" t="str">
        <f>IFERROR(__xludf.DUMMYFUNCTION("""COMPUTED_VALUE"""),"")</f>
        <v/>
      </c>
      <c r="O396" s="8"/>
      <c r="P396" s="8"/>
    </row>
    <row r="397">
      <c r="A397" s="8"/>
      <c r="B397" s="25"/>
      <c r="C397" s="385"/>
      <c r="D397" s="385"/>
      <c r="E397" s="392"/>
      <c r="F397" s="8"/>
      <c r="G397" s="8"/>
      <c r="H397" s="389"/>
      <c r="I397" s="8" t="b">
        <v>0</v>
      </c>
      <c r="J397" s="388" t="str">
        <f>IFERROR(__xludf.DUMMYFUNCTION("""COMPUTED_VALUE"""),"")</f>
        <v/>
      </c>
      <c r="K397" s="8"/>
      <c r="L397" s="8"/>
      <c r="M397" s="8" t="str">
        <f>IFERROR(__xludf.DUMMYFUNCTION("""COMPUTED_VALUE"""),"")</f>
        <v/>
      </c>
      <c r="N397" s="8" t="str">
        <f>IFERROR(__xludf.DUMMYFUNCTION("""COMPUTED_VALUE"""),"")</f>
        <v/>
      </c>
      <c r="O397" s="8"/>
      <c r="P397" s="8"/>
    </row>
    <row r="398">
      <c r="A398" s="8"/>
      <c r="B398" s="25"/>
      <c r="C398" s="385"/>
      <c r="D398" s="385"/>
      <c r="E398" s="392"/>
      <c r="F398" s="8"/>
      <c r="G398" s="8"/>
      <c r="H398" s="389"/>
      <c r="I398" s="8" t="b">
        <v>0</v>
      </c>
      <c r="J398" s="388" t="str">
        <f>IFERROR(__xludf.DUMMYFUNCTION("""COMPUTED_VALUE"""),"")</f>
        <v/>
      </c>
      <c r="K398" s="8"/>
      <c r="L398" s="8"/>
      <c r="M398" s="8" t="str">
        <f>IFERROR(__xludf.DUMMYFUNCTION("""COMPUTED_VALUE"""),"")</f>
        <v/>
      </c>
      <c r="N398" s="8" t="str">
        <f>IFERROR(__xludf.DUMMYFUNCTION("""COMPUTED_VALUE"""),"")</f>
        <v/>
      </c>
      <c r="O398" s="8"/>
      <c r="P398" s="8"/>
    </row>
    <row r="399">
      <c r="A399" s="8"/>
      <c r="B399" s="25"/>
      <c r="C399" s="385"/>
      <c r="D399" s="385"/>
      <c r="E399" s="392"/>
      <c r="F399" s="8"/>
      <c r="G399" s="8"/>
      <c r="H399" s="389"/>
      <c r="I399" s="8" t="b">
        <v>0</v>
      </c>
      <c r="J399" s="388" t="str">
        <f>IFERROR(__xludf.DUMMYFUNCTION("""COMPUTED_VALUE"""),"")</f>
        <v/>
      </c>
      <c r="K399" s="8"/>
      <c r="L399" s="8"/>
      <c r="M399" s="8" t="str">
        <f>IFERROR(__xludf.DUMMYFUNCTION("""COMPUTED_VALUE"""),"")</f>
        <v/>
      </c>
      <c r="N399" s="8" t="str">
        <f>IFERROR(__xludf.DUMMYFUNCTION("""COMPUTED_VALUE"""),"")</f>
        <v/>
      </c>
      <c r="O399" s="8"/>
      <c r="P399" s="8"/>
    </row>
    <row r="400">
      <c r="A400" s="8"/>
      <c r="B400" s="25"/>
      <c r="C400" s="385"/>
      <c r="D400" s="385"/>
      <c r="E400" s="392"/>
      <c r="F400" s="8"/>
      <c r="G400" s="8"/>
      <c r="H400" s="389"/>
      <c r="I400" s="8" t="b">
        <v>0</v>
      </c>
      <c r="J400" s="388" t="str">
        <f>IFERROR(__xludf.DUMMYFUNCTION("""COMPUTED_VALUE"""),"")</f>
        <v/>
      </c>
      <c r="K400" s="8"/>
      <c r="L400" s="8"/>
      <c r="M400" s="8" t="str">
        <f>IFERROR(__xludf.DUMMYFUNCTION("""COMPUTED_VALUE"""),"")</f>
        <v/>
      </c>
      <c r="N400" s="8" t="str">
        <f>IFERROR(__xludf.DUMMYFUNCTION("""COMPUTED_VALUE"""),"")</f>
        <v/>
      </c>
      <c r="O400" s="8"/>
      <c r="P400" s="8"/>
    </row>
    <row r="401">
      <c r="A401" s="8"/>
      <c r="B401" s="25"/>
      <c r="C401" s="385"/>
      <c r="D401" s="385"/>
      <c r="E401" s="392"/>
      <c r="F401" s="8"/>
      <c r="G401" s="8"/>
      <c r="H401" s="389"/>
      <c r="I401" s="8" t="b">
        <v>0</v>
      </c>
      <c r="J401" s="388" t="str">
        <f>IFERROR(__xludf.DUMMYFUNCTION("""COMPUTED_VALUE"""),"")</f>
        <v/>
      </c>
      <c r="K401" s="8"/>
      <c r="L401" s="8"/>
      <c r="M401" s="8" t="str">
        <f>IFERROR(__xludf.DUMMYFUNCTION("""COMPUTED_VALUE"""),"")</f>
        <v/>
      </c>
      <c r="N401" s="8" t="str">
        <f>IFERROR(__xludf.DUMMYFUNCTION("""COMPUTED_VALUE"""),"")</f>
        <v/>
      </c>
      <c r="O401" s="8"/>
      <c r="P401" s="8"/>
    </row>
    <row r="402">
      <c r="A402" s="8"/>
      <c r="B402" s="25"/>
      <c r="C402" s="385"/>
      <c r="D402" s="385"/>
      <c r="E402" s="392"/>
      <c r="F402" s="8"/>
      <c r="G402" s="8"/>
      <c r="H402" s="389"/>
      <c r="I402" s="8" t="b">
        <v>0</v>
      </c>
      <c r="J402" s="388" t="str">
        <f>IFERROR(__xludf.DUMMYFUNCTION("""COMPUTED_VALUE"""),"")</f>
        <v/>
      </c>
      <c r="K402" s="8"/>
      <c r="L402" s="8"/>
      <c r="M402" s="8" t="str">
        <f>IFERROR(__xludf.DUMMYFUNCTION("""COMPUTED_VALUE"""),"")</f>
        <v/>
      </c>
      <c r="N402" s="8" t="str">
        <f>IFERROR(__xludf.DUMMYFUNCTION("""COMPUTED_VALUE"""),"")</f>
        <v/>
      </c>
      <c r="O402" s="8"/>
      <c r="P402" s="8"/>
    </row>
    <row r="403">
      <c r="A403" s="8"/>
      <c r="B403" s="25"/>
      <c r="C403" s="385"/>
      <c r="D403" s="385"/>
      <c r="E403" s="392"/>
      <c r="F403" s="8"/>
      <c r="G403" s="8"/>
      <c r="H403" s="389"/>
      <c r="I403" s="8" t="b">
        <v>0</v>
      </c>
      <c r="J403" s="388" t="str">
        <f>IFERROR(__xludf.DUMMYFUNCTION("""COMPUTED_VALUE"""),"")</f>
        <v/>
      </c>
      <c r="K403" s="8"/>
      <c r="L403" s="8"/>
      <c r="M403" s="8" t="str">
        <f>IFERROR(__xludf.DUMMYFUNCTION("""COMPUTED_VALUE"""),"")</f>
        <v/>
      </c>
      <c r="N403" s="8" t="str">
        <f>IFERROR(__xludf.DUMMYFUNCTION("""COMPUTED_VALUE"""),"")</f>
        <v/>
      </c>
      <c r="O403" s="8"/>
      <c r="P403" s="8"/>
    </row>
    <row r="404">
      <c r="A404" s="8"/>
      <c r="B404" s="25"/>
      <c r="C404" s="385"/>
      <c r="D404" s="385"/>
      <c r="E404" s="392"/>
      <c r="F404" s="8"/>
      <c r="G404" s="8"/>
      <c r="H404" s="389"/>
      <c r="I404" s="8" t="b">
        <v>0</v>
      </c>
      <c r="J404" s="388" t="str">
        <f>IFERROR(__xludf.DUMMYFUNCTION("""COMPUTED_VALUE"""),"")</f>
        <v/>
      </c>
      <c r="K404" s="8"/>
      <c r="L404" s="8"/>
      <c r="M404" s="8" t="str">
        <f>IFERROR(__xludf.DUMMYFUNCTION("""COMPUTED_VALUE"""),"")</f>
        <v/>
      </c>
      <c r="N404" s="8" t="str">
        <f>IFERROR(__xludf.DUMMYFUNCTION("""COMPUTED_VALUE"""),"")</f>
        <v/>
      </c>
      <c r="O404" s="8"/>
      <c r="P404" s="8"/>
    </row>
    <row r="405">
      <c r="A405" s="8"/>
      <c r="B405" s="25"/>
      <c r="C405" s="385"/>
      <c r="D405" s="385"/>
      <c r="E405" s="392"/>
      <c r="F405" s="8"/>
      <c r="G405" s="8"/>
      <c r="H405" s="389"/>
      <c r="I405" s="8" t="b">
        <v>0</v>
      </c>
      <c r="J405" s="388" t="str">
        <f>IFERROR(__xludf.DUMMYFUNCTION("""COMPUTED_VALUE"""),"")</f>
        <v/>
      </c>
      <c r="K405" s="8"/>
      <c r="L405" s="8"/>
      <c r="M405" s="8" t="str">
        <f>IFERROR(__xludf.DUMMYFUNCTION("""COMPUTED_VALUE"""),"")</f>
        <v/>
      </c>
      <c r="N405" s="8" t="str">
        <f>IFERROR(__xludf.DUMMYFUNCTION("""COMPUTED_VALUE"""),"")</f>
        <v/>
      </c>
      <c r="O405" s="8"/>
      <c r="P405" s="8"/>
    </row>
    <row r="406">
      <c r="A406" s="8"/>
      <c r="B406" s="25"/>
      <c r="C406" s="385"/>
      <c r="D406" s="385"/>
      <c r="E406" s="392"/>
      <c r="F406" s="8"/>
      <c r="G406" s="8"/>
      <c r="H406" s="389"/>
      <c r="I406" s="8" t="b">
        <v>0</v>
      </c>
      <c r="J406" s="388" t="str">
        <f>IFERROR(__xludf.DUMMYFUNCTION("""COMPUTED_VALUE"""),"")</f>
        <v/>
      </c>
      <c r="K406" s="8"/>
      <c r="L406" s="8"/>
      <c r="M406" s="8" t="str">
        <f>IFERROR(__xludf.DUMMYFUNCTION("""COMPUTED_VALUE"""),"")</f>
        <v/>
      </c>
      <c r="N406" s="8" t="str">
        <f>IFERROR(__xludf.DUMMYFUNCTION("""COMPUTED_VALUE"""),"")</f>
        <v/>
      </c>
      <c r="O406" s="8"/>
      <c r="P406" s="8"/>
    </row>
    <row r="407">
      <c r="A407" s="8"/>
      <c r="B407" s="25"/>
      <c r="C407" s="385"/>
      <c r="D407" s="385"/>
      <c r="E407" s="392"/>
      <c r="F407" s="8"/>
      <c r="G407" s="8"/>
      <c r="H407" s="389"/>
      <c r="I407" s="8" t="b">
        <v>0</v>
      </c>
      <c r="J407" s="388" t="str">
        <f>IFERROR(__xludf.DUMMYFUNCTION("""COMPUTED_VALUE"""),"")</f>
        <v/>
      </c>
      <c r="K407" s="8"/>
      <c r="L407" s="8"/>
      <c r="M407" s="8" t="str">
        <f>IFERROR(__xludf.DUMMYFUNCTION("""COMPUTED_VALUE"""),"")</f>
        <v/>
      </c>
      <c r="N407" s="8" t="str">
        <f>IFERROR(__xludf.DUMMYFUNCTION("""COMPUTED_VALUE"""),"")</f>
        <v/>
      </c>
      <c r="O407" s="8"/>
      <c r="P407" s="8"/>
    </row>
    <row r="408">
      <c r="A408" s="8"/>
      <c r="B408" s="25"/>
      <c r="C408" s="385"/>
      <c r="D408" s="385"/>
      <c r="E408" s="392"/>
      <c r="F408" s="8"/>
      <c r="G408" s="8"/>
      <c r="H408" s="389"/>
      <c r="I408" s="8" t="b">
        <v>0</v>
      </c>
      <c r="J408" s="388" t="str">
        <f>IFERROR(__xludf.DUMMYFUNCTION("""COMPUTED_VALUE"""),"")</f>
        <v/>
      </c>
      <c r="K408" s="8"/>
      <c r="L408" s="8"/>
      <c r="M408" s="8" t="str">
        <f>IFERROR(__xludf.DUMMYFUNCTION("""COMPUTED_VALUE"""),"")</f>
        <v/>
      </c>
      <c r="N408" s="8" t="str">
        <f>IFERROR(__xludf.DUMMYFUNCTION("""COMPUTED_VALUE"""),"")</f>
        <v/>
      </c>
      <c r="O408" s="8"/>
      <c r="P408" s="8"/>
    </row>
    <row r="409">
      <c r="A409" s="8"/>
      <c r="B409" s="25"/>
      <c r="C409" s="385"/>
      <c r="D409" s="385"/>
      <c r="E409" s="392"/>
      <c r="F409" s="8"/>
      <c r="G409" s="8"/>
      <c r="H409" s="389"/>
      <c r="I409" s="8" t="b">
        <v>0</v>
      </c>
      <c r="J409" s="388" t="str">
        <f>IFERROR(__xludf.DUMMYFUNCTION("""COMPUTED_VALUE"""),"")</f>
        <v/>
      </c>
      <c r="K409" s="8"/>
      <c r="L409" s="8"/>
      <c r="M409" s="8" t="str">
        <f>IFERROR(__xludf.DUMMYFUNCTION("""COMPUTED_VALUE"""),"")</f>
        <v/>
      </c>
      <c r="N409" s="8" t="str">
        <f>IFERROR(__xludf.DUMMYFUNCTION("""COMPUTED_VALUE"""),"")</f>
        <v/>
      </c>
      <c r="O409" s="8"/>
      <c r="P409" s="8"/>
    </row>
    <row r="410">
      <c r="A410" s="8"/>
      <c r="B410" s="25"/>
      <c r="C410" s="385"/>
      <c r="D410" s="385"/>
      <c r="E410" s="392"/>
      <c r="F410" s="8"/>
      <c r="G410" s="8"/>
      <c r="H410" s="389"/>
      <c r="I410" s="8" t="b">
        <v>0</v>
      </c>
      <c r="J410" s="388" t="str">
        <f>IFERROR(__xludf.DUMMYFUNCTION("""COMPUTED_VALUE"""),"")</f>
        <v/>
      </c>
      <c r="K410" s="8"/>
      <c r="L410" s="8"/>
      <c r="M410" s="8" t="str">
        <f>IFERROR(__xludf.DUMMYFUNCTION("""COMPUTED_VALUE"""),"")</f>
        <v/>
      </c>
      <c r="N410" s="8" t="str">
        <f>IFERROR(__xludf.DUMMYFUNCTION("""COMPUTED_VALUE"""),"")</f>
        <v/>
      </c>
      <c r="O410" s="8"/>
      <c r="P410" s="8"/>
    </row>
    <row r="411">
      <c r="A411" s="8"/>
      <c r="B411" s="25"/>
      <c r="C411" s="385"/>
      <c r="D411" s="385"/>
      <c r="E411" s="392"/>
      <c r="F411" s="8"/>
      <c r="G411" s="8"/>
      <c r="H411" s="389"/>
      <c r="I411" s="8" t="b">
        <v>0</v>
      </c>
      <c r="J411" s="388" t="str">
        <f>IFERROR(__xludf.DUMMYFUNCTION("""COMPUTED_VALUE"""),"")</f>
        <v/>
      </c>
      <c r="K411" s="8"/>
      <c r="L411" s="8"/>
      <c r="M411" s="8" t="str">
        <f>IFERROR(__xludf.DUMMYFUNCTION("""COMPUTED_VALUE"""),"")</f>
        <v/>
      </c>
      <c r="N411" s="8" t="str">
        <f>IFERROR(__xludf.DUMMYFUNCTION("""COMPUTED_VALUE"""),"")</f>
        <v/>
      </c>
      <c r="O411" s="8"/>
      <c r="P411" s="8"/>
    </row>
    <row r="412">
      <c r="A412" s="8"/>
      <c r="B412" s="25"/>
      <c r="C412" s="385"/>
      <c r="D412" s="385"/>
      <c r="E412" s="392"/>
      <c r="F412" s="8"/>
      <c r="G412" s="8"/>
      <c r="H412" s="389"/>
      <c r="I412" s="8" t="b">
        <v>0</v>
      </c>
      <c r="J412" s="388" t="str">
        <f>IFERROR(__xludf.DUMMYFUNCTION("""COMPUTED_VALUE"""),"")</f>
        <v/>
      </c>
      <c r="K412" s="8"/>
      <c r="L412" s="8"/>
      <c r="M412" s="8" t="str">
        <f>IFERROR(__xludf.DUMMYFUNCTION("""COMPUTED_VALUE"""),"")</f>
        <v/>
      </c>
      <c r="N412" s="8" t="str">
        <f>IFERROR(__xludf.DUMMYFUNCTION("""COMPUTED_VALUE"""),"")</f>
        <v/>
      </c>
      <c r="O412" s="8"/>
      <c r="P412" s="8"/>
    </row>
    <row r="413">
      <c r="A413" s="8"/>
      <c r="B413" s="25"/>
      <c r="C413" s="385"/>
      <c r="D413" s="385"/>
      <c r="E413" s="392"/>
      <c r="F413" s="8"/>
      <c r="G413" s="8"/>
      <c r="H413" s="389"/>
      <c r="I413" s="8" t="b">
        <v>0</v>
      </c>
      <c r="J413" s="388" t="str">
        <f>IFERROR(__xludf.DUMMYFUNCTION("""COMPUTED_VALUE"""),"")</f>
        <v/>
      </c>
      <c r="K413" s="8"/>
      <c r="L413" s="8"/>
      <c r="M413" s="8" t="str">
        <f>IFERROR(__xludf.DUMMYFUNCTION("""COMPUTED_VALUE"""),"")</f>
        <v/>
      </c>
      <c r="N413" s="8" t="str">
        <f>IFERROR(__xludf.DUMMYFUNCTION("""COMPUTED_VALUE"""),"")</f>
        <v/>
      </c>
      <c r="O413" s="8"/>
      <c r="P413" s="8"/>
    </row>
    <row r="414">
      <c r="A414" s="8"/>
      <c r="B414" s="25"/>
      <c r="C414" s="385"/>
      <c r="D414" s="385"/>
      <c r="E414" s="392"/>
      <c r="F414" s="8"/>
      <c r="G414" s="8"/>
      <c r="H414" s="389"/>
      <c r="I414" s="8" t="b">
        <v>0</v>
      </c>
      <c r="J414" s="388" t="str">
        <f>IFERROR(__xludf.DUMMYFUNCTION("""COMPUTED_VALUE"""),"")</f>
        <v/>
      </c>
      <c r="K414" s="8"/>
      <c r="L414" s="8"/>
      <c r="M414" s="8" t="str">
        <f>IFERROR(__xludf.DUMMYFUNCTION("""COMPUTED_VALUE"""),"")</f>
        <v/>
      </c>
      <c r="N414" s="8" t="str">
        <f>IFERROR(__xludf.DUMMYFUNCTION("""COMPUTED_VALUE"""),"")</f>
        <v/>
      </c>
      <c r="O414" s="8"/>
      <c r="P414" s="8"/>
    </row>
    <row r="415">
      <c r="A415" s="8"/>
      <c r="B415" s="25"/>
      <c r="C415" s="385"/>
      <c r="D415" s="385"/>
      <c r="E415" s="392"/>
      <c r="F415" s="8"/>
      <c r="G415" s="8"/>
      <c r="H415" s="389"/>
      <c r="I415" s="8" t="b">
        <v>0</v>
      </c>
      <c r="J415" s="388" t="str">
        <f>IFERROR(__xludf.DUMMYFUNCTION("""COMPUTED_VALUE"""),"")</f>
        <v/>
      </c>
      <c r="K415" s="8"/>
      <c r="L415" s="8"/>
      <c r="M415" s="8" t="str">
        <f>IFERROR(__xludf.DUMMYFUNCTION("""COMPUTED_VALUE"""),"")</f>
        <v/>
      </c>
      <c r="N415" s="8" t="str">
        <f>IFERROR(__xludf.DUMMYFUNCTION("""COMPUTED_VALUE"""),"")</f>
        <v/>
      </c>
      <c r="O415" s="8"/>
      <c r="P415" s="8"/>
    </row>
    <row r="416">
      <c r="A416" s="8"/>
      <c r="B416" s="25"/>
      <c r="C416" s="385"/>
      <c r="D416" s="385"/>
      <c r="E416" s="392"/>
      <c r="F416" s="8"/>
      <c r="G416" s="8"/>
      <c r="H416" s="389"/>
      <c r="I416" s="8" t="b">
        <v>0</v>
      </c>
      <c r="J416" s="388" t="str">
        <f>IFERROR(__xludf.DUMMYFUNCTION("""COMPUTED_VALUE"""),"")</f>
        <v/>
      </c>
      <c r="K416" s="8"/>
      <c r="L416" s="8"/>
      <c r="M416" s="8" t="str">
        <f>IFERROR(__xludf.DUMMYFUNCTION("""COMPUTED_VALUE"""),"")</f>
        <v/>
      </c>
      <c r="N416" s="8" t="str">
        <f>IFERROR(__xludf.DUMMYFUNCTION("""COMPUTED_VALUE"""),"")</f>
        <v/>
      </c>
      <c r="O416" s="8"/>
      <c r="P416" s="8"/>
    </row>
    <row r="417">
      <c r="A417" s="8"/>
      <c r="B417" s="25"/>
      <c r="C417" s="385"/>
      <c r="D417" s="385"/>
      <c r="E417" s="392"/>
      <c r="F417" s="8"/>
      <c r="G417" s="8"/>
      <c r="H417" s="389"/>
      <c r="I417" s="8" t="b">
        <v>0</v>
      </c>
      <c r="J417" s="388" t="str">
        <f>IFERROR(__xludf.DUMMYFUNCTION("""COMPUTED_VALUE"""),"")</f>
        <v/>
      </c>
      <c r="K417" s="8"/>
      <c r="L417" s="8"/>
      <c r="M417" s="8" t="str">
        <f>IFERROR(__xludf.DUMMYFUNCTION("""COMPUTED_VALUE"""),"")</f>
        <v/>
      </c>
      <c r="N417" s="8" t="str">
        <f>IFERROR(__xludf.DUMMYFUNCTION("""COMPUTED_VALUE"""),"")</f>
        <v/>
      </c>
      <c r="O417" s="8"/>
      <c r="P417" s="8"/>
    </row>
    <row r="418">
      <c r="A418" s="8"/>
      <c r="B418" s="25"/>
      <c r="C418" s="385"/>
      <c r="D418" s="385"/>
      <c r="E418" s="392"/>
      <c r="F418" s="8"/>
      <c r="G418" s="8"/>
      <c r="H418" s="389"/>
      <c r="I418" s="8" t="b">
        <v>0</v>
      </c>
      <c r="J418" s="388" t="str">
        <f>IFERROR(__xludf.DUMMYFUNCTION("""COMPUTED_VALUE"""),"")</f>
        <v/>
      </c>
      <c r="K418" s="8"/>
      <c r="L418" s="8"/>
      <c r="M418" s="8" t="str">
        <f>IFERROR(__xludf.DUMMYFUNCTION("""COMPUTED_VALUE"""),"")</f>
        <v/>
      </c>
      <c r="N418" s="8" t="str">
        <f>IFERROR(__xludf.DUMMYFUNCTION("""COMPUTED_VALUE"""),"")</f>
        <v/>
      </c>
      <c r="O418" s="8"/>
      <c r="P418" s="8"/>
    </row>
    <row r="419">
      <c r="A419" s="8"/>
      <c r="B419" s="25"/>
      <c r="C419" s="385"/>
      <c r="D419" s="385"/>
      <c r="E419" s="392"/>
      <c r="F419" s="8"/>
      <c r="G419" s="8"/>
      <c r="H419" s="389"/>
      <c r="I419" s="8" t="b">
        <v>0</v>
      </c>
      <c r="J419" s="388" t="str">
        <f>IFERROR(__xludf.DUMMYFUNCTION("""COMPUTED_VALUE"""),"")</f>
        <v/>
      </c>
      <c r="K419" s="8"/>
      <c r="L419" s="8"/>
      <c r="M419" s="8" t="str">
        <f>IFERROR(__xludf.DUMMYFUNCTION("""COMPUTED_VALUE"""),"")</f>
        <v/>
      </c>
      <c r="N419" s="8" t="str">
        <f>IFERROR(__xludf.DUMMYFUNCTION("""COMPUTED_VALUE"""),"")</f>
        <v/>
      </c>
      <c r="O419" s="8"/>
      <c r="P419" s="8"/>
    </row>
    <row r="420">
      <c r="A420" s="8"/>
      <c r="B420" s="25"/>
      <c r="C420" s="385"/>
      <c r="D420" s="385"/>
      <c r="E420" s="392"/>
      <c r="F420" s="8"/>
      <c r="G420" s="8"/>
      <c r="H420" s="389"/>
      <c r="I420" s="8" t="b">
        <v>0</v>
      </c>
      <c r="J420" s="388" t="str">
        <f>IFERROR(__xludf.DUMMYFUNCTION("""COMPUTED_VALUE"""),"")</f>
        <v/>
      </c>
      <c r="K420" s="8"/>
      <c r="L420" s="8"/>
      <c r="M420" s="8" t="str">
        <f>IFERROR(__xludf.DUMMYFUNCTION("""COMPUTED_VALUE"""),"")</f>
        <v/>
      </c>
      <c r="N420" s="8" t="str">
        <f>IFERROR(__xludf.DUMMYFUNCTION("""COMPUTED_VALUE"""),"")</f>
        <v/>
      </c>
      <c r="O420" s="8"/>
      <c r="P420" s="8"/>
    </row>
    <row r="421">
      <c r="A421" s="8"/>
      <c r="B421" s="25"/>
      <c r="C421" s="385"/>
      <c r="D421" s="385"/>
      <c r="E421" s="392"/>
      <c r="F421" s="8"/>
      <c r="G421" s="8"/>
      <c r="H421" s="389"/>
      <c r="I421" s="8" t="b">
        <v>0</v>
      </c>
      <c r="J421" s="388" t="str">
        <f>IFERROR(__xludf.DUMMYFUNCTION("""COMPUTED_VALUE"""),"")</f>
        <v/>
      </c>
      <c r="K421" s="8"/>
      <c r="L421" s="8"/>
      <c r="M421" s="8" t="str">
        <f>IFERROR(__xludf.DUMMYFUNCTION("""COMPUTED_VALUE"""),"")</f>
        <v/>
      </c>
      <c r="N421" s="8" t="str">
        <f>IFERROR(__xludf.DUMMYFUNCTION("""COMPUTED_VALUE"""),"")</f>
        <v/>
      </c>
      <c r="O421" s="8"/>
      <c r="P421" s="8"/>
    </row>
    <row r="422">
      <c r="A422" s="8"/>
      <c r="B422" s="25"/>
      <c r="C422" s="385"/>
      <c r="D422" s="385"/>
      <c r="E422" s="392"/>
      <c r="F422" s="8"/>
      <c r="G422" s="8"/>
      <c r="H422" s="389"/>
      <c r="I422" s="8" t="b">
        <v>0</v>
      </c>
      <c r="J422" s="388" t="str">
        <f>IFERROR(__xludf.DUMMYFUNCTION("""COMPUTED_VALUE"""),"")</f>
        <v/>
      </c>
      <c r="K422" s="8"/>
      <c r="L422" s="8"/>
      <c r="M422" s="8" t="str">
        <f>IFERROR(__xludf.DUMMYFUNCTION("""COMPUTED_VALUE"""),"")</f>
        <v/>
      </c>
      <c r="N422" s="8" t="str">
        <f>IFERROR(__xludf.DUMMYFUNCTION("""COMPUTED_VALUE"""),"")</f>
        <v/>
      </c>
      <c r="O422" s="8"/>
      <c r="P422" s="8"/>
    </row>
    <row r="423">
      <c r="A423" s="8"/>
      <c r="B423" s="25"/>
      <c r="C423" s="385"/>
      <c r="D423" s="385"/>
      <c r="E423" s="392"/>
      <c r="F423" s="8"/>
      <c r="G423" s="8"/>
      <c r="H423" s="389"/>
      <c r="I423" s="8" t="b">
        <v>0</v>
      </c>
      <c r="J423" s="388" t="str">
        <f>IFERROR(__xludf.DUMMYFUNCTION("""COMPUTED_VALUE"""),"")</f>
        <v/>
      </c>
      <c r="K423" s="8"/>
      <c r="L423" s="8"/>
      <c r="M423" s="8" t="str">
        <f>IFERROR(__xludf.DUMMYFUNCTION("""COMPUTED_VALUE"""),"")</f>
        <v/>
      </c>
      <c r="N423" s="8" t="str">
        <f>IFERROR(__xludf.DUMMYFUNCTION("""COMPUTED_VALUE"""),"")</f>
        <v/>
      </c>
      <c r="O423" s="8"/>
      <c r="P423" s="8"/>
    </row>
    <row r="424">
      <c r="A424" s="8"/>
      <c r="B424" s="25"/>
      <c r="C424" s="385"/>
      <c r="D424" s="385"/>
      <c r="E424" s="392"/>
      <c r="F424" s="8"/>
      <c r="G424" s="8"/>
      <c r="H424" s="389"/>
      <c r="I424" s="8" t="b">
        <v>0</v>
      </c>
      <c r="J424" s="388" t="str">
        <f>IFERROR(__xludf.DUMMYFUNCTION("""COMPUTED_VALUE"""),"")</f>
        <v/>
      </c>
      <c r="K424" s="8"/>
      <c r="L424" s="8"/>
      <c r="M424" s="8" t="str">
        <f>IFERROR(__xludf.DUMMYFUNCTION("""COMPUTED_VALUE"""),"")</f>
        <v/>
      </c>
      <c r="N424" s="8" t="str">
        <f>IFERROR(__xludf.DUMMYFUNCTION("""COMPUTED_VALUE"""),"")</f>
        <v/>
      </c>
      <c r="O424" s="8"/>
      <c r="P424" s="8"/>
    </row>
    <row r="425">
      <c r="A425" s="8"/>
      <c r="B425" s="25"/>
      <c r="C425" s="385"/>
      <c r="D425" s="385"/>
      <c r="E425" s="392"/>
      <c r="F425" s="8"/>
      <c r="G425" s="8"/>
      <c r="H425" s="389"/>
      <c r="I425" s="8" t="b">
        <v>0</v>
      </c>
      <c r="J425" s="388" t="str">
        <f>IFERROR(__xludf.DUMMYFUNCTION("""COMPUTED_VALUE"""),"")</f>
        <v/>
      </c>
      <c r="K425" s="8"/>
      <c r="L425" s="8"/>
      <c r="M425" s="8" t="str">
        <f>IFERROR(__xludf.DUMMYFUNCTION("""COMPUTED_VALUE"""),"")</f>
        <v/>
      </c>
      <c r="N425" s="8" t="str">
        <f>IFERROR(__xludf.DUMMYFUNCTION("""COMPUTED_VALUE"""),"")</f>
        <v/>
      </c>
      <c r="O425" s="8"/>
      <c r="P425" s="8"/>
    </row>
    <row r="426">
      <c r="A426" s="8"/>
      <c r="B426" s="25"/>
      <c r="C426" s="385"/>
      <c r="D426" s="385"/>
      <c r="E426" s="392"/>
      <c r="F426" s="8"/>
      <c r="G426" s="8"/>
      <c r="H426" s="389"/>
      <c r="I426" s="8" t="b">
        <v>0</v>
      </c>
      <c r="J426" s="388" t="str">
        <f>IFERROR(__xludf.DUMMYFUNCTION("""COMPUTED_VALUE"""),"")</f>
        <v/>
      </c>
      <c r="K426" s="8"/>
      <c r="L426" s="8"/>
      <c r="M426" s="8" t="str">
        <f>IFERROR(__xludf.DUMMYFUNCTION("""COMPUTED_VALUE"""),"")</f>
        <v/>
      </c>
      <c r="N426" s="8" t="str">
        <f>IFERROR(__xludf.DUMMYFUNCTION("""COMPUTED_VALUE"""),"")</f>
        <v/>
      </c>
      <c r="O426" s="8"/>
      <c r="P426" s="8"/>
    </row>
    <row r="427">
      <c r="A427" s="8"/>
      <c r="B427" s="25"/>
      <c r="C427" s="385"/>
      <c r="D427" s="385"/>
      <c r="E427" s="392"/>
      <c r="F427" s="8"/>
      <c r="G427" s="8"/>
      <c r="H427" s="389"/>
      <c r="I427" s="8" t="b">
        <v>0</v>
      </c>
      <c r="J427" s="388" t="str">
        <f>IFERROR(__xludf.DUMMYFUNCTION("""COMPUTED_VALUE"""),"")</f>
        <v/>
      </c>
      <c r="K427" s="8"/>
      <c r="L427" s="8"/>
      <c r="M427" s="8" t="str">
        <f>IFERROR(__xludf.DUMMYFUNCTION("""COMPUTED_VALUE"""),"")</f>
        <v/>
      </c>
      <c r="N427" s="8" t="str">
        <f>IFERROR(__xludf.DUMMYFUNCTION("""COMPUTED_VALUE"""),"")</f>
        <v/>
      </c>
      <c r="O427" s="8"/>
      <c r="P427" s="8"/>
    </row>
    <row r="428">
      <c r="A428" s="8"/>
      <c r="B428" s="25"/>
      <c r="C428" s="385"/>
      <c r="D428" s="385"/>
      <c r="E428" s="392"/>
      <c r="F428" s="8"/>
      <c r="G428" s="8"/>
      <c r="H428" s="389"/>
      <c r="I428" s="8" t="b">
        <v>0</v>
      </c>
      <c r="J428" s="388" t="str">
        <f>IFERROR(__xludf.DUMMYFUNCTION("""COMPUTED_VALUE"""),"")</f>
        <v/>
      </c>
      <c r="K428" s="8"/>
      <c r="L428" s="8"/>
      <c r="M428" s="8" t="str">
        <f>IFERROR(__xludf.DUMMYFUNCTION("""COMPUTED_VALUE"""),"")</f>
        <v/>
      </c>
      <c r="N428" s="8" t="str">
        <f>IFERROR(__xludf.DUMMYFUNCTION("""COMPUTED_VALUE"""),"")</f>
        <v/>
      </c>
      <c r="O428" s="8"/>
      <c r="P428" s="8"/>
    </row>
    <row r="429">
      <c r="A429" s="8"/>
      <c r="B429" s="25"/>
      <c r="C429" s="385"/>
      <c r="D429" s="385"/>
      <c r="E429" s="392"/>
      <c r="F429" s="8"/>
      <c r="G429" s="8"/>
      <c r="H429" s="389"/>
      <c r="I429" s="8" t="b">
        <v>0</v>
      </c>
      <c r="J429" s="388" t="str">
        <f>IFERROR(__xludf.DUMMYFUNCTION("""COMPUTED_VALUE"""),"")</f>
        <v/>
      </c>
      <c r="K429" s="8"/>
      <c r="L429" s="8"/>
      <c r="M429" s="8" t="str">
        <f>IFERROR(__xludf.DUMMYFUNCTION("""COMPUTED_VALUE"""),"")</f>
        <v/>
      </c>
      <c r="N429" s="8" t="str">
        <f>IFERROR(__xludf.DUMMYFUNCTION("""COMPUTED_VALUE"""),"")</f>
        <v/>
      </c>
      <c r="O429" s="8"/>
      <c r="P429" s="8"/>
    </row>
    <row r="430">
      <c r="A430" s="8"/>
      <c r="B430" s="25"/>
      <c r="C430" s="385"/>
      <c r="D430" s="385"/>
      <c r="E430" s="392"/>
      <c r="F430" s="8"/>
      <c r="G430" s="8"/>
      <c r="H430" s="389"/>
      <c r="I430" s="8" t="b">
        <v>0</v>
      </c>
      <c r="J430" s="388" t="str">
        <f>IFERROR(__xludf.DUMMYFUNCTION("""COMPUTED_VALUE"""),"")</f>
        <v/>
      </c>
      <c r="K430" s="8"/>
      <c r="L430" s="8"/>
      <c r="M430" s="8" t="str">
        <f>IFERROR(__xludf.DUMMYFUNCTION("""COMPUTED_VALUE"""),"")</f>
        <v/>
      </c>
      <c r="N430" s="8" t="str">
        <f>IFERROR(__xludf.DUMMYFUNCTION("""COMPUTED_VALUE"""),"")</f>
        <v/>
      </c>
      <c r="O430" s="8"/>
      <c r="P430" s="8"/>
    </row>
    <row r="431">
      <c r="A431" s="8"/>
      <c r="B431" s="25"/>
      <c r="C431" s="385"/>
      <c r="D431" s="385"/>
      <c r="E431" s="392"/>
      <c r="F431" s="8"/>
      <c r="G431" s="8"/>
      <c r="H431" s="389"/>
      <c r="I431" s="8" t="b">
        <v>0</v>
      </c>
      <c r="J431" s="388" t="str">
        <f>IFERROR(__xludf.DUMMYFUNCTION("""COMPUTED_VALUE"""),"")</f>
        <v/>
      </c>
      <c r="K431" s="8"/>
      <c r="L431" s="8"/>
      <c r="M431" s="8" t="str">
        <f>IFERROR(__xludf.DUMMYFUNCTION("""COMPUTED_VALUE"""),"")</f>
        <v/>
      </c>
      <c r="N431" s="8" t="str">
        <f>IFERROR(__xludf.DUMMYFUNCTION("""COMPUTED_VALUE"""),"")</f>
        <v/>
      </c>
      <c r="O431" s="8"/>
      <c r="P431" s="8"/>
    </row>
    <row r="432">
      <c r="A432" s="8"/>
      <c r="B432" s="25"/>
      <c r="C432" s="385"/>
      <c r="D432" s="385"/>
      <c r="E432" s="392"/>
      <c r="F432" s="8"/>
      <c r="G432" s="8"/>
      <c r="H432" s="389"/>
      <c r="I432" s="8" t="b">
        <v>0</v>
      </c>
      <c r="J432" s="388" t="str">
        <f>IFERROR(__xludf.DUMMYFUNCTION("""COMPUTED_VALUE"""),"")</f>
        <v/>
      </c>
      <c r="K432" s="8"/>
      <c r="L432" s="8"/>
      <c r="M432" s="8" t="str">
        <f>IFERROR(__xludf.DUMMYFUNCTION("""COMPUTED_VALUE"""),"")</f>
        <v/>
      </c>
      <c r="N432" s="8" t="str">
        <f>IFERROR(__xludf.DUMMYFUNCTION("""COMPUTED_VALUE"""),"")</f>
        <v/>
      </c>
      <c r="O432" s="8"/>
      <c r="P432" s="8"/>
    </row>
    <row r="433">
      <c r="A433" s="8"/>
      <c r="B433" s="25"/>
      <c r="C433" s="385"/>
      <c r="D433" s="385"/>
      <c r="E433" s="392"/>
      <c r="F433" s="8"/>
      <c r="G433" s="8"/>
      <c r="H433" s="389"/>
      <c r="I433" s="8" t="b">
        <v>0</v>
      </c>
      <c r="J433" s="388" t="str">
        <f>IFERROR(__xludf.DUMMYFUNCTION("""COMPUTED_VALUE"""),"")</f>
        <v/>
      </c>
      <c r="K433" s="8"/>
      <c r="L433" s="8"/>
      <c r="M433" s="8" t="str">
        <f>IFERROR(__xludf.DUMMYFUNCTION("""COMPUTED_VALUE"""),"")</f>
        <v/>
      </c>
      <c r="N433" s="8" t="str">
        <f>IFERROR(__xludf.DUMMYFUNCTION("""COMPUTED_VALUE"""),"")</f>
        <v/>
      </c>
      <c r="O433" s="8"/>
      <c r="P433" s="8"/>
    </row>
    <row r="434">
      <c r="A434" s="8"/>
      <c r="B434" s="25"/>
      <c r="C434" s="385"/>
      <c r="D434" s="385"/>
      <c r="E434" s="392"/>
      <c r="F434" s="8"/>
      <c r="G434" s="8"/>
      <c r="H434" s="389"/>
      <c r="I434" s="8" t="b">
        <v>0</v>
      </c>
      <c r="J434" s="388" t="str">
        <f>IFERROR(__xludf.DUMMYFUNCTION("""COMPUTED_VALUE"""),"")</f>
        <v/>
      </c>
      <c r="K434" s="8"/>
      <c r="L434" s="8"/>
      <c r="M434" s="8" t="str">
        <f>IFERROR(__xludf.DUMMYFUNCTION("""COMPUTED_VALUE"""),"")</f>
        <v/>
      </c>
      <c r="N434" s="8" t="str">
        <f>IFERROR(__xludf.DUMMYFUNCTION("""COMPUTED_VALUE"""),"")</f>
        <v/>
      </c>
      <c r="O434" s="8"/>
      <c r="P434" s="8"/>
    </row>
    <row r="435">
      <c r="A435" s="8"/>
      <c r="B435" s="25"/>
      <c r="C435" s="385"/>
      <c r="D435" s="385"/>
      <c r="E435" s="392"/>
      <c r="F435" s="8"/>
      <c r="G435" s="8"/>
      <c r="H435" s="389"/>
      <c r="I435" s="8" t="b">
        <v>0</v>
      </c>
      <c r="J435" s="388" t="str">
        <f>IFERROR(__xludf.DUMMYFUNCTION("""COMPUTED_VALUE"""),"")</f>
        <v/>
      </c>
      <c r="K435" s="8"/>
      <c r="L435" s="8"/>
      <c r="M435" s="8" t="str">
        <f>IFERROR(__xludf.DUMMYFUNCTION("""COMPUTED_VALUE"""),"")</f>
        <v/>
      </c>
      <c r="N435" s="8" t="str">
        <f>IFERROR(__xludf.DUMMYFUNCTION("""COMPUTED_VALUE"""),"")</f>
        <v/>
      </c>
      <c r="O435" s="8"/>
      <c r="P435" s="8"/>
    </row>
    <row r="436">
      <c r="A436" s="8"/>
      <c r="B436" s="25"/>
      <c r="C436" s="385"/>
      <c r="D436" s="385"/>
      <c r="E436" s="392"/>
      <c r="F436" s="8"/>
      <c r="G436" s="8"/>
      <c r="H436" s="389"/>
      <c r="I436" s="8" t="b">
        <v>0</v>
      </c>
      <c r="J436" s="388" t="str">
        <f>IFERROR(__xludf.DUMMYFUNCTION("""COMPUTED_VALUE"""),"")</f>
        <v/>
      </c>
      <c r="K436" s="8"/>
      <c r="L436" s="8"/>
      <c r="M436" s="8" t="str">
        <f>IFERROR(__xludf.DUMMYFUNCTION("""COMPUTED_VALUE"""),"")</f>
        <v/>
      </c>
      <c r="N436" s="8" t="str">
        <f>IFERROR(__xludf.DUMMYFUNCTION("""COMPUTED_VALUE"""),"")</f>
        <v/>
      </c>
      <c r="O436" s="8"/>
      <c r="P436" s="8"/>
    </row>
    <row r="437">
      <c r="A437" s="8"/>
      <c r="B437" s="25"/>
      <c r="C437" s="385"/>
      <c r="D437" s="385"/>
      <c r="E437" s="392"/>
      <c r="F437" s="8"/>
      <c r="G437" s="8"/>
      <c r="H437" s="389"/>
      <c r="I437" s="8" t="b">
        <v>0</v>
      </c>
      <c r="J437" s="388" t="str">
        <f>IFERROR(__xludf.DUMMYFUNCTION("""COMPUTED_VALUE"""),"")</f>
        <v/>
      </c>
      <c r="K437" s="8"/>
      <c r="L437" s="8"/>
      <c r="M437" s="8" t="str">
        <f>IFERROR(__xludf.DUMMYFUNCTION("""COMPUTED_VALUE"""),"")</f>
        <v/>
      </c>
      <c r="N437" s="8" t="str">
        <f>IFERROR(__xludf.DUMMYFUNCTION("""COMPUTED_VALUE"""),"")</f>
        <v/>
      </c>
      <c r="O437" s="8"/>
      <c r="P437" s="8"/>
    </row>
    <row r="438">
      <c r="A438" s="8"/>
      <c r="B438" s="25"/>
      <c r="C438" s="385"/>
      <c r="D438" s="385"/>
      <c r="E438" s="392"/>
      <c r="F438" s="8"/>
      <c r="G438" s="8"/>
      <c r="H438" s="389"/>
      <c r="I438" s="8" t="b">
        <v>0</v>
      </c>
      <c r="J438" s="388" t="str">
        <f>IFERROR(__xludf.DUMMYFUNCTION("""COMPUTED_VALUE"""),"")</f>
        <v/>
      </c>
      <c r="K438" s="8"/>
      <c r="L438" s="8"/>
      <c r="M438" s="8" t="str">
        <f>IFERROR(__xludf.DUMMYFUNCTION("""COMPUTED_VALUE"""),"")</f>
        <v/>
      </c>
      <c r="N438" s="8" t="str">
        <f>IFERROR(__xludf.DUMMYFUNCTION("""COMPUTED_VALUE"""),"")</f>
        <v/>
      </c>
      <c r="O438" s="8"/>
      <c r="P438" s="8"/>
    </row>
    <row r="439">
      <c r="A439" s="8"/>
      <c r="B439" s="25"/>
      <c r="C439" s="385"/>
      <c r="D439" s="385"/>
      <c r="E439" s="392"/>
      <c r="F439" s="8"/>
      <c r="G439" s="8"/>
      <c r="H439" s="389"/>
      <c r="I439" s="8" t="b">
        <v>0</v>
      </c>
      <c r="J439" s="388" t="str">
        <f>IFERROR(__xludf.DUMMYFUNCTION("""COMPUTED_VALUE"""),"")</f>
        <v/>
      </c>
      <c r="K439" s="8"/>
      <c r="L439" s="8"/>
      <c r="M439" s="8" t="str">
        <f>IFERROR(__xludf.DUMMYFUNCTION("""COMPUTED_VALUE"""),"")</f>
        <v/>
      </c>
      <c r="N439" s="8" t="str">
        <f>IFERROR(__xludf.DUMMYFUNCTION("""COMPUTED_VALUE"""),"")</f>
        <v/>
      </c>
      <c r="O439" s="8"/>
      <c r="P439" s="8"/>
    </row>
    <row r="440">
      <c r="A440" s="8"/>
      <c r="B440" s="25"/>
      <c r="C440" s="385"/>
      <c r="D440" s="385"/>
      <c r="E440" s="392"/>
      <c r="F440" s="8"/>
      <c r="G440" s="8"/>
      <c r="H440" s="389"/>
      <c r="I440" s="8" t="b">
        <v>0</v>
      </c>
      <c r="J440" s="388" t="str">
        <f>IFERROR(__xludf.DUMMYFUNCTION("""COMPUTED_VALUE"""),"")</f>
        <v/>
      </c>
      <c r="K440" s="8"/>
      <c r="L440" s="8"/>
      <c r="M440" s="8" t="str">
        <f>IFERROR(__xludf.DUMMYFUNCTION("""COMPUTED_VALUE"""),"")</f>
        <v/>
      </c>
      <c r="N440" s="8" t="str">
        <f>IFERROR(__xludf.DUMMYFUNCTION("""COMPUTED_VALUE"""),"")</f>
        <v/>
      </c>
      <c r="O440" s="8"/>
      <c r="P440" s="8"/>
    </row>
    <row r="441">
      <c r="A441" s="8"/>
      <c r="B441" s="25"/>
      <c r="C441" s="385"/>
      <c r="D441" s="385"/>
      <c r="E441" s="392"/>
      <c r="F441" s="8"/>
      <c r="G441" s="8"/>
      <c r="H441" s="389"/>
      <c r="I441" s="8" t="b">
        <v>0</v>
      </c>
      <c r="J441" s="388" t="str">
        <f>IFERROR(__xludf.DUMMYFUNCTION("""COMPUTED_VALUE"""),"")</f>
        <v/>
      </c>
      <c r="K441" s="8"/>
      <c r="L441" s="8"/>
      <c r="M441" s="8" t="str">
        <f>IFERROR(__xludf.DUMMYFUNCTION("""COMPUTED_VALUE"""),"")</f>
        <v/>
      </c>
      <c r="N441" s="8" t="str">
        <f>IFERROR(__xludf.DUMMYFUNCTION("""COMPUTED_VALUE"""),"")</f>
        <v/>
      </c>
      <c r="O441" s="8"/>
      <c r="P441" s="8"/>
    </row>
    <row r="442">
      <c r="A442" s="8"/>
      <c r="B442" s="25"/>
      <c r="C442" s="385"/>
      <c r="D442" s="385"/>
      <c r="E442" s="392"/>
      <c r="F442" s="8"/>
      <c r="G442" s="8"/>
      <c r="H442" s="389"/>
      <c r="I442" s="8" t="b">
        <v>0</v>
      </c>
      <c r="J442" s="388" t="str">
        <f>IFERROR(__xludf.DUMMYFUNCTION("""COMPUTED_VALUE"""),"")</f>
        <v/>
      </c>
      <c r="K442" s="8"/>
      <c r="L442" s="8"/>
      <c r="M442" s="8" t="str">
        <f>IFERROR(__xludf.DUMMYFUNCTION("""COMPUTED_VALUE"""),"")</f>
        <v/>
      </c>
      <c r="N442" s="8" t="str">
        <f>IFERROR(__xludf.DUMMYFUNCTION("""COMPUTED_VALUE"""),"")</f>
        <v/>
      </c>
      <c r="O442" s="8"/>
      <c r="P442" s="8"/>
    </row>
    <row r="443">
      <c r="A443" s="8"/>
      <c r="B443" s="25"/>
      <c r="C443" s="385"/>
      <c r="D443" s="385"/>
      <c r="E443" s="392"/>
      <c r="F443" s="8"/>
      <c r="G443" s="8"/>
      <c r="H443" s="389"/>
      <c r="I443" s="8" t="b">
        <v>0</v>
      </c>
      <c r="J443" s="388" t="str">
        <f>IFERROR(__xludf.DUMMYFUNCTION("""COMPUTED_VALUE"""),"")</f>
        <v/>
      </c>
      <c r="K443" s="8"/>
      <c r="L443" s="8"/>
      <c r="M443" s="8" t="str">
        <f>IFERROR(__xludf.DUMMYFUNCTION("""COMPUTED_VALUE"""),"")</f>
        <v/>
      </c>
      <c r="N443" s="8" t="str">
        <f>IFERROR(__xludf.DUMMYFUNCTION("""COMPUTED_VALUE"""),"")</f>
        <v/>
      </c>
      <c r="O443" s="8"/>
      <c r="P443" s="8"/>
    </row>
    <row r="444">
      <c r="A444" s="8"/>
      <c r="B444" s="25"/>
      <c r="C444" s="385"/>
      <c r="D444" s="385"/>
      <c r="E444" s="392"/>
      <c r="F444" s="8"/>
      <c r="G444" s="8"/>
      <c r="H444" s="389"/>
      <c r="I444" s="8" t="b">
        <v>0</v>
      </c>
      <c r="J444" s="388" t="str">
        <f>IFERROR(__xludf.DUMMYFUNCTION("""COMPUTED_VALUE"""),"")</f>
        <v/>
      </c>
      <c r="K444" s="8"/>
      <c r="L444" s="8"/>
      <c r="M444" s="8" t="str">
        <f>IFERROR(__xludf.DUMMYFUNCTION("""COMPUTED_VALUE"""),"")</f>
        <v/>
      </c>
      <c r="N444" s="8" t="str">
        <f>IFERROR(__xludf.DUMMYFUNCTION("""COMPUTED_VALUE"""),"")</f>
        <v/>
      </c>
      <c r="O444" s="8"/>
      <c r="P444" s="8"/>
    </row>
    <row r="445">
      <c r="A445" s="8"/>
      <c r="B445" s="25"/>
      <c r="C445" s="385"/>
      <c r="D445" s="385"/>
      <c r="E445" s="392"/>
      <c r="F445" s="8"/>
      <c r="G445" s="8"/>
      <c r="H445" s="389"/>
      <c r="I445" s="8" t="b">
        <v>0</v>
      </c>
      <c r="J445" s="388" t="str">
        <f>IFERROR(__xludf.DUMMYFUNCTION("""COMPUTED_VALUE"""),"")</f>
        <v/>
      </c>
      <c r="K445" s="8"/>
      <c r="L445" s="8"/>
      <c r="M445" s="8" t="str">
        <f>IFERROR(__xludf.DUMMYFUNCTION("""COMPUTED_VALUE"""),"")</f>
        <v/>
      </c>
      <c r="N445" s="8" t="str">
        <f>IFERROR(__xludf.DUMMYFUNCTION("""COMPUTED_VALUE"""),"")</f>
        <v/>
      </c>
      <c r="O445" s="8"/>
      <c r="P445" s="8"/>
    </row>
    <row r="446">
      <c r="A446" s="8"/>
      <c r="B446" s="25"/>
      <c r="C446" s="385"/>
      <c r="D446" s="385"/>
      <c r="E446" s="392"/>
      <c r="F446" s="8"/>
      <c r="G446" s="8"/>
      <c r="H446" s="389"/>
      <c r="I446" s="8" t="b">
        <v>0</v>
      </c>
      <c r="J446" s="388" t="str">
        <f>IFERROR(__xludf.DUMMYFUNCTION("""COMPUTED_VALUE"""),"")</f>
        <v/>
      </c>
      <c r="K446" s="8"/>
      <c r="L446" s="8"/>
      <c r="M446" s="8" t="str">
        <f>IFERROR(__xludf.DUMMYFUNCTION("""COMPUTED_VALUE"""),"")</f>
        <v/>
      </c>
      <c r="N446" s="8" t="str">
        <f>IFERROR(__xludf.DUMMYFUNCTION("""COMPUTED_VALUE"""),"")</f>
        <v/>
      </c>
      <c r="O446" s="8"/>
      <c r="P446" s="8"/>
    </row>
    <row r="447">
      <c r="A447" s="8"/>
      <c r="B447" s="25"/>
      <c r="C447" s="385"/>
      <c r="D447" s="385"/>
      <c r="E447" s="392"/>
      <c r="F447" s="8"/>
      <c r="G447" s="8"/>
      <c r="H447" s="389"/>
      <c r="I447" s="8" t="b">
        <v>0</v>
      </c>
      <c r="J447" s="388" t="str">
        <f>IFERROR(__xludf.DUMMYFUNCTION("""COMPUTED_VALUE"""),"")</f>
        <v/>
      </c>
      <c r="K447" s="8"/>
      <c r="L447" s="8"/>
      <c r="M447" s="8" t="str">
        <f>IFERROR(__xludf.DUMMYFUNCTION("""COMPUTED_VALUE"""),"")</f>
        <v/>
      </c>
      <c r="N447" s="8" t="str">
        <f>IFERROR(__xludf.DUMMYFUNCTION("""COMPUTED_VALUE"""),"")</f>
        <v/>
      </c>
      <c r="O447" s="8"/>
      <c r="P447" s="8"/>
    </row>
    <row r="448">
      <c r="A448" s="8"/>
      <c r="B448" s="25"/>
      <c r="C448" s="385"/>
      <c r="D448" s="385"/>
      <c r="E448" s="392"/>
      <c r="F448" s="8"/>
      <c r="G448" s="8"/>
      <c r="H448" s="389"/>
      <c r="I448" s="8" t="b">
        <v>0</v>
      </c>
      <c r="J448" s="388" t="str">
        <f>IFERROR(__xludf.DUMMYFUNCTION("""COMPUTED_VALUE"""),"")</f>
        <v/>
      </c>
      <c r="K448" s="8"/>
      <c r="L448" s="8"/>
      <c r="M448" s="8" t="str">
        <f>IFERROR(__xludf.DUMMYFUNCTION("""COMPUTED_VALUE"""),"")</f>
        <v/>
      </c>
      <c r="N448" s="8" t="str">
        <f>IFERROR(__xludf.DUMMYFUNCTION("""COMPUTED_VALUE"""),"")</f>
        <v/>
      </c>
      <c r="O448" s="8"/>
      <c r="P448" s="8"/>
    </row>
    <row r="449">
      <c r="A449" s="8"/>
      <c r="B449" s="25"/>
      <c r="C449" s="385"/>
      <c r="D449" s="385"/>
      <c r="E449" s="392"/>
      <c r="F449" s="8"/>
      <c r="G449" s="8"/>
      <c r="H449" s="389"/>
      <c r="I449" s="8" t="b">
        <v>0</v>
      </c>
      <c r="J449" s="388" t="str">
        <f>IFERROR(__xludf.DUMMYFUNCTION("""COMPUTED_VALUE"""),"")</f>
        <v/>
      </c>
      <c r="K449" s="8"/>
      <c r="L449" s="8"/>
      <c r="M449" s="8" t="str">
        <f>IFERROR(__xludf.DUMMYFUNCTION("""COMPUTED_VALUE"""),"")</f>
        <v/>
      </c>
      <c r="N449" s="8" t="str">
        <f>IFERROR(__xludf.DUMMYFUNCTION("""COMPUTED_VALUE"""),"")</f>
        <v/>
      </c>
      <c r="O449" s="8"/>
      <c r="P449" s="8"/>
    </row>
    <row r="450">
      <c r="A450" s="8"/>
      <c r="B450" s="25"/>
      <c r="C450" s="385"/>
      <c r="D450" s="385"/>
      <c r="E450" s="392"/>
      <c r="F450" s="8"/>
      <c r="G450" s="8"/>
      <c r="H450" s="389"/>
      <c r="I450" s="8" t="b">
        <v>0</v>
      </c>
      <c r="J450" s="388" t="str">
        <f>IFERROR(__xludf.DUMMYFUNCTION("""COMPUTED_VALUE"""),"")</f>
        <v/>
      </c>
      <c r="K450" s="8"/>
      <c r="L450" s="8"/>
      <c r="M450" s="8" t="str">
        <f>IFERROR(__xludf.DUMMYFUNCTION("""COMPUTED_VALUE"""),"")</f>
        <v/>
      </c>
      <c r="N450" s="8" t="str">
        <f>IFERROR(__xludf.DUMMYFUNCTION("""COMPUTED_VALUE"""),"")</f>
        <v/>
      </c>
      <c r="O450" s="8"/>
      <c r="P450" s="8"/>
    </row>
    <row r="451">
      <c r="A451" s="8"/>
      <c r="B451" s="25"/>
      <c r="C451" s="385"/>
      <c r="D451" s="385"/>
      <c r="E451" s="392"/>
      <c r="F451" s="8"/>
      <c r="G451" s="8"/>
      <c r="H451" s="389"/>
      <c r="I451" s="8" t="b">
        <v>0</v>
      </c>
      <c r="J451" s="388" t="str">
        <f>IFERROR(__xludf.DUMMYFUNCTION("""COMPUTED_VALUE"""),"")</f>
        <v/>
      </c>
      <c r="K451" s="8"/>
      <c r="L451" s="8"/>
      <c r="M451" s="8" t="str">
        <f>IFERROR(__xludf.DUMMYFUNCTION("""COMPUTED_VALUE"""),"")</f>
        <v/>
      </c>
      <c r="N451" s="8" t="str">
        <f>IFERROR(__xludf.DUMMYFUNCTION("""COMPUTED_VALUE"""),"")</f>
        <v/>
      </c>
      <c r="O451" s="8"/>
      <c r="P451" s="8"/>
    </row>
    <row r="452">
      <c r="A452" s="8"/>
      <c r="B452" s="25"/>
      <c r="C452" s="385"/>
      <c r="D452" s="385"/>
      <c r="E452" s="392"/>
      <c r="F452" s="8"/>
      <c r="G452" s="8"/>
      <c r="H452" s="389"/>
      <c r="I452" s="8" t="b">
        <v>0</v>
      </c>
      <c r="J452" s="388" t="str">
        <f>IFERROR(__xludf.DUMMYFUNCTION("""COMPUTED_VALUE"""),"")</f>
        <v/>
      </c>
      <c r="K452" s="8"/>
      <c r="L452" s="8"/>
      <c r="M452" s="8" t="str">
        <f>IFERROR(__xludf.DUMMYFUNCTION("""COMPUTED_VALUE"""),"")</f>
        <v/>
      </c>
      <c r="N452" s="8" t="str">
        <f>IFERROR(__xludf.DUMMYFUNCTION("""COMPUTED_VALUE"""),"")</f>
        <v/>
      </c>
      <c r="O452" s="8"/>
      <c r="P452" s="8"/>
    </row>
    <row r="453">
      <c r="A453" s="8"/>
      <c r="B453" s="25"/>
      <c r="C453" s="385"/>
      <c r="D453" s="385"/>
      <c r="E453" s="392"/>
      <c r="F453" s="8"/>
      <c r="G453" s="8"/>
      <c r="H453" s="389"/>
      <c r="I453" s="8" t="b">
        <v>0</v>
      </c>
      <c r="J453" s="388" t="str">
        <f>IFERROR(__xludf.DUMMYFUNCTION("""COMPUTED_VALUE"""),"")</f>
        <v/>
      </c>
      <c r="K453" s="8"/>
      <c r="L453" s="8"/>
      <c r="M453" s="8" t="str">
        <f>IFERROR(__xludf.DUMMYFUNCTION("""COMPUTED_VALUE"""),"")</f>
        <v/>
      </c>
      <c r="N453" s="8" t="str">
        <f>IFERROR(__xludf.DUMMYFUNCTION("""COMPUTED_VALUE"""),"")</f>
        <v/>
      </c>
      <c r="O453" s="8"/>
      <c r="P453" s="8"/>
    </row>
    <row r="454">
      <c r="A454" s="8"/>
      <c r="B454" s="25"/>
      <c r="C454" s="385"/>
      <c r="D454" s="385"/>
      <c r="E454" s="392"/>
      <c r="F454" s="8"/>
      <c r="G454" s="8"/>
      <c r="H454" s="389"/>
      <c r="I454" s="8" t="b">
        <v>0</v>
      </c>
      <c r="J454" s="388" t="str">
        <f>IFERROR(__xludf.DUMMYFUNCTION("""COMPUTED_VALUE"""),"")</f>
        <v/>
      </c>
      <c r="K454" s="8"/>
      <c r="L454" s="8"/>
      <c r="M454" s="8" t="str">
        <f>IFERROR(__xludf.DUMMYFUNCTION("""COMPUTED_VALUE"""),"")</f>
        <v/>
      </c>
      <c r="N454" s="8" t="str">
        <f>IFERROR(__xludf.DUMMYFUNCTION("""COMPUTED_VALUE"""),"")</f>
        <v/>
      </c>
      <c r="O454" s="8"/>
      <c r="P454" s="8"/>
    </row>
    <row r="455">
      <c r="A455" s="8"/>
      <c r="B455" s="25"/>
      <c r="C455" s="385"/>
      <c r="D455" s="385"/>
      <c r="E455" s="392"/>
      <c r="F455" s="8"/>
      <c r="G455" s="8"/>
      <c r="H455" s="389"/>
      <c r="I455" s="8" t="b">
        <v>0</v>
      </c>
      <c r="J455" s="388" t="str">
        <f>IFERROR(__xludf.DUMMYFUNCTION("""COMPUTED_VALUE"""),"")</f>
        <v/>
      </c>
      <c r="K455" s="8"/>
      <c r="L455" s="8"/>
      <c r="M455" s="8" t="str">
        <f>IFERROR(__xludf.DUMMYFUNCTION("""COMPUTED_VALUE"""),"")</f>
        <v/>
      </c>
      <c r="N455" s="8" t="str">
        <f>IFERROR(__xludf.DUMMYFUNCTION("""COMPUTED_VALUE"""),"")</f>
        <v/>
      </c>
      <c r="O455" s="8"/>
      <c r="P455" s="8"/>
    </row>
    <row r="456">
      <c r="A456" s="8"/>
      <c r="B456" s="25"/>
      <c r="C456" s="385"/>
      <c r="D456" s="385"/>
      <c r="E456" s="392"/>
      <c r="F456" s="8"/>
      <c r="G456" s="8"/>
      <c r="H456" s="389"/>
      <c r="I456" s="8" t="b">
        <v>0</v>
      </c>
      <c r="J456" s="388" t="str">
        <f>IFERROR(__xludf.DUMMYFUNCTION("""COMPUTED_VALUE"""),"")</f>
        <v/>
      </c>
      <c r="K456" s="8"/>
      <c r="L456" s="8"/>
      <c r="M456" s="8" t="str">
        <f>IFERROR(__xludf.DUMMYFUNCTION("""COMPUTED_VALUE"""),"")</f>
        <v/>
      </c>
      <c r="N456" s="8" t="str">
        <f>IFERROR(__xludf.DUMMYFUNCTION("""COMPUTED_VALUE"""),"")</f>
        <v/>
      </c>
      <c r="O456" s="8"/>
      <c r="P456" s="8"/>
    </row>
    <row r="457">
      <c r="A457" s="8"/>
      <c r="B457" s="25"/>
      <c r="C457" s="385"/>
      <c r="D457" s="385"/>
      <c r="E457" s="392"/>
      <c r="F457" s="8"/>
      <c r="G457" s="8"/>
      <c r="H457" s="389"/>
      <c r="I457" s="8" t="b">
        <v>0</v>
      </c>
      <c r="J457" s="388" t="str">
        <f>IFERROR(__xludf.DUMMYFUNCTION("""COMPUTED_VALUE"""),"")</f>
        <v/>
      </c>
      <c r="K457" s="8"/>
      <c r="L457" s="8"/>
      <c r="M457" s="8" t="str">
        <f>IFERROR(__xludf.DUMMYFUNCTION("""COMPUTED_VALUE"""),"")</f>
        <v/>
      </c>
      <c r="N457" s="8" t="str">
        <f>IFERROR(__xludf.DUMMYFUNCTION("""COMPUTED_VALUE"""),"")</f>
        <v/>
      </c>
      <c r="O457" s="8"/>
      <c r="P457" s="8"/>
    </row>
    <row r="458">
      <c r="A458" s="8"/>
      <c r="B458" s="25"/>
      <c r="C458" s="385"/>
      <c r="D458" s="385"/>
      <c r="E458" s="392"/>
      <c r="F458" s="8"/>
      <c r="G458" s="8"/>
      <c r="H458" s="389"/>
      <c r="I458" s="8" t="b">
        <v>0</v>
      </c>
      <c r="J458" s="388" t="str">
        <f>IFERROR(__xludf.DUMMYFUNCTION("""COMPUTED_VALUE"""),"")</f>
        <v/>
      </c>
      <c r="K458" s="8"/>
      <c r="L458" s="8"/>
      <c r="M458" s="8" t="str">
        <f>IFERROR(__xludf.DUMMYFUNCTION("""COMPUTED_VALUE"""),"")</f>
        <v/>
      </c>
      <c r="N458" s="8" t="str">
        <f>IFERROR(__xludf.DUMMYFUNCTION("""COMPUTED_VALUE"""),"")</f>
        <v/>
      </c>
      <c r="O458" s="8"/>
      <c r="P458" s="8"/>
    </row>
    <row r="459">
      <c r="A459" s="8"/>
      <c r="B459" s="25"/>
      <c r="C459" s="385"/>
      <c r="D459" s="385"/>
      <c r="E459" s="392"/>
      <c r="F459" s="8"/>
      <c r="G459" s="8"/>
      <c r="H459" s="389"/>
      <c r="I459" s="8" t="b">
        <v>0</v>
      </c>
      <c r="J459" s="388" t="str">
        <f>IFERROR(__xludf.DUMMYFUNCTION("""COMPUTED_VALUE"""),"")</f>
        <v/>
      </c>
      <c r="K459" s="8"/>
      <c r="L459" s="8"/>
      <c r="M459" s="8" t="str">
        <f>IFERROR(__xludf.DUMMYFUNCTION("""COMPUTED_VALUE"""),"")</f>
        <v/>
      </c>
      <c r="N459" s="8" t="str">
        <f>IFERROR(__xludf.DUMMYFUNCTION("""COMPUTED_VALUE"""),"")</f>
        <v/>
      </c>
      <c r="O459" s="8"/>
      <c r="P459" s="8"/>
    </row>
    <row r="460">
      <c r="A460" s="8"/>
      <c r="B460" s="25"/>
      <c r="C460" s="385"/>
      <c r="D460" s="385"/>
      <c r="E460" s="392"/>
      <c r="F460" s="8"/>
      <c r="G460" s="8"/>
      <c r="H460" s="389"/>
      <c r="I460" s="8" t="b">
        <v>0</v>
      </c>
      <c r="J460" s="388" t="str">
        <f>IFERROR(__xludf.DUMMYFUNCTION("""COMPUTED_VALUE"""),"")</f>
        <v/>
      </c>
      <c r="K460" s="8"/>
      <c r="L460" s="8"/>
      <c r="M460" s="8" t="str">
        <f>IFERROR(__xludf.DUMMYFUNCTION("""COMPUTED_VALUE"""),"")</f>
        <v/>
      </c>
      <c r="N460" s="8" t="str">
        <f>IFERROR(__xludf.DUMMYFUNCTION("""COMPUTED_VALUE"""),"")</f>
        <v/>
      </c>
      <c r="O460" s="8"/>
      <c r="P460" s="8"/>
    </row>
    <row r="461">
      <c r="A461" s="8"/>
      <c r="B461" s="25"/>
      <c r="C461" s="385"/>
      <c r="D461" s="385"/>
      <c r="E461" s="392"/>
      <c r="F461" s="8"/>
      <c r="G461" s="8"/>
      <c r="H461" s="389"/>
      <c r="I461" s="8" t="b">
        <v>0</v>
      </c>
      <c r="J461" s="388" t="str">
        <f>IFERROR(__xludf.DUMMYFUNCTION("""COMPUTED_VALUE"""),"")</f>
        <v/>
      </c>
      <c r="K461" s="8"/>
      <c r="L461" s="8"/>
      <c r="M461" s="8" t="str">
        <f>IFERROR(__xludf.DUMMYFUNCTION("""COMPUTED_VALUE"""),"")</f>
        <v/>
      </c>
      <c r="N461" s="8" t="str">
        <f>IFERROR(__xludf.DUMMYFUNCTION("""COMPUTED_VALUE"""),"")</f>
        <v/>
      </c>
      <c r="O461" s="8"/>
      <c r="P461" s="8"/>
    </row>
    <row r="462">
      <c r="A462" s="8"/>
      <c r="B462" s="25"/>
      <c r="C462" s="385"/>
      <c r="D462" s="385"/>
      <c r="E462" s="392"/>
      <c r="F462" s="8"/>
      <c r="G462" s="8"/>
      <c r="H462" s="389"/>
      <c r="I462" s="8" t="b">
        <v>0</v>
      </c>
      <c r="J462" s="388" t="str">
        <f>IFERROR(__xludf.DUMMYFUNCTION("""COMPUTED_VALUE"""),"")</f>
        <v/>
      </c>
      <c r="K462" s="8"/>
      <c r="L462" s="8"/>
      <c r="M462" s="8" t="str">
        <f>IFERROR(__xludf.DUMMYFUNCTION("""COMPUTED_VALUE"""),"")</f>
        <v/>
      </c>
      <c r="N462" s="8" t="str">
        <f>IFERROR(__xludf.DUMMYFUNCTION("""COMPUTED_VALUE"""),"")</f>
        <v/>
      </c>
      <c r="O462" s="8"/>
      <c r="P462" s="8"/>
    </row>
    <row r="463">
      <c r="A463" s="8"/>
      <c r="B463" s="25"/>
      <c r="C463" s="385"/>
      <c r="D463" s="385"/>
      <c r="E463" s="392"/>
      <c r="F463" s="8"/>
      <c r="G463" s="8"/>
      <c r="H463" s="389"/>
      <c r="I463" s="8" t="b">
        <v>0</v>
      </c>
      <c r="J463" s="388" t="str">
        <f>IFERROR(__xludf.DUMMYFUNCTION("""COMPUTED_VALUE"""),"")</f>
        <v/>
      </c>
      <c r="K463" s="8"/>
      <c r="L463" s="8"/>
      <c r="M463" s="8" t="str">
        <f>IFERROR(__xludf.DUMMYFUNCTION("""COMPUTED_VALUE"""),"")</f>
        <v/>
      </c>
      <c r="N463" s="8" t="str">
        <f>IFERROR(__xludf.DUMMYFUNCTION("""COMPUTED_VALUE"""),"")</f>
        <v/>
      </c>
      <c r="O463" s="8"/>
      <c r="P463" s="8"/>
    </row>
    <row r="464">
      <c r="A464" s="8"/>
      <c r="B464" s="25"/>
      <c r="C464" s="385"/>
      <c r="D464" s="385"/>
      <c r="E464" s="392"/>
      <c r="F464" s="8"/>
      <c r="G464" s="8"/>
      <c r="H464" s="389"/>
      <c r="I464" s="8" t="b">
        <v>0</v>
      </c>
      <c r="J464" s="388" t="str">
        <f>IFERROR(__xludf.DUMMYFUNCTION("""COMPUTED_VALUE"""),"")</f>
        <v/>
      </c>
      <c r="K464" s="8"/>
      <c r="L464" s="8"/>
      <c r="M464" s="8" t="str">
        <f>IFERROR(__xludf.DUMMYFUNCTION("""COMPUTED_VALUE"""),"")</f>
        <v/>
      </c>
      <c r="N464" s="8" t="str">
        <f>IFERROR(__xludf.DUMMYFUNCTION("""COMPUTED_VALUE"""),"")</f>
        <v/>
      </c>
      <c r="O464" s="8"/>
      <c r="P464" s="8"/>
    </row>
    <row r="465">
      <c r="A465" s="8"/>
      <c r="B465" s="25"/>
      <c r="C465" s="385"/>
      <c r="D465" s="385"/>
      <c r="E465" s="392"/>
      <c r="F465" s="8"/>
      <c r="G465" s="8"/>
      <c r="H465" s="389"/>
      <c r="I465" s="8" t="b">
        <v>0</v>
      </c>
      <c r="J465" s="388" t="str">
        <f>IFERROR(__xludf.DUMMYFUNCTION("""COMPUTED_VALUE"""),"")</f>
        <v/>
      </c>
      <c r="K465" s="8"/>
      <c r="L465" s="8"/>
      <c r="M465" s="8" t="str">
        <f>IFERROR(__xludf.DUMMYFUNCTION("""COMPUTED_VALUE"""),"")</f>
        <v/>
      </c>
      <c r="N465" s="8" t="str">
        <f>IFERROR(__xludf.DUMMYFUNCTION("""COMPUTED_VALUE"""),"")</f>
        <v/>
      </c>
      <c r="O465" s="8"/>
      <c r="P465" s="8"/>
    </row>
    <row r="466">
      <c r="A466" s="8"/>
      <c r="B466" s="25"/>
      <c r="C466" s="385"/>
      <c r="D466" s="385"/>
      <c r="E466" s="392"/>
      <c r="F466" s="8"/>
      <c r="G466" s="8"/>
      <c r="H466" s="389"/>
      <c r="I466" s="8" t="b">
        <v>0</v>
      </c>
      <c r="J466" s="388" t="str">
        <f>IFERROR(__xludf.DUMMYFUNCTION("""COMPUTED_VALUE"""),"")</f>
        <v/>
      </c>
      <c r="K466" s="8"/>
      <c r="L466" s="8"/>
      <c r="M466" s="8" t="str">
        <f>IFERROR(__xludf.DUMMYFUNCTION("""COMPUTED_VALUE"""),"")</f>
        <v/>
      </c>
      <c r="N466" s="8" t="str">
        <f>IFERROR(__xludf.DUMMYFUNCTION("""COMPUTED_VALUE"""),"")</f>
        <v/>
      </c>
      <c r="O466" s="8"/>
      <c r="P466" s="8"/>
    </row>
    <row r="467">
      <c r="A467" s="8"/>
      <c r="B467" s="25"/>
      <c r="C467" s="385"/>
      <c r="D467" s="385"/>
      <c r="E467" s="392"/>
      <c r="F467" s="8"/>
      <c r="G467" s="8"/>
      <c r="H467" s="389"/>
      <c r="I467" s="8" t="b">
        <v>0</v>
      </c>
      <c r="J467" s="388" t="str">
        <f>IFERROR(__xludf.DUMMYFUNCTION("""COMPUTED_VALUE"""),"")</f>
        <v/>
      </c>
      <c r="K467" s="8"/>
      <c r="L467" s="8"/>
      <c r="M467" s="8" t="str">
        <f>IFERROR(__xludf.DUMMYFUNCTION("""COMPUTED_VALUE"""),"")</f>
        <v/>
      </c>
      <c r="N467" s="8" t="str">
        <f>IFERROR(__xludf.DUMMYFUNCTION("""COMPUTED_VALUE"""),"")</f>
        <v/>
      </c>
      <c r="O467" s="8"/>
      <c r="P467" s="8"/>
    </row>
    <row r="468">
      <c r="A468" s="8"/>
      <c r="B468" s="25"/>
      <c r="C468" s="385"/>
      <c r="D468" s="385"/>
      <c r="E468" s="392"/>
      <c r="F468" s="8"/>
      <c r="G468" s="8"/>
      <c r="H468" s="389"/>
      <c r="I468" s="8" t="b">
        <v>0</v>
      </c>
      <c r="J468" s="388" t="str">
        <f>IFERROR(__xludf.DUMMYFUNCTION("""COMPUTED_VALUE"""),"")</f>
        <v/>
      </c>
      <c r="K468" s="8"/>
      <c r="L468" s="8"/>
      <c r="M468" s="8" t="str">
        <f>IFERROR(__xludf.DUMMYFUNCTION("""COMPUTED_VALUE"""),"")</f>
        <v/>
      </c>
      <c r="N468" s="8" t="str">
        <f>IFERROR(__xludf.DUMMYFUNCTION("""COMPUTED_VALUE"""),"")</f>
        <v/>
      </c>
      <c r="O468" s="8"/>
      <c r="P468" s="8"/>
    </row>
    <row r="469">
      <c r="A469" s="8"/>
      <c r="B469" s="25"/>
      <c r="C469" s="385"/>
      <c r="D469" s="385"/>
      <c r="E469" s="392"/>
      <c r="F469" s="8"/>
      <c r="G469" s="8"/>
      <c r="H469" s="389"/>
      <c r="I469" s="8" t="b">
        <v>0</v>
      </c>
      <c r="J469" s="388" t="str">
        <f>IFERROR(__xludf.DUMMYFUNCTION("""COMPUTED_VALUE"""),"")</f>
        <v/>
      </c>
      <c r="K469" s="8"/>
      <c r="L469" s="8"/>
      <c r="M469" s="8" t="str">
        <f>IFERROR(__xludf.DUMMYFUNCTION("""COMPUTED_VALUE"""),"")</f>
        <v/>
      </c>
      <c r="N469" s="8" t="str">
        <f>IFERROR(__xludf.DUMMYFUNCTION("""COMPUTED_VALUE"""),"")</f>
        <v/>
      </c>
      <c r="O469" s="8"/>
      <c r="P469" s="8"/>
    </row>
    <row r="470">
      <c r="A470" s="8"/>
      <c r="B470" s="25"/>
      <c r="C470" s="385"/>
      <c r="D470" s="385"/>
      <c r="E470" s="392"/>
      <c r="F470" s="8"/>
      <c r="G470" s="8"/>
      <c r="H470" s="389"/>
      <c r="I470" s="8" t="b">
        <v>0</v>
      </c>
      <c r="J470" s="388" t="str">
        <f>IFERROR(__xludf.DUMMYFUNCTION("""COMPUTED_VALUE"""),"")</f>
        <v/>
      </c>
      <c r="K470" s="8"/>
      <c r="L470" s="8"/>
      <c r="M470" s="8" t="str">
        <f>IFERROR(__xludf.DUMMYFUNCTION("""COMPUTED_VALUE"""),"")</f>
        <v/>
      </c>
      <c r="N470" s="8" t="str">
        <f>IFERROR(__xludf.DUMMYFUNCTION("""COMPUTED_VALUE"""),"")</f>
        <v/>
      </c>
      <c r="O470" s="8"/>
      <c r="P470" s="8"/>
    </row>
    <row r="471">
      <c r="A471" s="8"/>
      <c r="B471" s="25"/>
      <c r="C471" s="385"/>
      <c r="D471" s="385"/>
      <c r="E471" s="392"/>
      <c r="F471" s="8"/>
      <c r="G471" s="8"/>
      <c r="H471" s="389"/>
      <c r="I471" s="8" t="b">
        <v>0</v>
      </c>
      <c r="J471" s="388" t="str">
        <f>IFERROR(__xludf.DUMMYFUNCTION("""COMPUTED_VALUE"""),"")</f>
        <v/>
      </c>
      <c r="K471" s="8"/>
      <c r="L471" s="8"/>
      <c r="M471" s="8" t="str">
        <f>IFERROR(__xludf.DUMMYFUNCTION("""COMPUTED_VALUE"""),"")</f>
        <v/>
      </c>
      <c r="N471" s="8" t="str">
        <f>IFERROR(__xludf.DUMMYFUNCTION("""COMPUTED_VALUE"""),"")</f>
        <v/>
      </c>
      <c r="O471" s="8"/>
      <c r="P471" s="8"/>
    </row>
    <row r="472">
      <c r="A472" s="8"/>
      <c r="B472" s="25"/>
      <c r="C472" s="385"/>
      <c r="D472" s="385"/>
      <c r="E472" s="392"/>
      <c r="F472" s="8"/>
      <c r="G472" s="8"/>
      <c r="H472" s="389"/>
      <c r="I472" s="8" t="b">
        <v>0</v>
      </c>
      <c r="J472" s="388" t="str">
        <f>IFERROR(__xludf.DUMMYFUNCTION("""COMPUTED_VALUE"""),"")</f>
        <v/>
      </c>
      <c r="K472" s="8"/>
      <c r="L472" s="8"/>
      <c r="M472" s="8" t="str">
        <f>IFERROR(__xludf.DUMMYFUNCTION("""COMPUTED_VALUE"""),"")</f>
        <v/>
      </c>
      <c r="N472" s="8" t="str">
        <f>IFERROR(__xludf.DUMMYFUNCTION("""COMPUTED_VALUE"""),"")</f>
        <v/>
      </c>
      <c r="O472" s="8"/>
      <c r="P472" s="8"/>
    </row>
    <row r="473">
      <c r="A473" s="8"/>
      <c r="B473" s="25"/>
      <c r="C473" s="385"/>
      <c r="D473" s="385"/>
      <c r="E473" s="392"/>
      <c r="F473" s="8"/>
      <c r="G473" s="8"/>
      <c r="H473" s="389"/>
      <c r="I473" s="8" t="b">
        <v>0</v>
      </c>
      <c r="J473" s="388" t="str">
        <f>IFERROR(__xludf.DUMMYFUNCTION("""COMPUTED_VALUE"""),"")</f>
        <v/>
      </c>
      <c r="K473" s="8"/>
      <c r="L473" s="8"/>
      <c r="M473" s="8" t="str">
        <f>IFERROR(__xludf.DUMMYFUNCTION("""COMPUTED_VALUE"""),"")</f>
        <v/>
      </c>
      <c r="N473" s="8" t="str">
        <f>IFERROR(__xludf.DUMMYFUNCTION("""COMPUTED_VALUE"""),"")</f>
        <v/>
      </c>
      <c r="O473" s="8"/>
      <c r="P473" s="8"/>
    </row>
    <row r="474">
      <c r="A474" s="8"/>
      <c r="B474" s="25"/>
      <c r="C474" s="385"/>
      <c r="D474" s="385"/>
      <c r="E474" s="392"/>
      <c r="F474" s="8"/>
      <c r="G474" s="8"/>
      <c r="H474" s="389"/>
      <c r="I474" s="8" t="b">
        <v>0</v>
      </c>
      <c r="J474" s="388" t="str">
        <f>IFERROR(__xludf.DUMMYFUNCTION("""COMPUTED_VALUE"""),"")</f>
        <v/>
      </c>
      <c r="K474" s="8"/>
      <c r="L474" s="8"/>
      <c r="M474" s="8" t="str">
        <f>IFERROR(__xludf.DUMMYFUNCTION("""COMPUTED_VALUE"""),"")</f>
        <v/>
      </c>
      <c r="N474" s="8" t="str">
        <f>IFERROR(__xludf.DUMMYFUNCTION("""COMPUTED_VALUE"""),"")</f>
        <v/>
      </c>
      <c r="O474" s="8"/>
      <c r="P474" s="8"/>
    </row>
    <row r="475">
      <c r="A475" s="8"/>
      <c r="B475" s="25"/>
      <c r="C475" s="385"/>
      <c r="D475" s="385"/>
      <c r="E475" s="392"/>
      <c r="F475" s="8"/>
      <c r="G475" s="8"/>
      <c r="H475" s="389"/>
      <c r="I475" s="8" t="b">
        <v>0</v>
      </c>
      <c r="J475" s="388" t="str">
        <f>IFERROR(__xludf.DUMMYFUNCTION("""COMPUTED_VALUE"""),"")</f>
        <v/>
      </c>
      <c r="K475" s="8"/>
      <c r="L475" s="8"/>
      <c r="M475" s="8" t="str">
        <f>IFERROR(__xludf.DUMMYFUNCTION("""COMPUTED_VALUE"""),"")</f>
        <v/>
      </c>
      <c r="N475" s="8" t="str">
        <f>IFERROR(__xludf.DUMMYFUNCTION("""COMPUTED_VALUE"""),"")</f>
        <v/>
      </c>
      <c r="O475" s="8"/>
      <c r="P475" s="8"/>
    </row>
    <row r="476">
      <c r="A476" s="8"/>
      <c r="B476" s="25"/>
      <c r="C476" s="385"/>
      <c r="D476" s="385"/>
      <c r="E476" s="392"/>
      <c r="F476" s="8"/>
      <c r="G476" s="8"/>
      <c r="H476" s="389"/>
      <c r="I476" s="8" t="b">
        <v>0</v>
      </c>
      <c r="J476" s="388" t="str">
        <f>IFERROR(__xludf.DUMMYFUNCTION("""COMPUTED_VALUE"""),"")</f>
        <v/>
      </c>
      <c r="K476" s="8"/>
      <c r="L476" s="8"/>
      <c r="M476" s="8" t="str">
        <f>IFERROR(__xludf.DUMMYFUNCTION("""COMPUTED_VALUE"""),"")</f>
        <v/>
      </c>
      <c r="N476" s="8" t="str">
        <f>IFERROR(__xludf.DUMMYFUNCTION("""COMPUTED_VALUE"""),"")</f>
        <v/>
      </c>
      <c r="O476" s="8"/>
      <c r="P476" s="8"/>
    </row>
    <row r="477">
      <c r="A477" s="8"/>
      <c r="B477" s="25"/>
      <c r="C477" s="385"/>
      <c r="D477" s="385"/>
      <c r="E477" s="392"/>
      <c r="F477" s="8"/>
      <c r="G477" s="8"/>
      <c r="H477" s="389"/>
      <c r="I477" s="8" t="b">
        <v>0</v>
      </c>
      <c r="J477" s="388" t="str">
        <f>IFERROR(__xludf.DUMMYFUNCTION("""COMPUTED_VALUE"""),"")</f>
        <v/>
      </c>
      <c r="K477" s="8"/>
      <c r="L477" s="8"/>
      <c r="M477" s="8" t="str">
        <f>IFERROR(__xludf.DUMMYFUNCTION("""COMPUTED_VALUE"""),"")</f>
        <v/>
      </c>
      <c r="N477" s="8" t="str">
        <f>IFERROR(__xludf.DUMMYFUNCTION("""COMPUTED_VALUE"""),"")</f>
        <v/>
      </c>
      <c r="O477" s="8"/>
      <c r="P477" s="8"/>
    </row>
    <row r="478">
      <c r="A478" s="8"/>
      <c r="B478" s="25"/>
      <c r="C478" s="385"/>
      <c r="D478" s="385"/>
      <c r="E478" s="392"/>
      <c r="F478" s="8"/>
      <c r="G478" s="8"/>
      <c r="H478" s="389"/>
      <c r="I478" s="8" t="b">
        <v>0</v>
      </c>
      <c r="J478" s="388" t="str">
        <f>IFERROR(__xludf.DUMMYFUNCTION("""COMPUTED_VALUE"""),"")</f>
        <v/>
      </c>
      <c r="K478" s="8"/>
      <c r="L478" s="8"/>
      <c r="M478" s="8" t="str">
        <f>IFERROR(__xludf.DUMMYFUNCTION("""COMPUTED_VALUE"""),"")</f>
        <v/>
      </c>
      <c r="N478" s="8" t="str">
        <f>IFERROR(__xludf.DUMMYFUNCTION("""COMPUTED_VALUE"""),"")</f>
        <v/>
      </c>
      <c r="O478" s="8"/>
      <c r="P478" s="8"/>
    </row>
    <row r="479">
      <c r="A479" s="8"/>
      <c r="B479" s="25"/>
      <c r="C479" s="385"/>
      <c r="D479" s="385"/>
      <c r="E479" s="392"/>
      <c r="F479" s="8"/>
      <c r="G479" s="8"/>
      <c r="H479" s="389"/>
      <c r="I479" s="8" t="b">
        <v>0</v>
      </c>
      <c r="J479" s="388" t="str">
        <f>IFERROR(__xludf.DUMMYFUNCTION("""COMPUTED_VALUE"""),"")</f>
        <v/>
      </c>
      <c r="K479" s="8"/>
      <c r="L479" s="8"/>
      <c r="M479" s="8" t="str">
        <f>IFERROR(__xludf.DUMMYFUNCTION("""COMPUTED_VALUE"""),"")</f>
        <v/>
      </c>
      <c r="N479" s="8" t="str">
        <f>IFERROR(__xludf.DUMMYFUNCTION("""COMPUTED_VALUE"""),"")</f>
        <v/>
      </c>
      <c r="O479" s="8"/>
      <c r="P479" s="8"/>
    </row>
    <row r="480">
      <c r="A480" s="8"/>
      <c r="B480" s="25"/>
      <c r="C480" s="385"/>
      <c r="D480" s="385"/>
      <c r="E480" s="392"/>
      <c r="F480" s="8"/>
      <c r="G480" s="8"/>
      <c r="H480" s="389"/>
      <c r="I480" s="8" t="b">
        <v>0</v>
      </c>
      <c r="J480" s="388" t="str">
        <f>IFERROR(__xludf.DUMMYFUNCTION("""COMPUTED_VALUE"""),"")</f>
        <v/>
      </c>
      <c r="K480" s="8"/>
      <c r="L480" s="8"/>
      <c r="M480" s="8" t="str">
        <f>IFERROR(__xludf.DUMMYFUNCTION("""COMPUTED_VALUE"""),"")</f>
        <v/>
      </c>
      <c r="N480" s="8" t="str">
        <f>IFERROR(__xludf.DUMMYFUNCTION("""COMPUTED_VALUE"""),"")</f>
        <v/>
      </c>
      <c r="O480" s="8"/>
      <c r="P480" s="8"/>
    </row>
    <row r="481">
      <c r="A481" s="8"/>
      <c r="B481" s="25"/>
      <c r="C481" s="385"/>
      <c r="D481" s="385"/>
      <c r="E481" s="392"/>
      <c r="F481" s="8"/>
      <c r="G481" s="8"/>
      <c r="H481" s="389"/>
      <c r="I481" s="8" t="b">
        <v>0</v>
      </c>
      <c r="J481" s="388" t="str">
        <f>IFERROR(__xludf.DUMMYFUNCTION("""COMPUTED_VALUE"""),"")</f>
        <v/>
      </c>
      <c r="K481" s="8"/>
      <c r="L481" s="8"/>
      <c r="M481" s="8" t="str">
        <f>IFERROR(__xludf.DUMMYFUNCTION("""COMPUTED_VALUE"""),"")</f>
        <v/>
      </c>
      <c r="N481" s="8" t="str">
        <f>IFERROR(__xludf.DUMMYFUNCTION("""COMPUTED_VALUE"""),"")</f>
        <v/>
      </c>
      <c r="O481" s="8"/>
      <c r="P481" s="8"/>
    </row>
    <row r="482">
      <c r="A482" s="8"/>
      <c r="B482" s="25"/>
      <c r="C482" s="385"/>
      <c r="D482" s="385"/>
      <c r="E482" s="392"/>
      <c r="F482" s="8"/>
      <c r="G482" s="8"/>
      <c r="H482" s="389"/>
      <c r="I482" s="8" t="b">
        <v>0</v>
      </c>
      <c r="J482" s="388" t="str">
        <f>IFERROR(__xludf.DUMMYFUNCTION("""COMPUTED_VALUE"""),"")</f>
        <v/>
      </c>
      <c r="K482" s="8"/>
      <c r="L482" s="8"/>
      <c r="M482" s="8" t="str">
        <f>IFERROR(__xludf.DUMMYFUNCTION("""COMPUTED_VALUE"""),"")</f>
        <v/>
      </c>
      <c r="N482" s="8" t="str">
        <f>IFERROR(__xludf.DUMMYFUNCTION("""COMPUTED_VALUE"""),"")</f>
        <v/>
      </c>
      <c r="O482" s="8"/>
      <c r="P482" s="8"/>
    </row>
    <row r="483">
      <c r="A483" s="8"/>
      <c r="B483" s="25"/>
      <c r="C483" s="385"/>
      <c r="D483" s="385"/>
      <c r="E483" s="392"/>
      <c r="F483" s="8"/>
      <c r="G483" s="8"/>
      <c r="H483" s="389"/>
      <c r="I483" s="8" t="b">
        <v>0</v>
      </c>
      <c r="J483" s="388" t="str">
        <f>IFERROR(__xludf.DUMMYFUNCTION("""COMPUTED_VALUE"""),"")</f>
        <v/>
      </c>
      <c r="K483" s="8"/>
      <c r="L483" s="8"/>
      <c r="M483" s="8" t="str">
        <f>IFERROR(__xludf.DUMMYFUNCTION("""COMPUTED_VALUE"""),"")</f>
        <v/>
      </c>
      <c r="N483" s="8" t="str">
        <f>IFERROR(__xludf.DUMMYFUNCTION("""COMPUTED_VALUE"""),"")</f>
        <v/>
      </c>
      <c r="O483" s="8"/>
      <c r="P483" s="8"/>
    </row>
    <row r="484">
      <c r="A484" s="8"/>
      <c r="B484" s="25"/>
      <c r="C484" s="385"/>
      <c r="D484" s="385"/>
      <c r="E484" s="392"/>
      <c r="F484" s="8"/>
      <c r="G484" s="8"/>
      <c r="H484" s="389"/>
      <c r="I484" s="8" t="b">
        <v>0</v>
      </c>
      <c r="J484" s="388" t="str">
        <f>IFERROR(__xludf.DUMMYFUNCTION("""COMPUTED_VALUE"""),"")</f>
        <v/>
      </c>
      <c r="K484" s="8"/>
      <c r="L484" s="8"/>
      <c r="M484" s="8" t="str">
        <f>IFERROR(__xludf.DUMMYFUNCTION("""COMPUTED_VALUE"""),"")</f>
        <v/>
      </c>
      <c r="N484" s="8" t="str">
        <f>IFERROR(__xludf.DUMMYFUNCTION("""COMPUTED_VALUE"""),"")</f>
        <v/>
      </c>
      <c r="O484" s="8"/>
      <c r="P484" s="8"/>
    </row>
    <row r="485">
      <c r="A485" s="8"/>
      <c r="B485" s="25"/>
      <c r="C485" s="385"/>
      <c r="D485" s="385"/>
      <c r="E485" s="392"/>
      <c r="F485" s="8"/>
      <c r="G485" s="8"/>
      <c r="H485" s="389"/>
      <c r="I485" s="8" t="b">
        <v>0</v>
      </c>
      <c r="J485" s="388" t="str">
        <f>IFERROR(__xludf.DUMMYFUNCTION("""COMPUTED_VALUE"""),"")</f>
        <v/>
      </c>
      <c r="K485" s="8"/>
      <c r="L485" s="8"/>
      <c r="M485" s="8" t="str">
        <f>IFERROR(__xludf.DUMMYFUNCTION("""COMPUTED_VALUE"""),"")</f>
        <v/>
      </c>
      <c r="N485" s="8" t="str">
        <f>IFERROR(__xludf.DUMMYFUNCTION("""COMPUTED_VALUE"""),"")</f>
        <v/>
      </c>
      <c r="O485" s="8"/>
      <c r="P485" s="8"/>
    </row>
    <row r="486">
      <c r="A486" s="8"/>
      <c r="B486" s="25"/>
      <c r="C486" s="385"/>
      <c r="D486" s="385"/>
      <c r="E486" s="392"/>
      <c r="F486" s="8"/>
      <c r="G486" s="8"/>
      <c r="H486" s="389"/>
      <c r="I486" s="8" t="b">
        <v>0</v>
      </c>
      <c r="J486" s="388" t="str">
        <f>IFERROR(__xludf.DUMMYFUNCTION("""COMPUTED_VALUE"""),"")</f>
        <v/>
      </c>
      <c r="K486" s="8"/>
      <c r="L486" s="8"/>
      <c r="M486" s="8" t="str">
        <f>IFERROR(__xludf.DUMMYFUNCTION("""COMPUTED_VALUE"""),"")</f>
        <v/>
      </c>
      <c r="N486" s="8" t="str">
        <f>IFERROR(__xludf.DUMMYFUNCTION("""COMPUTED_VALUE"""),"")</f>
        <v/>
      </c>
      <c r="O486" s="8"/>
      <c r="P486" s="8"/>
    </row>
    <row r="487">
      <c r="A487" s="8"/>
      <c r="B487" s="25"/>
      <c r="C487" s="385"/>
      <c r="D487" s="385"/>
      <c r="E487" s="392"/>
      <c r="F487" s="8"/>
      <c r="G487" s="8"/>
      <c r="H487" s="389"/>
      <c r="I487" s="8" t="b">
        <v>0</v>
      </c>
      <c r="J487" s="388" t="str">
        <f>IFERROR(__xludf.DUMMYFUNCTION("""COMPUTED_VALUE"""),"")</f>
        <v/>
      </c>
      <c r="K487" s="8"/>
      <c r="L487" s="8"/>
      <c r="M487" s="8" t="str">
        <f>IFERROR(__xludf.DUMMYFUNCTION("""COMPUTED_VALUE"""),"")</f>
        <v/>
      </c>
      <c r="N487" s="8" t="str">
        <f>IFERROR(__xludf.DUMMYFUNCTION("""COMPUTED_VALUE"""),"")</f>
        <v/>
      </c>
      <c r="O487" s="8"/>
      <c r="P487" s="8"/>
    </row>
    <row r="488">
      <c r="A488" s="8"/>
      <c r="B488" s="25"/>
      <c r="C488" s="385"/>
      <c r="D488" s="385"/>
      <c r="E488" s="392"/>
      <c r="F488" s="8"/>
      <c r="G488" s="8"/>
      <c r="H488" s="389"/>
      <c r="I488" s="8" t="b">
        <v>0</v>
      </c>
      <c r="J488" s="388" t="str">
        <f>IFERROR(__xludf.DUMMYFUNCTION("""COMPUTED_VALUE"""),"")</f>
        <v/>
      </c>
      <c r="K488" s="8"/>
      <c r="L488" s="8"/>
      <c r="M488" s="8" t="str">
        <f>IFERROR(__xludf.DUMMYFUNCTION("""COMPUTED_VALUE"""),"")</f>
        <v/>
      </c>
      <c r="N488" s="8" t="str">
        <f>IFERROR(__xludf.DUMMYFUNCTION("""COMPUTED_VALUE"""),"")</f>
        <v/>
      </c>
      <c r="O488" s="8"/>
      <c r="P488" s="8"/>
    </row>
    <row r="489">
      <c r="A489" s="8"/>
      <c r="B489" s="25"/>
      <c r="C489" s="385"/>
      <c r="D489" s="385"/>
      <c r="E489" s="392"/>
      <c r="F489" s="8"/>
      <c r="G489" s="8"/>
      <c r="H489" s="389"/>
      <c r="I489" s="8" t="b">
        <v>0</v>
      </c>
      <c r="J489" s="388" t="str">
        <f>IFERROR(__xludf.DUMMYFUNCTION("""COMPUTED_VALUE"""),"")</f>
        <v/>
      </c>
      <c r="K489" s="8"/>
      <c r="L489" s="8"/>
      <c r="M489" s="8" t="str">
        <f>IFERROR(__xludf.DUMMYFUNCTION("""COMPUTED_VALUE"""),"")</f>
        <v/>
      </c>
      <c r="N489" s="8" t="str">
        <f>IFERROR(__xludf.DUMMYFUNCTION("""COMPUTED_VALUE"""),"")</f>
        <v/>
      </c>
      <c r="O489" s="8"/>
      <c r="P489" s="8"/>
    </row>
    <row r="490">
      <c r="A490" s="8"/>
      <c r="B490" s="25"/>
      <c r="C490" s="385"/>
      <c r="D490" s="385"/>
      <c r="E490" s="392"/>
      <c r="F490" s="8"/>
      <c r="G490" s="8"/>
      <c r="H490" s="389"/>
      <c r="I490" s="8" t="b">
        <v>0</v>
      </c>
      <c r="J490" s="388" t="str">
        <f>IFERROR(__xludf.DUMMYFUNCTION("""COMPUTED_VALUE"""),"")</f>
        <v/>
      </c>
      <c r="K490" s="8"/>
      <c r="L490" s="8"/>
      <c r="M490" s="8" t="str">
        <f>IFERROR(__xludf.DUMMYFUNCTION("""COMPUTED_VALUE"""),"")</f>
        <v/>
      </c>
      <c r="N490" s="8" t="str">
        <f>IFERROR(__xludf.DUMMYFUNCTION("""COMPUTED_VALUE"""),"")</f>
        <v/>
      </c>
      <c r="O490" s="8"/>
      <c r="P490" s="8"/>
    </row>
    <row r="491">
      <c r="A491" s="8"/>
      <c r="B491" s="25"/>
      <c r="C491" s="385"/>
      <c r="D491" s="385"/>
      <c r="E491" s="392"/>
      <c r="F491" s="8"/>
      <c r="G491" s="8"/>
      <c r="H491" s="389"/>
      <c r="I491" s="8" t="b">
        <v>0</v>
      </c>
      <c r="J491" s="388" t="str">
        <f>IFERROR(__xludf.DUMMYFUNCTION("""COMPUTED_VALUE"""),"")</f>
        <v/>
      </c>
      <c r="K491" s="8"/>
      <c r="L491" s="8"/>
      <c r="M491" s="8" t="str">
        <f>IFERROR(__xludf.DUMMYFUNCTION("""COMPUTED_VALUE"""),"")</f>
        <v/>
      </c>
      <c r="N491" s="8" t="str">
        <f>IFERROR(__xludf.DUMMYFUNCTION("""COMPUTED_VALUE"""),"")</f>
        <v/>
      </c>
      <c r="O491" s="8"/>
      <c r="P491" s="8"/>
    </row>
    <row r="492">
      <c r="A492" s="8"/>
      <c r="B492" s="25"/>
      <c r="C492" s="385"/>
      <c r="D492" s="385"/>
      <c r="E492" s="392"/>
      <c r="F492" s="8"/>
      <c r="G492" s="8"/>
      <c r="H492" s="389"/>
      <c r="I492" s="8" t="b">
        <v>0</v>
      </c>
      <c r="J492" s="388" t="str">
        <f>IFERROR(__xludf.DUMMYFUNCTION("""COMPUTED_VALUE"""),"")</f>
        <v/>
      </c>
      <c r="K492" s="8"/>
      <c r="L492" s="8"/>
      <c r="M492" s="8" t="str">
        <f>IFERROR(__xludf.DUMMYFUNCTION("""COMPUTED_VALUE"""),"")</f>
        <v/>
      </c>
      <c r="N492" s="8" t="str">
        <f>IFERROR(__xludf.DUMMYFUNCTION("""COMPUTED_VALUE"""),"")</f>
        <v/>
      </c>
      <c r="O492" s="8"/>
      <c r="P492" s="8"/>
    </row>
    <row r="493">
      <c r="A493" s="8"/>
      <c r="B493" s="25"/>
      <c r="C493" s="385"/>
      <c r="D493" s="385"/>
      <c r="E493" s="392"/>
      <c r="F493" s="8"/>
      <c r="G493" s="8"/>
      <c r="H493" s="389"/>
      <c r="I493" s="8" t="b">
        <v>0</v>
      </c>
      <c r="J493" s="388" t="str">
        <f>IFERROR(__xludf.DUMMYFUNCTION("""COMPUTED_VALUE"""),"")</f>
        <v/>
      </c>
      <c r="K493" s="8"/>
      <c r="L493" s="8"/>
      <c r="M493" s="8" t="str">
        <f>IFERROR(__xludf.DUMMYFUNCTION("""COMPUTED_VALUE"""),"")</f>
        <v/>
      </c>
      <c r="N493" s="8" t="str">
        <f>IFERROR(__xludf.DUMMYFUNCTION("""COMPUTED_VALUE"""),"")</f>
        <v/>
      </c>
      <c r="O493" s="8"/>
      <c r="P493" s="8"/>
    </row>
    <row r="494">
      <c r="A494" s="8"/>
      <c r="B494" s="25"/>
      <c r="C494" s="385"/>
      <c r="D494" s="385"/>
      <c r="E494" s="392"/>
      <c r="F494" s="8"/>
      <c r="G494" s="8"/>
      <c r="H494" s="389"/>
      <c r="I494" s="8" t="b">
        <v>0</v>
      </c>
      <c r="J494" s="388" t="str">
        <f>IFERROR(__xludf.DUMMYFUNCTION("""COMPUTED_VALUE"""),"")</f>
        <v/>
      </c>
      <c r="K494" s="8"/>
      <c r="L494" s="8"/>
      <c r="M494" s="8" t="str">
        <f>IFERROR(__xludf.DUMMYFUNCTION("""COMPUTED_VALUE"""),"")</f>
        <v/>
      </c>
      <c r="N494" s="8" t="str">
        <f>IFERROR(__xludf.DUMMYFUNCTION("""COMPUTED_VALUE"""),"")</f>
        <v/>
      </c>
      <c r="O494" s="8"/>
      <c r="P494" s="8"/>
    </row>
    <row r="495">
      <c r="A495" s="8"/>
      <c r="B495" s="25"/>
      <c r="C495" s="385"/>
      <c r="D495" s="385"/>
      <c r="E495" s="392"/>
      <c r="F495" s="8"/>
      <c r="G495" s="8"/>
      <c r="H495" s="389"/>
      <c r="I495" s="8" t="b">
        <v>0</v>
      </c>
      <c r="J495" s="388" t="str">
        <f>IFERROR(__xludf.DUMMYFUNCTION("""COMPUTED_VALUE"""),"")</f>
        <v/>
      </c>
      <c r="K495" s="8"/>
      <c r="L495" s="8"/>
      <c r="M495" s="8" t="str">
        <f>IFERROR(__xludf.DUMMYFUNCTION("""COMPUTED_VALUE"""),"")</f>
        <v/>
      </c>
      <c r="N495" s="8" t="str">
        <f>IFERROR(__xludf.DUMMYFUNCTION("""COMPUTED_VALUE"""),"")</f>
        <v/>
      </c>
      <c r="O495" s="8"/>
      <c r="P495" s="8"/>
    </row>
    <row r="496">
      <c r="A496" s="8"/>
      <c r="B496" s="25"/>
      <c r="C496" s="385"/>
      <c r="D496" s="385"/>
      <c r="E496" s="392"/>
      <c r="F496" s="8"/>
      <c r="G496" s="8"/>
      <c r="H496" s="389"/>
      <c r="I496" s="8" t="b">
        <v>0</v>
      </c>
      <c r="J496" s="388" t="str">
        <f>IFERROR(__xludf.DUMMYFUNCTION("""COMPUTED_VALUE"""),"")</f>
        <v/>
      </c>
      <c r="K496" s="8"/>
      <c r="L496" s="8"/>
      <c r="M496" s="8" t="str">
        <f>IFERROR(__xludf.DUMMYFUNCTION("""COMPUTED_VALUE"""),"")</f>
        <v/>
      </c>
      <c r="N496" s="8" t="str">
        <f>IFERROR(__xludf.DUMMYFUNCTION("""COMPUTED_VALUE"""),"")</f>
        <v/>
      </c>
      <c r="O496" s="8"/>
      <c r="P496" s="8"/>
    </row>
    <row r="497">
      <c r="A497" s="8"/>
      <c r="B497" s="25"/>
      <c r="C497" s="385"/>
      <c r="D497" s="385"/>
      <c r="E497" s="392"/>
      <c r="F497" s="8"/>
      <c r="G497" s="8"/>
      <c r="H497" s="389"/>
      <c r="I497" s="8" t="b">
        <v>0</v>
      </c>
      <c r="J497" s="388" t="str">
        <f>IFERROR(__xludf.DUMMYFUNCTION("""COMPUTED_VALUE"""),"")</f>
        <v/>
      </c>
      <c r="K497" s="8"/>
      <c r="L497" s="8"/>
      <c r="M497" s="8" t="str">
        <f>IFERROR(__xludf.DUMMYFUNCTION("""COMPUTED_VALUE"""),"")</f>
        <v/>
      </c>
      <c r="N497" s="8" t="str">
        <f>IFERROR(__xludf.DUMMYFUNCTION("""COMPUTED_VALUE"""),"")</f>
        <v/>
      </c>
      <c r="O497" s="8"/>
      <c r="P497" s="8"/>
    </row>
    <row r="498">
      <c r="A498" s="8"/>
      <c r="B498" s="25"/>
      <c r="C498" s="385"/>
      <c r="D498" s="385"/>
      <c r="E498" s="392"/>
      <c r="F498" s="8"/>
      <c r="G498" s="8"/>
      <c r="H498" s="389"/>
      <c r="I498" s="8" t="b">
        <v>0</v>
      </c>
      <c r="J498" s="388" t="str">
        <f>IFERROR(__xludf.DUMMYFUNCTION("""COMPUTED_VALUE"""),"")</f>
        <v/>
      </c>
      <c r="K498" s="8"/>
      <c r="L498" s="8"/>
      <c r="M498" s="8" t="str">
        <f>IFERROR(__xludf.DUMMYFUNCTION("""COMPUTED_VALUE"""),"")</f>
        <v/>
      </c>
      <c r="N498" s="8" t="str">
        <f>IFERROR(__xludf.DUMMYFUNCTION("""COMPUTED_VALUE"""),"")</f>
        <v/>
      </c>
      <c r="O498" s="8"/>
      <c r="P498" s="8"/>
    </row>
    <row r="499">
      <c r="A499" s="8"/>
      <c r="B499" s="25"/>
      <c r="C499" s="385"/>
      <c r="D499" s="385"/>
      <c r="E499" s="392"/>
      <c r="F499" s="8"/>
      <c r="G499" s="8"/>
      <c r="H499" s="389"/>
      <c r="I499" s="8" t="b">
        <v>0</v>
      </c>
      <c r="J499" s="388" t="str">
        <f>IFERROR(__xludf.DUMMYFUNCTION("""COMPUTED_VALUE"""),"")</f>
        <v/>
      </c>
      <c r="K499" s="8"/>
      <c r="L499" s="8"/>
      <c r="M499" s="8" t="str">
        <f>IFERROR(__xludf.DUMMYFUNCTION("""COMPUTED_VALUE"""),"")</f>
        <v/>
      </c>
      <c r="N499" s="8" t="str">
        <f>IFERROR(__xludf.DUMMYFUNCTION("""COMPUTED_VALUE"""),"")</f>
        <v/>
      </c>
      <c r="O499" s="8"/>
      <c r="P499" s="8"/>
    </row>
    <row r="500">
      <c r="A500" s="8"/>
      <c r="B500" s="25"/>
      <c r="C500" s="385"/>
      <c r="D500" s="385"/>
      <c r="E500" s="392"/>
      <c r="F500" s="8"/>
      <c r="G500" s="8"/>
      <c r="H500" s="389"/>
      <c r="I500" s="8" t="b">
        <v>0</v>
      </c>
      <c r="J500" s="388" t="str">
        <f>IFERROR(__xludf.DUMMYFUNCTION("""COMPUTED_VALUE"""),"")</f>
        <v/>
      </c>
      <c r="K500" s="8"/>
      <c r="L500" s="8"/>
      <c r="M500" s="8" t="str">
        <f>IFERROR(__xludf.DUMMYFUNCTION("""COMPUTED_VALUE"""),"")</f>
        <v/>
      </c>
      <c r="N500" s="8" t="str">
        <f>IFERROR(__xludf.DUMMYFUNCTION("""COMPUTED_VALUE"""),"")</f>
        <v/>
      </c>
      <c r="O500" s="8"/>
      <c r="P500" s="8"/>
    </row>
    <row r="501">
      <c r="A501" s="8"/>
      <c r="B501" s="25"/>
      <c r="C501" s="385"/>
      <c r="D501" s="385"/>
      <c r="E501" s="392"/>
      <c r="F501" s="8"/>
      <c r="G501" s="8"/>
      <c r="H501" s="389"/>
      <c r="I501" s="8" t="b">
        <v>0</v>
      </c>
      <c r="J501" s="388" t="str">
        <f>IFERROR(__xludf.DUMMYFUNCTION("""COMPUTED_VALUE"""),"")</f>
        <v/>
      </c>
      <c r="K501" s="8"/>
      <c r="L501" s="8"/>
      <c r="M501" s="8" t="str">
        <f>IFERROR(__xludf.DUMMYFUNCTION("""COMPUTED_VALUE"""),"")</f>
        <v/>
      </c>
      <c r="N501" s="8" t="str">
        <f>IFERROR(__xludf.DUMMYFUNCTION("""COMPUTED_VALUE"""),"")</f>
        <v/>
      </c>
      <c r="O501" s="8"/>
      <c r="P501" s="8"/>
    </row>
    <row r="502">
      <c r="A502" s="8"/>
      <c r="B502" s="25"/>
      <c r="C502" s="385"/>
      <c r="D502" s="385"/>
      <c r="E502" s="392"/>
      <c r="F502" s="8"/>
      <c r="G502" s="8"/>
      <c r="H502" s="389"/>
      <c r="I502" s="8" t="b">
        <v>0</v>
      </c>
      <c r="J502" s="388" t="str">
        <f>IFERROR(__xludf.DUMMYFUNCTION("""COMPUTED_VALUE"""),"")</f>
        <v/>
      </c>
      <c r="K502" s="8"/>
      <c r="L502" s="8"/>
      <c r="M502" s="8" t="str">
        <f>IFERROR(__xludf.DUMMYFUNCTION("""COMPUTED_VALUE"""),"")</f>
        <v/>
      </c>
      <c r="N502" s="8" t="str">
        <f>IFERROR(__xludf.DUMMYFUNCTION("""COMPUTED_VALUE"""),"")</f>
        <v/>
      </c>
      <c r="O502" s="8"/>
      <c r="P502" s="8"/>
    </row>
    <row r="503">
      <c r="A503" s="8"/>
      <c r="B503" s="25"/>
      <c r="C503" s="385"/>
      <c r="D503" s="385"/>
      <c r="E503" s="392"/>
      <c r="F503" s="8"/>
      <c r="G503" s="8"/>
      <c r="H503" s="389"/>
      <c r="I503" s="8" t="b">
        <v>0</v>
      </c>
      <c r="J503" s="388" t="str">
        <f>IFERROR(__xludf.DUMMYFUNCTION("""COMPUTED_VALUE"""),"")</f>
        <v/>
      </c>
      <c r="K503" s="8"/>
      <c r="L503" s="8"/>
      <c r="M503" s="8" t="str">
        <f>IFERROR(__xludf.DUMMYFUNCTION("""COMPUTED_VALUE"""),"")</f>
        <v/>
      </c>
      <c r="N503" s="8" t="str">
        <f>IFERROR(__xludf.DUMMYFUNCTION("""COMPUTED_VALUE"""),"")</f>
        <v/>
      </c>
      <c r="O503" s="8"/>
      <c r="P503" s="8"/>
    </row>
    <row r="504">
      <c r="A504" s="8"/>
      <c r="B504" s="25"/>
      <c r="C504" s="385"/>
      <c r="D504" s="385"/>
      <c r="E504" s="392"/>
      <c r="F504" s="8"/>
      <c r="G504" s="8"/>
      <c r="H504" s="389"/>
      <c r="I504" s="8" t="b">
        <v>0</v>
      </c>
      <c r="J504" s="388" t="str">
        <f>IFERROR(__xludf.DUMMYFUNCTION("""COMPUTED_VALUE"""),"")</f>
        <v/>
      </c>
      <c r="K504" s="8"/>
      <c r="L504" s="8"/>
      <c r="M504" s="8" t="str">
        <f>IFERROR(__xludf.DUMMYFUNCTION("""COMPUTED_VALUE"""),"")</f>
        <v/>
      </c>
      <c r="N504" s="8" t="str">
        <f>IFERROR(__xludf.DUMMYFUNCTION("""COMPUTED_VALUE"""),"")</f>
        <v/>
      </c>
      <c r="O504" s="8"/>
      <c r="P504" s="8"/>
    </row>
    <row r="505">
      <c r="A505" s="8"/>
      <c r="B505" s="25"/>
      <c r="C505" s="385"/>
      <c r="D505" s="385"/>
      <c r="E505" s="392"/>
      <c r="F505" s="8"/>
      <c r="G505" s="8"/>
      <c r="H505" s="389"/>
      <c r="I505" s="8" t="b">
        <v>0</v>
      </c>
      <c r="J505" s="388" t="str">
        <f>IFERROR(__xludf.DUMMYFUNCTION("""COMPUTED_VALUE"""),"")</f>
        <v/>
      </c>
      <c r="K505" s="8"/>
      <c r="L505" s="8"/>
      <c r="M505" s="8" t="str">
        <f>IFERROR(__xludf.DUMMYFUNCTION("""COMPUTED_VALUE"""),"")</f>
        <v/>
      </c>
      <c r="N505" s="8" t="str">
        <f>IFERROR(__xludf.DUMMYFUNCTION("""COMPUTED_VALUE"""),"")</f>
        <v/>
      </c>
      <c r="O505" s="8"/>
      <c r="P505" s="8"/>
    </row>
    <row r="506">
      <c r="A506" s="8"/>
      <c r="B506" s="25"/>
      <c r="C506" s="385"/>
      <c r="D506" s="385"/>
      <c r="E506" s="392"/>
      <c r="F506" s="8"/>
      <c r="G506" s="8"/>
      <c r="H506" s="389"/>
      <c r="I506" s="8" t="b">
        <v>0</v>
      </c>
      <c r="J506" s="388" t="str">
        <f>IFERROR(__xludf.DUMMYFUNCTION("""COMPUTED_VALUE"""),"")</f>
        <v/>
      </c>
      <c r="K506" s="8"/>
      <c r="L506" s="8"/>
      <c r="M506" s="8" t="str">
        <f>IFERROR(__xludf.DUMMYFUNCTION("""COMPUTED_VALUE"""),"")</f>
        <v/>
      </c>
      <c r="N506" s="8" t="str">
        <f>IFERROR(__xludf.DUMMYFUNCTION("""COMPUTED_VALUE"""),"")</f>
        <v/>
      </c>
      <c r="O506" s="8"/>
      <c r="P506" s="8"/>
    </row>
    <row r="507">
      <c r="A507" s="8"/>
      <c r="B507" s="25"/>
      <c r="C507" s="385"/>
      <c r="D507" s="385"/>
      <c r="E507" s="392"/>
      <c r="F507" s="8"/>
      <c r="G507" s="8"/>
      <c r="H507" s="389"/>
      <c r="I507" s="8" t="b">
        <v>0</v>
      </c>
      <c r="J507" s="388" t="str">
        <f>IFERROR(__xludf.DUMMYFUNCTION("""COMPUTED_VALUE"""),"")</f>
        <v/>
      </c>
      <c r="K507" s="8"/>
      <c r="L507" s="8"/>
      <c r="M507" s="8" t="str">
        <f>IFERROR(__xludf.DUMMYFUNCTION("""COMPUTED_VALUE"""),"")</f>
        <v/>
      </c>
      <c r="N507" s="8" t="str">
        <f>IFERROR(__xludf.DUMMYFUNCTION("""COMPUTED_VALUE"""),"")</f>
        <v/>
      </c>
      <c r="O507" s="8"/>
      <c r="P507" s="8"/>
    </row>
    <row r="508">
      <c r="A508" s="8"/>
      <c r="B508" s="25"/>
      <c r="C508" s="385"/>
      <c r="D508" s="385"/>
      <c r="E508" s="392"/>
      <c r="F508" s="8"/>
      <c r="G508" s="8"/>
      <c r="H508" s="389"/>
      <c r="I508" s="8" t="b">
        <v>0</v>
      </c>
      <c r="J508" s="388" t="str">
        <f>IFERROR(__xludf.DUMMYFUNCTION("""COMPUTED_VALUE"""),"")</f>
        <v/>
      </c>
      <c r="K508" s="8"/>
      <c r="L508" s="8"/>
      <c r="M508" s="8" t="str">
        <f>IFERROR(__xludf.DUMMYFUNCTION("""COMPUTED_VALUE"""),"")</f>
        <v/>
      </c>
      <c r="N508" s="8" t="str">
        <f>IFERROR(__xludf.DUMMYFUNCTION("""COMPUTED_VALUE"""),"")</f>
        <v/>
      </c>
      <c r="O508" s="8"/>
      <c r="P508" s="8"/>
    </row>
    <row r="509">
      <c r="A509" s="8"/>
      <c r="B509" s="25"/>
      <c r="C509" s="385"/>
      <c r="D509" s="385"/>
      <c r="E509" s="392"/>
      <c r="F509" s="8"/>
      <c r="G509" s="8"/>
      <c r="H509" s="389"/>
      <c r="I509" s="8" t="b">
        <v>0</v>
      </c>
      <c r="J509" s="388" t="str">
        <f>IFERROR(__xludf.DUMMYFUNCTION("""COMPUTED_VALUE"""),"")</f>
        <v/>
      </c>
      <c r="K509" s="8"/>
      <c r="L509" s="8"/>
      <c r="M509" s="8" t="str">
        <f>IFERROR(__xludf.DUMMYFUNCTION("""COMPUTED_VALUE"""),"")</f>
        <v/>
      </c>
      <c r="N509" s="8" t="str">
        <f>IFERROR(__xludf.DUMMYFUNCTION("""COMPUTED_VALUE"""),"")</f>
        <v/>
      </c>
      <c r="O509" s="8"/>
      <c r="P509" s="8"/>
    </row>
    <row r="510">
      <c r="A510" s="8"/>
      <c r="B510" s="25"/>
      <c r="C510" s="385"/>
      <c r="D510" s="385"/>
      <c r="E510" s="392"/>
      <c r="F510" s="8"/>
      <c r="G510" s="8"/>
      <c r="H510" s="389"/>
      <c r="I510" s="8" t="b">
        <v>0</v>
      </c>
      <c r="J510" s="388" t="str">
        <f>IFERROR(__xludf.DUMMYFUNCTION("""COMPUTED_VALUE"""),"")</f>
        <v/>
      </c>
      <c r="K510" s="8"/>
      <c r="L510" s="8"/>
      <c r="M510" s="8" t="str">
        <f>IFERROR(__xludf.DUMMYFUNCTION("""COMPUTED_VALUE"""),"")</f>
        <v/>
      </c>
      <c r="N510" s="8" t="str">
        <f>IFERROR(__xludf.DUMMYFUNCTION("""COMPUTED_VALUE"""),"")</f>
        <v/>
      </c>
      <c r="O510" s="8"/>
      <c r="P510" s="8"/>
    </row>
    <row r="511">
      <c r="A511" s="8"/>
      <c r="B511" s="25"/>
      <c r="C511" s="385"/>
      <c r="D511" s="385"/>
      <c r="E511" s="392"/>
      <c r="F511" s="8"/>
      <c r="G511" s="8"/>
      <c r="H511" s="389"/>
      <c r="I511" s="8" t="b">
        <v>0</v>
      </c>
      <c r="J511" s="388" t="str">
        <f>IFERROR(__xludf.DUMMYFUNCTION("""COMPUTED_VALUE"""),"")</f>
        <v/>
      </c>
      <c r="K511" s="8"/>
      <c r="L511" s="8"/>
      <c r="M511" s="8" t="str">
        <f>IFERROR(__xludf.DUMMYFUNCTION("""COMPUTED_VALUE"""),"")</f>
        <v/>
      </c>
      <c r="N511" s="8" t="str">
        <f>IFERROR(__xludf.DUMMYFUNCTION("""COMPUTED_VALUE"""),"")</f>
        <v/>
      </c>
      <c r="O511" s="8"/>
      <c r="P511" s="8"/>
    </row>
    <row r="512">
      <c r="A512" s="8"/>
      <c r="B512" s="25"/>
      <c r="C512" s="385"/>
      <c r="D512" s="385"/>
      <c r="E512" s="392"/>
      <c r="F512" s="8"/>
      <c r="G512" s="8"/>
      <c r="H512" s="389"/>
      <c r="I512" s="8" t="b">
        <v>0</v>
      </c>
      <c r="J512" s="388" t="str">
        <f>IFERROR(__xludf.DUMMYFUNCTION("""COMPUTED_VALUE"""),"")</f>
        <v/>
      </c>
      <c r="K512" s="8"/>
      <c r="L512" s="8"/>
      <c r="M512" s="8" t="str">
        <f>IFERROR(__xludf.DUMMYFUNCTION("""COMPUTED_VALUE"""),"")</f>
        <v/>
      </c>
      <c r="N512" s="8" t="str">
        <f>IFERROR(__xludf.DUMMYFUNCTION("""COMPUTED_VALUE"""),"")</f>
        <v/>
      </c>
      <c r="O512" s="8"/>
      <c r="P512" s="8"/>
    </row>
    <row r="513">
      <c r="A513" s="8"/>
      <c r="B513" s="25"/>
      <c r="C513" s="385"/>
      <c r="D513" s="385"/>
      <c r="E513" s="392"/>
      <c r="F513" s="8"/>
      <c r="G513" s="8"/>
      <c r="H513" s="389"/>
      <c r="I513" s="8" t="b">
        <v>0</v>
      </c>
      <c r="J513" s="388" t="str">
        <f>IFERROR(__xludf.DUMMYFUNCTION("""COMPUTED_VALUE"""),"")</f>
        <v/>
      </c>
      <c r="K513" s="8"/>
      <c r="L513" s="8"/>
      <c r="M513" s="8" t="str">
        <f>IFERROR(__xludf.DUMMYFUNCTION("""COMPUTED_VALUE"""),"")</f>
        <v/>
      </c>
      <c r="N513" s="8" t="str">
        <f>IFERROR(__xludf.DUMMYFUNCTION("""COMPUTED_VALUE"""),"")</f>
        <v/>
      </c>
      <c r="O513" s="8"/>
      <c r="P513" s="8"/>
    </row>
    <row r="514">
      <c r="A514" s="8"/>
      <c r="B514" s="25"/>
      <c r="C514" s="385"/>
      <c r="D514" s="385"/>
      <c r="E514" s="392"/>
      <c r="F514" s="8"/>
      <c r="G514" s="8"/>
      <c r="H514" s="389"/>
      <c r="I514" s="8" t="b">
        <v>0</v>
      </c>
      <c r="J514" s="388" t="str">
        <f>IFERROR(__xludf.DUMMYFUNCTION("""COMPUTED_VALUE"""),"")</f>
        <v/>
      </c>
      <c r="K514" s="8"/>
      <c r="L514" s="8"/>
      <c r="M514" s="8" t="str">
        <f>IFERROR(__xludf.DUMMYFUNCTION("""COMPUTED_VALUE"""),"")</f>
        <v/>
      </c>
      <c r="N514" s="8" t="str">
        <f>IFERROR(__xludf.DUMMYFUNCTION("""COMPUTED_VALUE"""),"")</f>
        <v/>
      </c>
      <c r="O514" s="8"/>
      <c r="P514" s="8"/>
    </row>
    <row r="515">
      <c r="A515" s="8"/>
      <c r="B515" s="25"/>
      <c r="C515" s="385"/>
      <c r="D515" s="385"/>
      <c r="E515" s="392"/>
      <c r="F515" s="8"/>
      <c r="G515" s="8"/>
      <c r="H515" s="389"/>
      <c r="I515" s="8" t="b">
        <v>0</v>
      </c>
      <c r="J515" s="388" t="str">
        <f>IFERROR(__xludf.DUMMYFUNCTION("""COMPUTED_VALUE"""),"")</f>
        <v/>
      </c>
      <c r="K515" s="8"/>
      <c r="L515" s="8"/>
      <c r="M515" s="8" t="str">
        <f>IFERROR(__xludf.DUMMYFUNCTION("""COMPUTED_VALUE"""),"")</f>
        <v/>
      </c>
      <c r="N515" s="8" t="str">
        <f>IFERROR(__xludf.DUMMYFUNCTION("""COMPUTED_VALUE"""),"")</f>
        <v/>
      </c>
      <c r="O515" s="8"/>
      <c r="P515" s="8"/>
    </row>
    <row r="516">
      <c r="A516" s="8"/>
      <c r="B516" s="25"/>
      <c r="C516" s="385"/>
      <c r="D516" s="385"/>
      <c r="E516" s="392"/>
      <c r="F516" s="8"/>
      <c r="G516" s="8"/>
      <c r="H516" s="389"/>
      <c r="I516" s="8" t="b">
        <v>0</v>
      </c>
      <c r="J516" s="388" t="str">
        <f>IFERROR(__xludf.DUMMYFUNCTION("""COMPUTED_VALUE"""),"")</f>
        <v/>
      </c>
      <c r="K516" s="8"/>
      <c r="L516" s="8"/>
      <c r="M516" s="8" t="str">
        <f>IFERROR(__xludf.DUMMYFUNCTION("""COMPUTED_VALUE"""),"")</f>
        <v/>
      </c>
      <c r="N516" s="8" t="str">
        <f>IFERROR(__xludf.DUMMYFUNCTION("""COMPUTED_VALUE"""),"")</f>
        <v/>
      </c>
      <c r="O516" s="8"/>
      <c r="P516" s="8"/>
    </row>
    <row r="517">
      <c r="A517" s="8"/>
      <c r="B517" s="25"/>
      <c r="C517" s="385"/>
      <c r="D517" s="385"/>
      <c r="E517" s="392"/>
      <c r="F517" s="8"/>
      <c r="G517" s="8"/>
      <c r="H517" s="389"/>
      <c r="I517" s="8" t="b">
        <v>0</v>
      </c>
      <c r="J517" s="388" t="str">
        <f>IFERROR(__xludf.DUMMYFUNCTION("""COMPUTED_VALUE"""),"")</f>
        <v/>
      </c>
      <c r="K517" s="8"/>
      <c r="L517" s="8"/>
      <c r="M517" s="8" t="str">
        <f>IFERROR(__xludf.DUMMYFUNCTION("""COMPUTED_VALUE"""),"")</f>
        <v/>
      </c>
      <c r="N517" s="8" t="str">
        <f>IFERROR(__xludf.DUMMYFUNCTION("""COMPUTED_VALUE"""),"")</f>
        <v/>
      </c>
      <c r="O517" s="8"/>
      <c r="P517" s="8"/>
    </row>
    <row r="518">
      <c r="A518" s="8"/>
      <c r="B518" s="25"/>
      <c r="C518" s="385"/>
      <c r="D518" s="385"/>
      <c r="E518" s="392"/>
      <c r="F518" s="8"/>
      <c r="G518" s="8"/>
      <c r="H518" s="389"/>
      <c r="I518" s="8" t="b">
        <v>0</v>
      </c>
      <c r="J518" s="388" t="str">
        <f>IFERROR(__xludf.DUMMYFUNCTION("""COMPUTED_VALUE"""),"")</f>
        <v/>
      </c>
      <c r="K518" s="8"/>
      <c r="L518" s="8"/>
      <c r="M518" s="8" t="str">
        <f>IFERROR(__xludf.DUMMYFUNCTION("""COMPUTED_VALUE"""),"")</f>
        <v/>
      </c>
      <c r="N518" s="8" t="str">
        <f>IFERROR(__xludf.DUMMYFUNCTION("""COMPUTED_VALUE"""),"")</f>
        <v/>
      </c>
      <c r="O518" s="8"/>
      <c r="P518" s="8"/>
    </row>
    <row r="519">
      <c r="A519" s="8"/>
      <c r="B519" s="25"/>
      <c r="C519" s="385"/>
      <c r="D519" s="385"/>
      <c r="E519" s="392"/>
      <c r="F519" s="8"/>
      <c r="G519" s="8"/>
      <c r="H519" s="389"/>
      <c r="I519" s="8" t="b">
        <v>0</v>
      </c>
      <c r="J519" s="388" t="str">
        <f>IFERROR(__xludf.DUMMYFUNCTION("""COMPUTED_VALUE"""),"")</f>
        <v/>
      </c>
      <c r="K519" s="8"/>
      <c r="L519" s="8"/>
      <c r="M519" s="8" t="str">
        <f>IFERROR(__xludf.DUMMYFUNCTION("""COMPUTED_VALUE"""),"")</f>
        <v/>
      </c>
      <c r="N519" s="8" t="str">
        <f>IFERROR(__xludf.DUMMYFUNCTION("""COMPUTED_VALUE"""),"")</f>
        <v/>
      </c>
      <c r="O519" s="8"/>
      <c r="P519" s="8"/>
    </row>
    <row r="520">
      <c r="A520" s="8"/>
      <c r="B520" s="25"/>
      <c r="C520" s="385"/>
      <c r="D520" s="385"/>
      <c r="E520" s="392"/>
      <c r="F520" s="8"/>
      <c r="G520" s="8"/>
      <c r="H520" s="389"/>
      <c r="I520" s="8" t="b">
        <v>0</v>
      </c>
      <c r="J520" s="388" t="str">
        <f>IFERROR(__xludf.DUMMYFUNCTION("""COMPUTED_VALUE"""),"")</f>
        <v/>
      </c>
      <c r="K520" s="8"/>
      <c r="L520" s="8"/>
      <c r="M520" s="8" t="str">
        <f>IFERROR(__xludf.DUMMYFUNCTION("""COMPUTED_VALUE"""),"")</f>
        <v/>
      </c>
      <c r="N520" s="8" t="str">
        <f>IFERROR(__xludf.DUMMYFUNCTION("""COMPUTED_VALUE"""),"")</f>
        <v/>
      </c>
      <c r="O520" s="8"/>
      <c r="P520" s="8"/>
    </row>
    <row r="521">
      <c r="A521" s="8"/>
      <c r="B521" s="25"/>
      <c r="C521" s="385"/>
      <c r="D521" s="385"/>
      <c r="E521" s="392"/>
      <c r="F521" s="8"/>
      <c r="G521" s="8"/>
      <c r="H521" s="389"/>
      <c r="I521" s="8" t="b">
        <v>0</v>
      </c>
      <c r="J521" s="388" t="str">
        <f>IFERROR(__xludf.DUMMYFUNCTION("""COMPUTED_VALUE"""),"")</f>
        <v/>
      </c>
      <c r="K521" s="8"/>
      <c r="L521" s="8"/>
      <c r="M521" s="8" t="str">
        <f>IFERROR(__xludf.DUMMYFUNCTION("""COMPUTED_VALUE"""),"")</f>
        <v/>
      </c>
      <c r="N521" s="8" t="str">
        <f>IFERROR(__xludf.DUMMYFUNCTION("""COMPUTED_VALUE"""),"")</f>
        <v/>
      </c>
      <c r="O521" s="8"/>
      <c r="P521" s="8"/>
    </row>
    <row r="522">
      <c r="A522" s="8"/>
      <c r="B522" s="25"/>
      <c r="C522" s="385"/>
      <c r="D522" s="385"/>
      <c r="E522" s="392"/>
      <c r="F522" s="8"/>
      <c r="G522" s="8"/>
      <c r="H522" s="389"/>
      <c r="I522" s="8" t="b">
        <v>0</v>
      </c>
      <c r="J522" s="388" t="str">
        <f>IFERROR(__xludf.DUMMYFUNCTION("""COMPUTED_VALUE"""),"")</f>
        <v/>
      </c>
      <c r="K522" s="8"/>
      <c r="L522" s="8"/>
      <c r="M522" s="8" t="str">
        <f>IFERROR(__xludf.DUMMYFUNCTION("""COMPUTED_VALUE"""),"")</f>
        <v/>
      </c>
      <c r="N522" s="8" t="str">
        <f>IFERROR(__xludf.DUMMYFUNCTION("""COMPUTED_VALUE"""),"")</f>
        <v/>
      </c>
      <c r="O522" s="8"/>
      <c r="P522" s="8"/>
    </row>
    <row r="523">
      <c r="A523" s="8"/>
      <c r="B523" s="25"/>
      <c r="C523" s="385"/>
      <c r="D523" s="385"/>
      <c r="E523" s="392"/>
      <c r="F523" s="8"/>
      <c r="G523" s="8"/>
      <c r="H523" s="389"/>
      <c r="I523" s="8" t="b">
        <v>0</v>
      </c>
      <c r="J523" s="388" t="str">
        <f>IFERROR(__xludf.DUMMYFUNCTION("""COMPUTED_VALUE"""),"")</f>
        <v/>
      </c>
      <c r="K523" s="8"/>
      <c r="L523" s="8"/>
      <c r="M523" s="8" t="str">
        <f>IFERROR(__xludf.DUMMYFUNCTION("""COMPUTED_VALUE"""),"")</f>
        <v/>
      </c>
      <c r="N523" s="8" t="str">
        <f>IFERROR(__xludf.DUMMYFUNCTION("""COMPUTED_VALUE"""),"")</f>
        <v/>
      </c>
      <c r="O523" s="8"/>
      <c r="P523" s="8"/>
    </row>
    <row r="524">
      <c r="A524" s="8"/>
      <c r="B524" s="25"/>
      <c r="C524" s="385"/>
      <c r="D524" s="385"/>
      <c r="E524" s="392"/>
      <c r="F524" s="8"/>
      <c r="G524" s="8"/>
      <c r="H524" s="389"/>
      <c r="I524" s="8" t="b">
        <v>0</v>
      </c>
      <c r="J524" s="388" t="str">
        <f>IFERROR(__xludf.DUMMYFUNCTION("""COMPUTED_VALUE"""),"")</f>
        <v/>
      </c>
      <c r="K524" s="8"/>
      <c r="L524" s="8"/>
      <c r="M524" s="8" t="str">
        <f>IFERROR(__xludf.DUMMYFUNCTION("""COMPUTED_VALUE"""),"")</f>
        <v/>
      </c>
      <c r="N524" s="8" t="str">
        <f>IFERROR(__xludf.DUMMYFUNCTION("""COMPUTED_VALUE"""),"")</f>
        <v/>
      </c>
      <c r="O524" s="8"/>
      <c r="P524" s="8"/>
    </row>
    <row r="525">
      <c r="A525" s="8"/>
      <c r="B525" s="25"/>
      <c r="C525" s="385"/>
      <c r="D525" s="385"/>
      <c r="E525" s="392"/>
      <c r="F525" s="8"/>
      <c r="G525" s="8"/>
      <c r="H525" s="389"/>
      <c r="I525" s="8" t="b">
        <v>0</v>
      </c>
      <c r="J525" s="388" t="str">
        <f>IFERROR(__xludf.DUMMYFUNCTION("""COMPUTED_VALUE"""),"")</f>
        <v/>
      </c>
      <c r="K525" s="8"/>
      <c r="L525" s="8"/>
      <c r="M525" s="8" t="str">
        <f>IFERROR(__xludf.DUMMYFUNCTION("""COMPUTED_VALUE"""),"")</f>
        <v/>
      </c>
      <c r="N525" s="8" t="str">
        <f>IFERROR(__xludf.DUMMYFUNCTION("""COMPUTED_VALUE"""),"")</f>
        <v/>
      </c>
      <c r="O525" s="8"/>
      <c r="P525" s="8"/>
    </row>
    <row r="526">
      <c r="A526" s="8"/>
      <c r="B526" s="25"/>
      <c r="C526" s="385"/>
      <c r="D526" s="385"/>
      <c r="E526" s="392"/>
      <c r="F526" s="8"/>
      <c r="G526" s="8"/>
      <c r="H526" s="389"/>
      <c r="I526" s="8" t="b">
        <v>0</v>
      </c>
      <c r="J526" s="388" t="str">
        <f>IFERROR(__xludf.DUMMYFUNCTION("""COMPUTED_VALUE"""),"")</f>
        <v/>
      </c>
      <c r="K526" s="8"/>
      <c r="L526" s="8"/>
      <c r="M526" s="8" t="str">
        <f>IFERROR(__xludf.DUMMYFUNCTION("""COMPUTED_VALUE"""),"")</f>
        <v/>
      </c>
      <c r="N526" s="8" t="str">
        <f>IFERROR(__xludf.DUMMYFUNCTION("""COMPUTED_VALUE"""),"")</f>
        <v/>
      </c>
      <c r="O526" s="8"/>
      <c r="P526" s="8"/>
    </row>
    <row r="527">
      <c r="A527" s="8"/>
      <c r="B527" s="25"/>
      <c r="C527" s="385"/>
      <c r="D527" s="385"/>
      <c r="E527" s="392"/>
      <c r="F527" s="8"/>
      <c r="G527" s="8"/>
      <c r="H527" s="389"/>
      <c r="I527" s="8" t="b">
        <v>0</v>
      </c>
      <c r="J527" s="388" t="str">
        <f>IFERROR(__xludf.DUMMYFUNCTION("""COMPUTED_VALUE"""),"")</f>
        <v/>
      </c>
      <c r="K527" s="8"/>
      <c r="L527" s="8"/>
      <c r="M527" s="8" t="str">
        <f>IFERROR(__xludf.DUMMYFUNCTION("""COMPUTED_VALUE"""),"")</f>
        <v/>
      </c>
      <c r="N527" s="8" t="str">
        <f>IFERROR(__xludf.DUMMYFUNCTION("""COMPUTED_VALUE"""),"")</f>
        <v/>
      </c>
      <c r="O527" s="8"/>
      <c r="P527" s="8"/>
    </row>
    <row r="528">
      <c r="A528" s="8"/>
      <c r="B528" s="25"/>
      <c r="C528" s="385"/>
      <c r="D528" s="385"/>
      <c r="E528" s="392"/>
      <c r="F528" s="8"/>
      <c r="G528" s="8"/>
      <c r="H528" s="389"/>
      <c r="I528" s="8" t="b">
        <v>0</v>
      </c>
      <c r="J528" s="388" t="str">
        <f>IFERROR(__xludf.DUMMYFUNCTION("""COMPUTED_VALUE"""),"")</f>
        <v/>
      </c>
      <c r="K528" s="8"/>
      <c r="L528" s="8"/>
      <c r="M528" s="8" t="str">
        <f>IFERROR(__xludf.DUMMYFUNCTION("""COMPUTED_VALUE"""),"")</f>
        <v/>
      </c>
      <c r="N528" s="8" t="str">
        <f>IFERROR(__xludf.DUMMYFUNCTION("""COMPUTED_VALUE"""),"")</f>
        <v/>
      </c>
      <c r="O528" s="8"/>
      <c r="P528" s="8"/>
    </row>
    <row r="529">
      <c r="A529" s="8"/>
      <c r="B529" s="25"/>
      <c r="C529" s="385"/>
      <c r="D529" s="385"/>
      <c r="E529" s="392"/>
      <c r="F529" s="8"/>
      <c r="G529" s="8"/>
      <c r="H529" s="389"/>
      <c r="I529" s="8" t="b">
        <v>0</v>
      </c>
      <c r="J529" s="388" t="str">
        <f>IFERROR(__xludf.DUMMYFUNCTION("""COMPUTED_VALUE"""),"")</f>
        <v/>
      </c>
      <c r="K529" s="8"/>
      <c r="L529" s="8"/>
      <c r="M529" s="8" t="str">
        <f>IFERROR(__xludf.DUMMYFUNCTION("""COMPUTED_VALUE"""),"")</f>
        <v/>
      </c>
      <c r="N529" s="8" t="str">
        <f>IFERROR(__xludf.DUMMYFUNCTION("""COMPUTED_VALUE"""),"")</f>
        <v/>
      </c>
      <c r="O529" s="8"/>
      <c r="P529" s="8"/>
    </row>
    <row r="530">
      <c r="A530" s="8"/>
      <c r="B530" s="25"/>
      <c r="C530" s="385"/>
      <c r="D530" s="385"/>
      <c r="E530" s="392"/>
      <c r="F530" s="8"/>
      <c r="G530" s="8"/>
      <c r="H530" s="389"/>
      <c r="I530" s="8" t="b">
        <v>0</v>
      </c>
      <c r="J530" s="388" t="str">
        <f>IFERROR(__xludf.DUMMYFUNCTION("""COMPUTED_VALUE"""),"")</f>
        <v/>
      </c>
      <c r="K530" s="8"/>
      <c r="L530" s="8"/>
      <c r="M530" s="8" t="str">
        <f>IFERROR(__xludf.DUMMYFUNCTION("""COMPUTED_VALUE"""),"")</f>
        <v/>
      </c>
      <c r="N530" s="8" t="str">
        <f>IFERROR(__xludf.DUMMYFUNCTION("""COMPUTED_VALUE"""),"")</f>
        <v/>
      </c>
      <c r="O530" s="8"/>
      <c r="P530" s="8"/>
    </row>
    <row r="531">
      <c r="A531" s="8"/>
      <c r="B531" s="25"/>
      <c r="C531" s="385"/>
      <c r="D531" s="385"/>
      <c r="E531" s="392"/>
      <c r="F531" s="8"/>
      <c r="G531" s="8"/>
      <c r="H531" s="389"/>
      <c r="I531" s="8" t="b">
        <v>0</v>
      </c>
      <c r="J531" s="388" t="str">
        <f>IFERROR(__xludf.DUMMYFUNCTION("""COMPUTED_VALUE"""),"")</f>
        <v/>
      </c>
      <c r="K531" s="8"/>
      <c r="L531" s="8"/>
      <c r="M531" s="8" t="str">
        <f>IFERROR(__xludf.DUMMYFUNCTION("""COMPUTED_VALUE"""),"")</f>
        <v/>
      </c>
      <c r="N531" s="8" t="str">
        <f>IFERROR(__xludf.DUMMYFUNCTION("""COMPUTED_VALUE"""),"")</f>
        <v/>
      </c>
      <c r="O531" s="8"/>
      <c r="P531" s="8"/>
    </row>
    <row r="532">
      <c r="A532" s="8"/>
      <c r="B532" s="25"/>
      <c r="C532" s="385"/>
      <c r="D532" s="385"/>
      <c r="E532" s="392"/>
      <c r="F532" s="8"/>
      <c r="G532" s="8"/>
      <c r="H532" s="389"/>
      <c r="I532" s="8" t="b">
        <v>0</v>
      </c>
      <c r="J532" s="388" t="str">
        <f>IFERROR(__xludf.DUMMYFUNCTION("""COMPUTED_VALUE"""),"")</f>
        <v/>
      </c>
      <c r="K532" s="8"/>
      <c r="L532" s="8"/>
      <c r="M532" s="8" t="str">
        <f>IFERROR(__xludf.DUMMYFUNCTION("""COMPUTED_VALUE"""),"")</f>
        <v/>
      </c>
      <c r="N532" s="8" t="str">
        <f>IFERROR(__xludf.DUMMYFUNCTION("""COMPUTED_VALUE"""),"")</f>
        <v/>
      </c>
      <c r="O532" s="8"/>
      <c r="P532" s="8"/>
    </row>
    <row r="533">
      <c r="A533" s="8"/>
      <c r="B533" s="25"/>
      <c r="C533" s="385"/>
      <c r="D533" s="385"/>
      <c r="E533" s="392"/>
      <c r="F533" s="8"/>
      <c r="G533" s="8"/>
      <c r="H533" s="389"/>
      <c r="I533" s="8" t="b">
        <v>0</v>
      </c>
      <c r="J533" s="388" t="str">
        <f>IFERROR(__xludf.DUMMYFUNCTION("""COMPUTED_VALUE"""),"")</f>
        <v/>
      </c>
      <c r="K533" s="8"/>
      <c r="L533" s="8"/>
      <c r="M533" s="8" t="str">
        <f>IFERROR(__xludf.DUMMYFUNCTION("""COMPUTED_VALUE"""),"")</f>
        <v/>
      </c>
      <c r="N533" s="8" t="str">
        <f>IFERROR(__xludf.DUMMYFUNCTION("""COMPUTED_VALUE"""),"")</f>
        <v/>
      </c>
      <c r="O533" s="8"/>
      <c r="P533" s="8"/>
    </row>
    <row r="534">
      <c r="A534" s="8"/>
      <c r="B534" s="25"/>
      <c r="C534" s="385"/>
      <c r="D534" s="385"/>
      <c r="E534" s="392"/>
      <c r="F534" s="8"/>
      <c r="G534" s="8"/>
      <c r="H534" s="389"/>
      <c r="I534" s="8" t="b">
        <v>0</v>
      </c>
      <c r="J534" s="388" t="str">
        <f>IFERROR(__xludf.DUMMYFUNCTION("""COMPUTED_VALUE"""),"")</f>
        <v/>
      </c>
      <c r="K534" s="8"/>
      <c r="L534" s="8"/>
      <c r="M534" s="8" t="str">
        <f>IFERROR(__xludf.DUMMYFUNCTION("""COMPUTED_VALUE"""),"")</f>
        <v/>
      </c>
      <c r="N534" s="8" t="str">
        <f>IFERROR(__xludf.DUMMYFUNCTION("""COMPUTED_VALUE"""),"")</f>
        <v/>
      </c>
      <c r="O534" s="8"/>
      <c r="P534" s="8"/>
    </row>
    <row r="535">
      <c r="A535" s="8"/>
      <c r="B535" s="25"/>
      <c r="C535" s="385"/>
      <c r="D535" s="385"/>
      <c r="E535" s="392"/>
      <c r="F535" s="8"/>
      <c r="G535" s="8"/>
      <c r="H535" s="389"/>
      <c r="I535" s="8" t="b">
        <v>0</v>
      </c>
      <c r="J535" s="388" t="str">
        <f>IFERROR(__xludf.DUMMYFUNCTION("""COMPUTED_VALUE"""),"")</f>
        <v/>
      </c>
      <c r="K535" s="8"/>
      <c r="L535" s="8"/>
      <c r="M535" s="8" t="str">
        <f>IFERROR(__xludf.DUMMYFUNCTION("""COMPUTED_VALUE"""),"")</f>
        <v/>
      </c>
      <c r="N535" s="8" t="str">
        <f>IFERROR(__xludf.DUMMYFUNCTION("""COMPUTED_VALUE"""),"")</f>
        <v/>
      </c>
      <c r="O535" s="8"/>
      <c r="P535" s="8"/>
    </row>
    <row r="536">
      <c r="A536" s="8"/>
      <c r="B536" s="25"/>
      <c r="C536" s="385"/>
      <c r="D536" s="385"/>
      <c r="E536" s="392"/>
      <c r="F536" s="8"/>
      <c r="G536" s="8"/>
      <c r="H536" s="389"/>
      <c r="I536" s="8" t="b">
        <v>0</v>
      </c>
      <c r="J536" s="388" t="str">
        <f>IFERROR(__xludf.DUMMYFUNCTION("""COMPUTED_VALUE"""),"")</f>
        <v/>
      </c>
      <c r="K536" s="8"/>
      <c r="L536" s="8"/>
      <c r="M536" s="8" t="str">
        <f>IFERROR(__xludf.DUMMYFUNCTION("""COMPUTED_VALUE"""),"")</f>
        <v/>
      </c>
      <c r="N536" s="8" t="str">
        <f>IFERROR(__xludf.DUMMYFUNCTION("""COMPUTED_VALUE"""),"")</f>
        <v/>
      </c>
      <c r="O536" s="8"/>
      <c r="P536" s="8"/>
    </row>
    <row r="537">
      <c r="A537" s="8"/>
      <c r="B537" s="25"/>
      <c r="C537" s="385"/>
      <c r="D537" s="385"/>
      <c r="E537" s="392"/>
      <c r="F537" s="8"/>
      <c r="G537" s="8"/>
      <c r="H537" s="389"/>
      <c r="I537" s="8" t="b">
        <v>0</v>
      </c>
      <c r="J537" s="388" t="str">
        <f>IFERROR(__xludf.DUMMYFUNCTION("""COMPUTED_VALUE"""),"")</f>
        <v/>
      </c>
      <c r="K537" s="8"/>
      <c r="L537" s="8"/>
      <c r="M537" s="8" t="str">
        <f>IFERROR(__xludf.DUMMYFUNCTION("""COMPUTED_VALUE"""),"")</f>
        <v/>
      </c>
      <c r="N537" s="8" t="str">
        <f>IFERROR(__xludf.DUMMYFUNCTION("""COMPUTED_VALUE"""),"")</f>
        <v/>
      </c>
      <c r="O537" s="8"/>
      <c r="P537" s="8"/>
    </row>
    <row r="538">
      <c r="A538" s="8"/>
      <c r="B538" s="25"/>
      <c r="C538" s="385"/>
      <c r="D538" s="385"/>
      <c r="E538" s="392"/>
      <c r="F538" s="8"/>
      <c r="G538" s="8"/>
      <c r="H538" s="389"/>
      <c r="I538" s="8" t="b">
        <v>0</v>
      </c>
      <c r="J538" s="388" t="str">
        <f>IFERROR(__xludf.DUMMYFUNCTION("""COMPUTED_VALUE"""),"")</f>
        <v/>
      </c>
      <c r="K538" s="8"/>
      <c r="L538" s="8"/>
      <c r="M538" s="8" t="str">
        <f>IFERROR(__xludf.DUMMYFUNCTION("""COMPUTED_VALUE"""),"")</f>
        <v/>
      </c>
      <c r="N538" s="8" t="str">
        <f>IFERROR(__xludf.DUMMYFUNCTION("""COMPUTED_VALUE"""),"")</f>
        <v/>
      </c>
      <c r="O538" s="8"/>
      <c r="P538" s="8"/>
    </row>
    <row r="539">
      <c r="A539" s="8"/>
      <c r="B539" s="25"/>
      <c r="C539" s="385"/>
      <c r="D539" s="385"/>
      <c r="E539" s="392"/>
      <c r="F539" s="8"/>
      <c r="G539" s="8"/>
      <c r="H539" s="389"/>
      <c r="I539" s="8" t="b">
        <v>0</v>
      </c>
      <c r="J539" s="388" t="str">
        <f>IFERROR(__xludf.DUMMYFUNCTION("""COMPUTED_VALUE"""),"")</f>
        <v/>
      </c>
      <c r="K539" s="8"/>
      <c r="L539" s="8"/>
      <c r="M539" s="8" t="str">
        <f>IFERROR(__xludf.DUMMYFUNCTION("""COMPUTED_VALUE"""),"")</f>
        <v/>
      </c>
      <c r="N539" s="8" t="str">
        <f>IFERROR(__xludf.DUMMYFUNCTION("""COMPUTED_VALUE"""),"")</f>
        <v/>
      </c>
      <c r="O539" s="8"/>
      <c r="P539" s="8"/>
    </row>
    <row r="540">
      <c r="A540" s="8"/>
      <c r="B540" s="25"/>
      <c r="C540" s="385"/>
      <c r="D540" s="385"/>
      <c r="E540" s="392"/>
      <c r="F540" s="8"/>
      <c r="G540" s="8"/>
      <c r="H540" s="389"/>
      <c r="I540" s="8" t="b">
        <v>0</v>
      </c>
      <c r="J540" s="388" t="str">
        <f>IFERROR(__xludf.DUMMYFUNCTION("""COMPUTED_VALUE"""),"")</f>
        <v/>
      </c>
      <c r="K540" s="8"/>
      <c r="L540" s="8"/>
      <c r="M540" s="8" t="str">
        <f>IFERROR(__xludf.DUMMYFUNCTION("""COMPUTED_VALUE"""),"")</f>
        <v/>
      </c>
      <c r="N540" s="8" t="str">
        <f>IFERROR(__xludf.DUMMYFUNCTION("""COMPUTED_VALUE"""),"")</f>
        <v/>
      </c>
      <c r="O540" s="8"/>
      <c r="P540" s="8"/>
    </row>
    <row r="541">
      <c r="A541" s="8"/>
      <c r="B541" s="25"/>
      <c r="C541" s="385"/>
      <c r="D541" s="385"/>
      <c r="E541" s="392"/>
      <c r="F541" s="8"/>
      <c r="G541" s="8"/>
      <c r="H541" s="389"/>
      <c r="I541" s="8" t="b">
        <v>0</v>
      </c>
      <c r="J541" s="388" t="str">
        <f>IFERROR(__xludf.DUMMYFUNCTION("""COMPUTED_VALUE"""),"")</f>
        <v/>
      </c>
      <c r="K541" s="8"/>
      <c r="L541" s="8"/>
      <c r="M541" s="8" t="str">
        <f>IFERROR(__xludf.DUMMYFUNCTION("""COMPUTED_VALUE"""),"")</f>
        <v/>
      </c>
      <c r="N541" s="8" t="str">
        <f>IFERROR(__xludf.DUMMYFUNCTION("""COMPUTED_VALUE"""),"")</f>
        <v/>
      </c>
      <c r="O541" s="8"/>
      <c r="P541" s="8"/>
    </row>
    <row r="542">
      <c r="A542" s="8"/>
      <c r="B542" s="25"/>
      <c r="C542" s="385"/>
      <c r="D542" s="385"/>
      <c r="E542" s="392"/>
      <c r="F542" s="8"/>
      <c r="G542" s="8"/>
      <c r="H542" s="389"/>
      <c r="I542" s="8" t="b">
        <v>0</v>
      </c>
      <c r="J542" s="388" t="str">
        <f>IFERROR(__xludf.DUMMYFUNCTION("""COMPUTED_VALUE"""),"")</f>
        <v/>
      </c>
      <c r="K542" s="8"/>
      <c r="L542" s="8"/>
      <c r="M542" s="8" t="str">
        <f>IFERROR(__xludf.DUMMYFUNCTION("""COMPUTED_VALUE"""),"")</f>
        <v/>
      </c>
      <c r="N542" s="8" t="str">
        <f>IFERROR(__xludf.DUMMYFUNCTION("""COMPUTED_VALUE"""),"")</f>
        <v/>
      </c>
      <c r="O542" s="8"/>
      <c r="P542" s="8"/>
    </row>
    <row r="543">
      <c r="A543" s="8"/>
      <c r="B543" s="25"/>
      <c r="C543" s="385"/>
      <c r="D543" s="385"/>
      <c r="E543" s="392"/>
      <c r="F543" s="8"/>
      <c r="G543" s="8"/>
      <c r="H543" s="389"/>
      <c r="I543" s="8" t="b">
        <v>0</v>
      </c>
      <c r="J543" s="388" t="str">
        <f>IFERROR(__xludf.DUMMYFUNCTION("""COMPUTED_VALUE"""),"")</f>
        <v/>
      </c>
      <c r="K543" s="8"/>
      <c r="L543" s="8"/>
      <c r="M543" s="8" t="str">
        <f>IFERROR(__xludf.DUMMYFUNCTION("""COMPUTED_VALUE"""),"")</f>
        <v/>
      </c>
      <c r="N543" s="8" t="str">
        <f>IFERROR(__xludf.DUMMYFUNCTION("""COMPUTED_VALUE"""),"")</f>
        <v/>
      </c>
      <c r="O543" s="8"/>
      <c r="P543" s="8"/>
    </row>
    <row r="544">
      <c r="A544" s="8"/>
      <c r="B544" s="25"/>
      <c r="C544" s="385"/>
      <c r="D544" s="385"/>
      <c r="E544" s="392"/>
      <c r="F544" s="8"/>
      <c r="G544" s="8"/>
      <c r="H544" s="389"/>
      <c r="I544" s="8" t="b">
        <v>0</v>
      </c>
      <c r="J544" s="388" t="str">
        <f>IFERROR(__xludf.DUMMYFUNCTION("""COMPUTED_VALUE"""),"")</f>
        <v/>
      </c>
      <c r="K544" s="8"/>
      <c r="L544" s="8"/>
      <c r="M544" s="8" t="str">
        <f>IFERROR(__xludf.DUMMYFUNCTION("""COMPUTED_VALUE"""),"")</f>
        <v/>
      </c>
      <c r="N544" s="8" t="str">
        <f>IFERROR(__xludf.DUMMYFUNCTION("""COMPUTED_VALUE"""),"")</f>
        <v/>
      </c>
      <c r="O544" s="8"/>
      <c r="P544" s="8"/>
    </row>
    <row r="545">
      <c r="A545" s="8"/>
      <c r="B545" s="25"/>
      <c r="C545" s="385"/>
      <c r="D545" s="385"/>
      <c r="E545" s="392"/>
      <c r="F545" s="8"/>
      <c r="G545" s="8"/>
      <c r="H545" s="389"/>
      <c r="I545" s="8" t="b">
        <v>0</v>
      </c>
      <c r="J545" s="388" t="str">
        <f>IFERROR(__xludf.DUMMYFUNCTION("""COMPUTED_VALUE"""),"")</f>
        <v/>
      </c>
      <c r="K545" s="8"/>
      <c r="L545" s="8"/>
      <c r="M545" s="8" t="str">
        <f>IFERROR(__xludf.DUMMYFUNCTION("""COMPUTED_VALUE"""),"")</f>
        <v/>
      </c>
      <c r="N545" s="8" t="str">
        <f>IFERROR(__xludf.DUMMYFUNCTION("""COMPUTED_VALUE"""),"")</f>
        <v/>
      </c>
      <c r="O545" s="8"/>
      <c r="P545" s="8"/>
    </row>
    <row r="546">
      <c r="A546" s="8"/>
      <c r="B546" s="25"/>
      <c r="C546" s="385"/>
      <c r="D546" s="385"/>
      <c r="E546" s="392"/>
      <c r="F546" s="8"/>
      <c r="G546" s="8"/>
      <c r="H546" s="389"/>
      <c r="I546" s="8" t="b">
        <v>0</v>
      </c>
      <c r="J546" s="388" t="str">
        <f>IFERROR(__xludf.DUMMYFUNCTION("""COMPUTED_VALUE"""),"")</f>
        <v/>
      </c>
      <c r="K546" s="8"/>
      <c r="L546" s="8"/>
      <c r="M546" s="8" t="str">
        <f>IFERROR(__xludf.DUMMYFUNCTION("""COMPUTED_VALUE"""),"")</f>
        <v/>
      </c>
      <c r="N546" s="8" t="str">
        <f>IFERROR(__xludf.DUMMYFUNCTION("""COMPUTED_VALUE"""),"")</f>
        <v/>
      </c>
      <c r="O546" s="8"/>
      <c r="P546" s="8"/>
    </row>
    <row r="547">
      <c r="A547" s="8"/>
      <c r="B547" s="25"/>
      <c r="C547" s="385"/>
      <c r="D547" s="385"/>
      <c r="E547" s="392"/>
      <c r="F547" s="8"/>
      <c r="G547" s="8"/>
      <c r="H547" s="389"/>
      <c r="I547" s="8" t="b">
        <v>0</v>
      </c>
      <c r="J547" s="388" t="str">
        <f>IFERROR(__xludf.DUMMYFUNCTION("""COMPUTED_VALUE"""),"")</f>
        <v/>
      </c>
      <c r="K547" s="8"/>
      <c r="L547" s="8"/>
      <c r="M547" s="8" t="str">
        <f>IFERROR(__xludf.DUMMYFUNCTION("""COMPUTED_VALUE"""),"")</f>
        <v/>
      </c>
      <c r="N547" s="8" t="str">
        <f>IFERROR(__xludf.DUMMYFUNCTION("""COMPUTED_VALUE"""),"")</f>
        <v/>
      </c>
      <c r="O547" s="8"/>
      <c r="P547" s="8"/>
    </row>
    <row r="548">
      <c r="A548" s="8"/>
      <c r="B548" s="25"/>
      <c r="C548" s="385"/>
      <c r="D548" s="385"/>
      <c r="E548" s="392"/>
      <c r="F548" s="8"/>
      <c r="G548" s="8"/>
      <c r="H548" s="389"/>
      <c r="I548" s="8" t="b">
        <v>0</v>
      </c>
      <c r="J548" s="388" t="str">
        <f>IFERROR(__xludf.DUMMYFUNCTION("""COMPUTED_VALUE"""),"")</f>
        <v/>
      </c>
      <c r="K548" s="8"/>
      <c r="L548" s="8"/>
      <c r="M548" s="8" t="str">
        <f>IFERROR(__xludf.DUMMYFUNCTION("""COMPUTED_VALUE"""),"")</f>
        <v/>
      </c>
      <c r="N548" s="8" t="str">
        <f>IFERROR(__xludf.DUMMYFUNCTION("""COMPUTED_VALUE"""),"")</f>
        <v/>
      </c>
      <c r="O548" s="8"/>
      <c r="P548" s="8"/>
    </row>
    <row r="549">
      <c r="A549" s="8"/>
      <c r="B549" s="25"/>
      <c r="C549" s="385"/>
      <c r="D549" s="385"/>
      <c r="E549" s="392"/>
      <c r="F549" s="8"/>
      <c r="G549" s="8"/>
      <c r="H549" s="389"/>
      <c r="I549" s="8" t="b">
        <v>0</v>
      </c>
      <c r="J549" s="388" t="str">
        <f>IFERROR(__xludf.DUMMYFUNCTION("""COMPUTED_VALUE"""),"")</f>
        <v/>
      </c>
      <c r="K549" s="8"/>
      <c r="L549" s="8"/>
      <c r="M549" s="8" t="str">
        <f>IFERROR(__xludf.DUMMYFUNCTION("""COMPUTED_VALUE"""),"")</f>
        <v/>
      </c>
      <c r="N549" s="8" t="str">
        <f>IFERROR(__xludf.DUMMYFUNCTION("""COMPUTED_VALUE"""),"")</f>
        <v/>
      </c>
      <c r="O549" s="8"/>
      <c r="P549" s="8"/>
    </row>
    <row r="550">
      <c r="A550" s="8"/>
      <c r="B550" s="25"/>
      <c r="C550" s="385"/>
      <c r="D550" s="385"/>
      <c r="E550" s="392"/>
      <c r="F550" s="8"/>
      <c r="G550" s="8"/>
      <c r="H550" s="389"/>
      <c r="I550" s="8" t="b">
        <v>0</v>
      </c>
      <c r="J550" s="388" t="str">
        <f>IFERROR(__xludf.DUMMYFUNCTION("""COMPUTED_VALUE"""),"")</f>
        <v/>
      </c>
      <c r="K550" s="8"/>
      <c r="L550" s="8"/>
      <c r="M550" s="8" t="str">
        <f>IFERROR(__xludf.DUMMYFUNCTION("""COMPUTED_VALUE"""),"")</f>
        <v/>
      </c>
      <c r="N550" s="8" t="str">
        <f>IFERROR(__xludf.DUMMYFUNCTION("""COMPUTED_VALUE"""),"")</f>
        <v/>
      </c>
      <c r="O550" s="8"/>
      <c r="P550" s="8"/>
    </row>
    <row r="551">
      <c r="A551" s="8"/>
      <c r="B551" s="25"/>
      <c r="C551" s="385"/>
      <c r="D551" s="385"/>
      <c r="E551" s="392"/>
      <c r="F551" s="8"/>
      <c r="G551" s="8"/>
      <c r="H551" s="389"/>
      <c r="I551" s="8" t="b">
        <v>0</v>
      </c>
      <c r="J551" s="388" t="str">
        <f>IFERROR(__xludf.DUMMYFUNCTION("""COMPUTED_VALUE"""),"")</f>
        <v/>
      </c>
      <c r="K551" s="8"/>
      <c r="L551" s="8"/>
      <c r="M551" s="8" t="str">
        <f>IFERROR(__xludf.DUMMYFUNCTION("""COMPUTED_VALUE"""),"")</f>
        <v/>
      </c>
      <c r="N551" s="8" t="str">
        <f>IFERROR(__xludf.DUMMYFUNCTION("""COMPUTED_VALUE"""),"")</f>
        <v/>
      </c>
      <c r="O551" s="8"/>
      <c r="P551" s="8"/>
    </row>
    <row r="552">
      <c r="A552" s="8"/>
      <c r="B552" s="25"/>
      <c r="C552" s="385"/>
      <c r="D552" s="385"/>
      <c r="E552" s="392"/>
      <c r="F552" s="8"/>
      <c r="G552" s="8"/>
      <c r="H552" s="389"/>
      <c r="I552" s="8" t="b">
        <v>0</v>
      </c>
      <c r="J552" s="388" t="str">
        <f>IFERROR(__xludf.DUMMYFUNCTION("""COMPUTED_VALUE"""),"")</f>
        <v/>
      </c>
      <c r="K552" s="8"/>
      <c r="L552" s="8"/>
      <c r="M552" s="8" t="str">
        <f>IFERROR(__xludf.DUMMYFUNCTION("""COMPUTED_VALUE"""),"")</f>
        <v/>
      </c>
      <c r="N552" s="8" t="str">
        <f>IFERROR(__xludf.DUMMYFUNCTION("""COMPUTED_VALUE"""),"")</f>
        <v/>
      </c>
      <c r="O552" s="8"/>
      <c r="P552" s="8"/>
    </row>
    <row r="553">
      <c r="A553" s="8"/>
      <c r="B553" s="25"/>
      <c r="C553" s="385"/>
      <c r="D553" s="385"/>
      <c r="E553" s="392"/>
      <c r="F553" s="8"/>
      <c r="G553" s="8"/>
      <c r="H553" s="389"/>
      <c r="I553" s="8" t="b">
        <v>0</v>
      </c>
      <c r="J553" s="388" t="str">
        <f>IFERROR(__xludf.DUMMYFUNCTION("""COMPUTED_VALUE"""),"")</f>
        <v/>
      </c>
      <c r="K553" s="8"/>
      <c r="L553" s="8"/>
      <c r="M553" s="8" t="str">
        <f>IFERROR(__xludf.DUMMYFUNCTION("""COMPUTED_VALUE"""),"")</f>
        <v/>
      </c>
      <c r="N553" s="8" t="str">
        <f>IFERROR(__xludf.DUMMYFUNCTION("""COMPUTED_VALUE"""),"")</f>
        <v/>
      </c>
      <c r="O553" s="8"/>
      <c r="P553" s="8"/>
    </row>
    <row r="554">
      <c r="A554" s="8"/>
      <c r="B554" s="25"/>
      <c r="C554" s="385"/>
      <c r="D554" s="385"/>
      <c r="E554" s="392"/>
      <c r="F554" s="8"/>
      <c r="G554" s="8"/>
      <c r="H554" s="389"/>
      <c r="I554" s="8" t="b">
        <v>0</v>
      </c>
      <c r="J554" s="388" t="str">
        <f>IFERROR(__xludf.DUMMYFUNCTION("""COMPUTED_VALUE"""),"")</f>
        <v/>
      </c>
      <c r="K554" s="8"/>
      <c r="L554" s="8"/>
      <c r="M554" s="8" t="str">
        <f>IFERROR(__xludf.DUMMYFUNCTION("""COMPUTED_VALUE"""),"")</f>
        <v/>
      </c>
      <c r="N554" s="8" t="str">
        <f>IFERROR(__xludf.DUMMYFUNCTION("""COMPUTED_VALUE"""),"")</f>
        <v/>
      </c>
      <c r="O554" s="8"/>
      <c r="P554" s="8"/>
    </row>
    <row r="555">
      <c r="A555" s="8"/>
      <c r="B555" s="25"/>
      <c r="C555" s="385"/>
      <c r="D555" s="385"/>
      <c r="E555" s="392"/>
      <c r="F555" s="8"/>
      <c r="G555" s="8"/>
      <c r="H555" s="389"/>
      <c r="I555" s="8" t="b">
        <v>0</v>
      </c>
      <c r="J555" s="388" t="str">
        <f>IFERROR(__xludf.DUMMYFUNCTION("""COMPUTED_VALUE"""),"")</f>
        <v/>
      </c>
      <c r="K555" s="8"/>
      <c r="L555" s="8"/>
      <c r="M555" s="8" t="str">
        <f>IFERROR(__xludf.DUMMYFUNCTION("""COMPUTED_VALUE"""),"")</f>
        <v/>
      </c>
      <c r="N555" s="8" t="str">
        <f>IFERROR(__xludf.DUMMYFUNCTION("""COMPUTED_VALUE"""),"")</f>
        <v/>
      </c>
      <c r="O555" s="8"/>
      <c r="P555" s="8"/>
    </row>
    <row r="556">
      <c r="A556" s="8"/>
      <c r="B556" s="25"/>
      <c r="C556" s="385"/>
      <c r="D556" s="385"/>
      <c r="E556" s="392"/>
      <c r="F556" s="8"/>
      <c r="G556" s="8"/>
      <c r="H556" s="389"/>
      <c r="I556" s="8" t="b">
        <v>0</v>
      </c>
      <c r="J556" s="388" t="str">
        <f>IFERROR(__xludf.DUMMYFUNCTION("""COMPUTED_VALUE"""),"")</f>
        <v/>
      </c>
      <c r="K556" s="8"/>
      <c r="L556" s="8"/>
      <c r="M556" s="8" t="str">
        <f>IFERROR(__xludf.DUMMYFUNCTION("""COMPUTED_VALUE"""),"")</f>
        <v/>
      </c>
      <c r="N556" s="8" t="str">
        <f>IFERROR(__xludf.DUMMYFUNCTION("""COMPUTED_VALUE"""),"")</f>
        <v/>
      </c>
      <c r="O556" s="8"/>
      <c r="P556" s="8"/>
    </row>
    <row r="557">
      <c r="A557" s="8"/>
      <c r="B557" s="25"/>
      <c r="C557" s="385"/>
      <c r="D557" s="385"/>
      <c r="E557" s="392"/>
      <c r="F557" s="8"/>
      <c r="G557" s="8"/>
      <c r="H557" s="389"/>
      <c r="I557" s="8" t="b">
        <v>0</v>
      </c>
      <c r="J557" s="388" t="str">
        <f>IFERROR(__xludf.DUMMYFUNCTION("""COMPUTED_VALUE"""),"")</f>
        <v/>
      </c>
      <c r="K557" s="8"/>
      <c r="L557" s="8"/>
      <c r="M557" s="8" t="str">
        <f>IFERROR(__xludf.DUMMYFUNCTION("""COMPUTED_VALUE"""),"")</f>
        <v/>
      </c>
      <c r="N557" s="8" t="str">
        <f>IFERROR(__xludf.DUMMYFUNCTION("""COMPUTED_VALUE"""),"")</f>
        <v/>
      </c>
      <c r="O557" s="8"/>
      <c r="P557" s="8"/>
    </row>
    <row r="558">
      <c r="A558" s="8"/>
      <c r="B558" s="25"/>
      <c r="C558" s="385"/>
      <c r="D558" s="385"/>
      <c r="E558" s="392"/>
      <c r="F558" s="8"/>
      <c r="G558" s="8"/>
      <c r="H558" s="389"/>
      <c r="I558" s="8" t="b">
        <v>0</v>
      </c>
      <c r="J558" s="388" t="str">
        <f>IFERROR(__xludf.DUMMYFUNCTION("""COMPUTED_VALUE"""),"")</f>
        <v/>
      </c>
      <c r="K558" s="8"/>
      <c r="L558" s="8"/>
      <c r="M558" s="8" t="str">
        <f>IFERROR(__xludf.DUMMYFUNCTION("""COMPUTED_VALUE"""),"")</f>
        <v/>
      </c>
      <c r="N558" s="8" t="str">
        <f>IFERROR(__xludf.DUMMYFUNCTION("""COMPUTED_VALUE"""),"")</f>
        <v/>
      </c>
      <c r="O558" s="8"/>
      <c r="P558" s="8"/>
    </row>
    <row r="559">
      <c r="A559" s="8"/>
      <c r="B559" s="25"/>
      <c r="C559" s="385"/>
      <c r="D559" s="385"/>
      <c r="E559" s="392"/>
      <c r="F559" s="8"/>
      <c r="G559" s="8"/>
      <c r="H559" s="389"/>
      <c r="I559" s="8" t="b">
        <v>0</v>
      </c>
      <c r="J559" s="388" t="str">
        <f>IFERROR(__xludf.DUMMYFUNCTION("""COMPUTED_VALUE"""),"")</f>
        <v/>
      </c>
      <c r="K559" s="8"/>
      <c r="L559" s="8"/>
      <c r="M559" s="8" t="str">
        <f>IFERROR(__xludf.DUMMYFUNCTION("""COMPUTED_VALUE"""),"")</f>
        <v/>
      </c>
      <c r="N559" s="8" t="str">
        <f>IFERROR(__xludf.DUMMYFUNCTION("""COMPUTED_VALUE"""),"")</f>
        <v/>
      </c>
      <c r="O559" s="8"/>
      <c r="P559" s="8"/>
    </row>
    <row r="560">
      <c r="A560" s="8"/>
      <c r="B560" s="25"/>
      <c r="C560" s="385"/>
      <c r="D560" s="385"/>
      <c r="E560" s="392"/>
      <c r="F560" s="8"/>
      <c r="G560" s="8"/>
      <c r="H560" s="389"/>
      <c r="I560" s="8" t="b">
        <v>0</v>
      </c>
      <c r="J560" s="388" t="str">
        <f>IFERROR(__xludf.DUMMYFUNCTION("""COMPUTED_VALUE"""),"")</f>
        <v/>
      </c>
      <c r="K560" s="8"/>
      <c r="L560" s="8"/>
      <c r="M560" s="8" t="str">
        <f>IFERROR(__xludf.DUMMYFUNCTION("""COMPUTED_VALUE"""),"")</f>
        <v/>
      </c>
      <c r="N560" s="8" t="str">
        <f>IFERROR(__xludf.DUMMYFUNCTION("""COMPUTED_VALUE"""),"")</f>
        <v/>
      </c>
      <c r="O560" s="8"/>
      <c r="P560" s="8"/>
    </row>
    <row r="561">
      <c r="A561" s="8"/>
      <c r="B561" s="25"/>
      <c r="C561" s="385"/>
      <c r="D561" s="385"/>
      <c r="E561" s="392"/>
      <c r="F561" s="8"/>
      <c r="G561" s="8"/>
      <c r="H561" s="389"/>
      <c r="I561" s="8" t="b">
        <v>0</v>
      </c>
      <c r="J561" s="388" t="str">
        <f>IFERROR(__xludf.DUMMYFUNCTION("""COMPUTED_VALUE"""),"")</f>
        <v/>
      </c>
      <c r="K561" s="8"/>
      <c r="L561" s="8"/>
      <c r="M561" s="8" t="str">
        <f>IFERROR(__xludf.DUMMYFUNCTION("""COMPUTED_VALUE"""),"")</f>
        <v/>
      </c>
      <c r="N561" s="8" t="str">
        <f>IFERROR(__xludf.DUMMYFUNCTION("""COMPUTED_VALUE"""),"")</f>
        <v/>
      </c>
      <c r="O561" s="8"/>
      <c r="P561" s="8"/>
    </row>
    <row r="562">
      <c r="A562" s="8"/>
      <c r="B562" s="25"/>
      <c r="C562" s="385"/>
      <c r="D562" s="385"/>
      <c r="E562" s="392"/>
      <c r="F562" s="8"/>
      <c r="G562" s="8"/>
      <c r="H562" s="389"/>
      <c r="I562" s="8" t="b">
        <v>0</v>
      </c>
      <c r="J562" s="388" t="str">
        <f>IFERROR(__xludf.DUMMYFUNCTION("""COMPUTED_VALUE"""),"")</f>
        <v/>
      </c>
      <c r="K562" s="8"/>
      <c r="L562" s="8"/>
      <c r="M562" s="8" t="str">
        <f>IFERROR(__xludf.DUMMYFUNCTION("""COMPUTED_VALUE"""),"")</f>
        <v/>
      </c>
      <c r="N562" s="8" t="str">
        <f>IFERROR(__xludf.DUMMYFUNCTION("""COMPUTED_VALUE"""),"")</f>
        <v/>
      </c>
      <c r="O562" s="8"/>
      <c r="P562" s="8"/>
    </row>
    <row r="563">
      <c r="A563" s="8"/>
      <c r="B563" s="25"/>
      <c r="C563" s="385"/>
      <c r="D563" s="385"/>
      <c r="E563" s="392"/>
      <c r="F563" s="8"/>
      <c r="G563" s="8"/>
      <c r="H563" s="389"/>
      <c r="I563" s="8" t="b">
        <v>0</v>
      </c>
      <c r="J563" s="388" t="str">
        <f>IFERROR(__xludf.DUMMYFUNCTION("""COMPUTED_VALUE"""),"")</f>
        <v/>
      </c>
      <c r="K563" s="8"/>
      <c r="L563" s="8"/>
      <c r="M563" s="8" t="str">
        <f>IFERROR(__xludf.DUMMYFUNCTION("""COMPUTED_VALUE"""),"")</f>
        <v/>
      </c>
      <c r="N563" s="8" t="str">
        <f>IFERROR(__xludf.DUMMYFUNCTION("""COMPUTED_VALUE"""),"")</f>
        <v/>
      </c>
      <c r="O563" s="8"/>
      <c r="P563" s="8"/>
    </row>
    <row r="564">
      <c r="A564" s="8"/>
      <c r="B564" s="25"/>
      <c r="C564" s="385"/>
      <c r="D564" s="385"/>
      <c r="E564" s="392"/>
      <c r="F564" s="8"/>
      <c r="G564" s="8"/>
      <c r="H564" s="389"/>
      <c r="I564" s="8" t="b">
        <v>0</v>
      </c>
      <c r="J564" s="388" t="str">
        <f>IFERROR(__xludf.DUMMYFUNCTION("""COMPUTED_VALUE"""),"")</f>
        <v/>
      </c>
      <c r="K564" s="8"/>
      <c r="L564" s="8"/>
      <c r="M564" s="8" t="str">
        <f>IFERROR(__xludf.DUMMYFUNCTION("""COMPUTED_VALUE"""),"")</f>
        <v/>
      </c>
      <c r="N564" s="8" t="str">
        <f>IFERROR(__xludf.DUMMYFUNCTION("""COMPUTED_VALUE"""),"")</f>
        <v/>
      </c>
      <c r="O564" s="8"/>
      <c r="P564" s="8"/>
    </row>
    <row r="565">
      <c r="A565" s="8"/>
      <c r="B565" s="25"/>
      <c r="C565" s="385"/>
      <c r="D565" s="385"/>
      <c r="E565" s="392"/>
      <c r="F565" s="8"/>
      <c r="G565" s="8"/>
      <c r="H565" s="389"/>
      <c r="I565" s="8" t="b">
        <v>0</v>
      </c>
      <c r="J565" s="388" t="str">
        <f>IFERROR(__xludf.DUMMYFUNCTION("""COMPUTED_VALUE"""),"")</f>
        <v/>
      </c>
      <c r="K565" s="8"/>
      <c r="L565" s="8"/>
      <c r="M565" s="8" t="str">
        <f>IFERROR(__xludf.DUMMYFUNCTION("""COMPUTED_VALUE"""),"")</f>
        <v/>
      </c>
      <c r="N565" s="8" t="str">
        <f>IFERROR(__xludf.DUMMYFUNCTION("""COMPUTED_VALUE"""),"")</f>
        <v/>
      </c>
      <c r="O565" s="8"/>
      <c r="P565" s="8"/>
    </row>
    <row r="566">
      <c r="A566" s="8"/>
      <c r="B566" s="25"/>
      <c r="C566" s="385"/>
      <c r="D566" s="385"/>
      <c r="E566" s="392"/>
      <c r="F566" s="8"/>
      <c r="G566" s="8"/>
      <c r="H566" s="389"/>
      <c r="I566" s="8" t="b">
        <v>0</v>
      </c>
      <c r="J566" s="388" t="str">
        <f>IFERROR(__xludf.DUMMYFUNCTION("""COMPUTED_VALUE"""),"")</f>
        <v/>
      </c>
      <c r="K566" s="8"/>
      <c r="L566" s="8"/>
      <c r="M566" s="8" t="str">
        <f>IFERROR(__xludf.DUMMYFUNCTION("""COMPUTED_VALUE"""),"")</f>
        <v/>
      </c>
      <c r="N566" s="8" t="str">
        <f>IFERROR(__xludf.DUMMYFUNCTION("""COMPUTED_VALUE"""),"")</f>
        <v/>
      </c>
      <c r="O566" s="8"/>
      <c r="P566" s="8"/>
    </row>
    <row r="567">
      <c r="A567" s="8"/>
      <c r="B567" s="25"/>
      <c r="C567" s="385"/>
      <c r="D567" s="385"/>
      <c r="E567" s="392"/>
      <c r="F567" s="8"/>
      <c r="G567" s="8"/>
      <c r="H567" s="389"/>
      <c r="I567" s="8" t="b">
        <v>0</v>
      </c>
      <c r="J567" s="388" t="str">
        <f>IFERROR(__xludf.DUMMYFUNCTION("""COMPUTED_VALUE"""),"")</f>
        <v/>
      </c>
      <c r="K567" s="8"/>
      <c r="L567" s="8"/>
      <c r="M567" s="8" t="str">
        <f>IFERROR(__xludf.DUMMYFUNCTION("""COMPUTED_VALUE"""),"")</f>
        <v/>
      </c>
      <c r="N567" s="8" t="str">
        <f>IFERROR(__xludf.DUMMYFUNCTION("""COMPUTED_VALUE"""),"")</f>
        <v/>
      </c>
      <c r="O567" s="8"/>
      <c r="P567" s="8"/>
    </row>
    <row r="568">
      <c r="A568" s="8"/>
      <c r="B568" s="25"/>
      <c r="C568" s="385"/>
      <c r="D568" s="385"/>
      <c r="E568" s="392"/>
      <c r="F568" s="8"/>
      <c r="G568" s="8"/>
      <c r="H568" s="389"/>
      <c r="I568" s="8" t="b">
        <v>0</v>
      </c>
      <c r="J568" s="388" t="str">
        <f>IFERROR(__xludf.DUMMYFUNCTION("""COMPUTED_VALUE"""),"")</f>
        <v/>
      </c>
      <c r="K568" s="8"/>
      <c r="L568" s="8"/>
      <c r="M568" s="8" t="str">
        <f>IFERROR(__xludf.DUMMYFUNCTION("""COMPUTED_VALUE"""),"")</f>
        <v/>
      </c>
      <c r="N568" s="8" t="str">
        <f>IFERROR(__xludf.DUMMYFUNCTION("""COMPUTED_VALUE"""),"")</f>
        <v/>
      </c>
      <c r="O568" s="8"/>
      <c r="P568" s="8"/>
    </row>
    <row r="569">
      <c r="A569" s="8"/>
      <c r="B569" s="25"/>
      <c r="C569" s="385"/>
      <c r="D569" s="385"/>
      <c r="E569" s="392"/>
      <c r="F569" s="8"/>
      <c r="G569" s="8"/>
      <c r="H569" s="389"/>
      <c r="I569" s="8" t="b">
        <v>0</v>
      </c>
      <c r="J569" s="388" t="str">
        <f>IFERROR(__xludf.DUMMYFUNCTION("""COMPUTED_VALUE"""),"")</f>
        <v/>
      </c>
      <c r="K569" s="8"/>
      <c r="L569" s="8"/>
      <c r="M569" s="8" t="str">
        <f>IFERROR(__xludf.DUMMYFUNCTION("""COMPUTED_VALUE"""),"")</f>
        <v/>
      </c>
      <c r="N569" s="8" t="str">
        <f>IFERROR(__xludf.DUMMYFUNCTION("""COMPUTED_VALUE"""),"")</f>
        <v/>
      </c>
      <c r="O569" s="8"/>
      <c r="P569" s="8"/>
    </row>
    <row r="570">
      <c r="A570" s="8"/>
      <c r="B570" s="25"/>
      <c r="C570" s="385"/>
      <c r="D570" s="385"/>
      <c r="E570" s="392"/>
      <c r="F570" s="8"/>
      <c r="G570" s="8"/>
      <c r="H570" s="389"/>
      <c r="I570" s="8" t="b">
        <v>0</v>
      </c>
      <c r="J570" s="388" t="str">
        <f>IFERROR(__xludf.DUMMYFUNCTION("""COMPUTED_VALUE"""),"")</f>
        <v/>
      </c>
      <c r="K570" s="8"/>
      <c r="L570" s="8"/>
      <c r="M570" s="8" t="str">
        <f>IFERROR(__xludf.DUMMYFUNCTION("""COMPUTED_VALUE"""),"")</f>
        <v/>
      </c>
      <c r="N570" s="8" t="str">
        <f>IFERROR(__xludf.DUMMYFUNCTION("""COMPUTED_VALUE"""),"")</f>
        <v/>
      </c>
      <c r="O570" s="8"/>
      <c r="P570" s="8"/>
    </row>
    <row r="571">
      <c r="A571" s="8"/>
      <c r="B571" s="25"/>
      <c r="C571" s="385"/>
      <c r="D571" s="385"/>
      <c r="E571" s="392"/>
      <c r="F571" s="8"/>
      <c r="G571" s="8"/>
      <c r="H571" s="389"/>
      <c r="I571" s="8" t="b">
        <v>0</v>
      </c>
      <c r="J571" s="388" t="str">
        <f>IFERROR(__xludf.DUMMYFUNCTION("""COMPUTED_VALUE"""),"")</f>
        <v/>
      </c>
      <c r="K571" s="8"/>
      <c r="L571" s="8"/>
      <c r="M571" s="8" t="str">
        <f>IFERROR(__xludf.DUMMYFUNCTION("""COMPUTED_VALUE"""),"")</f>
        <v/>
      </c>
      <c r="N571" s="8" t="str">
        <f>IFERROR(__xludf.DUMMYFUNCTION("""COMPUTED_VALUE"""),"")</f>
        <v/>
      </c>
      <c r="O571" s="8"/>
      <c r="P571" s="8"/>
    </row>
    <row r="572">
      <c r="A572" s="8"/>
      <c r="B572" s="25"/>
      <c r="C572" s="385"/>
      <c r="D572" s="385"/>
      <c r="E572" s="392"/>
      <c r="F572" s="8"/>
      <c r="G572" s="8"/>
      <c r="H572" s="389"/>
      <c r="I572" s="8" t="b">
        <v>0</v>
      </c>
      <c r="J572" s="388" t="str">
        <f>IFERROR(__xludf.DUMMYFUNCTION("""COMPUTED_VALUE"""),"")</f>
        <v/>
      </c>
      <c r="K572" s="8"/>
      <c r="L572" s="8"/>
      <c r="M572" s="8" t="str">
        <f>IFERROR(__xludf.DUMMYFUNCTION("""COMPUTED_VALUE"""),"")</f>
        <v/>
      </c>
      <c r="N572" s="8" t="str">
        <f>IFERROR(__xludf.DUMMYFUNCTION("""COMPUTED_VALUE"""),"")</f>
        <v/>
      </c>
      <c r="O572" s="8"/>
      <c r="P572" s="8"/>
    </row>
    <row r="573">
      <c r="A573" s="8"/>
      <c r="B573" s="25"/>
      <c r="C573" s="385"/>
      <c r="D573" s="385"/>
      <c r="E573" s="392"/>
      <c r="F573" s="8"/>
      <c r="G573" s="8"/>
      <c r="H573" s="389"/>
      <c r="I573" s="8" t="b">
        <v>0</v>
      </c>
      <c r="J573" s="388" t="str">
        <f>IFERROR(__xludf.DUMMYFUNCTION("""COMPUTED_VALUE"""),"")</f>
        <v/>
      </c>
      <c r="K573" s="8"/>
      <c r="L573" s="8"/>
      <c r="M573" s="8" t="str">
        <f>IFERROR(__xludf.DUMMYFUNCTION("""COMPUTED_VALUE"""),"")</f>
        <v/>
      </c>
      <c r="N573" s="8" t="str">
        <f>IFERROR(__xludf.DUMMYFUNCTION("""COMPUTED_VALUE"""),"")</f>
        <v/>
      </c>
      <c r="O573" s="8"/>
      <c r="P573" s="8"/>
    </row>
    <row r="574">
      <c r="A574" s="8"/>
      <c r="B574" s="25"/>
      <c r="C574" s="385"/>
      <c r="D574" s="385"/>
      <c r="E574" s="392"/>
      <c r="F574" s="8"/>
      <c r="G574" s="8"/>
      <c r="H574" s="389"/>
      <c r="I574" s="8" t="b">
        <v>0</v>
      </c>
      <c r="J574" s="388" t="str">
        <f>IFERROR(__xludf.DUMMYFUNCTION("""COMPUTED_VALUE"""),"")</f>
        <v/>
      </c>
      <c r="K574" s="8"/>
      <c r="L574" s="8"/>
      <c r="M574" s="8" t="str">
        <f>IFERROR(__xludf.DUMMYFUNCTION("""COMPUTED_VALUE"""),"")</f>
        <v/>
      </c>
      <c r="N574" s="8" t="str">
        <f>IFERROR(__xludf.DUMMYFUNCTION("""COMPUTED_VALUE"""),"")</f>
        <v/>
      </c>
      <c r="O574" s="8"/>
      <c r="P574" s="8"/>
    </row>
    <row r="575">
      <c r="A575" s="8"/>
      <c r="B575" s="25"/>
      <c r="C575" s="385"/>
      <c r="D575" s="385"/>
      <c r="E575" s="392"/>
      <c r="F575" s="8"/>
      <c r="G575" s="8"/>
      <c r="H575" s="389"/>
      <c r="I575" s="8" t="b">
        <v>0</v>
      </c>
      <c r="J575" s="388" t="str">
        <f>IFERROR(__xludf.DUMMYFUNCTION("""COMPUTED_VALUE"""),"")</f>
        <v/>
      </c>
      <c r="K575" s="8"/>
      <c r="L575" s="8"/>
      <c r="M575" s="8" t="str">
        <f>IFERROR(__xludf.DUMMYFUNCTION("""COMPUTED_VALUE"""),"")</f>
        <v/>
      </c>
      <c r="N575" s="8" t="str">
        <f>IFERROR(__xludf.DUMMYFUNCTION("""COMPUTED_VALUE"""),"")</f>
        <v/>
      </c>
      <c r="O575" s="8"/>
      <c r="P575" s="8"/>
    </row>
    <row r="576">
      <c r="A576" s="8"/>
      <c r="B576" s="25"/>
      <c r="C576" s="385"/>
      <c r="D576" s="385"/>
      <c r="E576" s="392"/>
      <c r="F576" s="8"/>
      <c r="G576" s="8"/>
      <c r="H576" s="389"/>
      <c r="I576" s="8" t="b">
        <v>0</v>
      </c>
      <c r="J576" s="388" t="str">
        <f>IFERROR(__xludf.DUMMYFUNCTION("""COMPUTED_VALUE"""),"")</f>
        <v/>
      </c>
      <c r="K576" s="8"/>
      <c r="L576" s="8"/>
      <c r="M576" s="8" t="str">
        <f>IFERROR(__xludf.DUMMYFUNCTION("""COMPUTED_VALUE"""),"")</f>
        <v/>
      </c>
      <c r="N576" s="8" t="str">
        <f>IFERROR(__xludf.DUMMYFUNCTION("""COMPUTED_VALUE"""),"")</f>
        <v/>
      </c>
      <c r="O576" s="8"/>
      <c r="P576" s="8"/>
    </row>
    <row r="577">
      <c r="A577" s="8"/>
      <c r="B577" s="25"/>
      <c r="C577" s="385"/>
      <c r="D577" s="385"/>
      <c r="E577" s="392"/>
      <c r="F577" s="8"/>
      <c r="G577" s="8"/>
      <c r="H577" s="389"/>
      <c r="I577" s="8" t="b">
        <v>0</v>
      </c>
      <c r="J577" s="388" t="str">
        <f>IFERROR(__xludf.DUMMYFUNCTION("""COMPUTED_VALUE"""),"")</f>
        <v/>
      </c>
      <c r="K577" s="8"/>
      <c r="L577" s="8"/>
      <c r="M577" s="8" t="str">
        <f>IFERROR(__xludf.DUMMYFUNCTION("""COMPUTED_VALUE"""),"")</f>
        <v/>
      </c>
      <c r="N577" s="8" t="str">
        <f>IFERROR(__xludf.DUMMYFUNCTION("""COMPUTED_VALUE"""),"")</f>
        <v/>
      </c>
      <c r="O577" s="8"/>
      <c r="P577" s="8"/>
    </row>
    <row r="578">
      <c r="A578" s="8"/>
      <c r="B578" s="25"/>
      <c r="C578" s="385"/>
      <c r="D578" s="385"/>
      <c r="E578" s="392"/>
      <c r="F578" s="8"/>
      <c r="G578" s="8"/>
      <c r="H578" s="389"/>
      <c r="I578" s="8" t="b">
        <v>0</v>
      </c>
      <c r="J578" s="388" t="str">
        <f>IFERROR(__xludf.DUMMYFUNCTION("""COMPUTED_VALUE"""),"")</f>
        <v/>
      </c>
      <c r="K578" s="8"/>
      <c r="L578" s="8"/>
      <c r="M578" s="8" t="str">
        <f>IFERROR(__xludf.DUMMYFUNCTION("""COMPUTED_VALUE"""),"")</f>
        <v/>
      </c>
      <c r="N578" s="8" t="str">
        <f>IFERROR(__xludf.DUMMYFUNCTION("""COMPUTED_VALUE"""),"")</f>
        <v/>
      </c>
      <c r="O578" s="8"/>
      <c r="P578" s="8"/>
    </row>
    <row r="579">
      <c r="A579" s="8"/>
      <c r="B579" s="25"/>
      <c r="C579" s="385"/>
      <c r="D579" s="385"/>
      <c r="E579" s="392"/>
      <c r="F579" s="8"/>
      <c r="G579" s="8"/>
      <c r="H579" s="389"/>
      <c r="I579" s="8" t="b">
        <v>0</v>
      </c>
      <c r="J579" s="388" t="str">
        <f>IFERROR(__xludf.DUMMYFUNCTION("""COMPUTED_VALUE"""),"")</f>
        <v/>
      </c>
      <c r="K579" s="8"/>
      <c r="L579" s="8"/>
      <c r="M579" s="8" t="str">
        <f>IFERROR(__xludf.DUMMYFUNCTION("""COMPUTED_VALUE"""),"")</f>
        <v/>
      </c>
      <c r="N579" s="8" t="str">
        <f>IFERROR(__xludf.DUMMYFUNCTION("""COMPUTED_VALUE"""),"")</f>
        <v/>
      </c>
      <c r="O579" s="8"/>
      <c r="P579" s="8"/>
    </row>
    <row r="580">
      <c r="A580" s="8"/>
      <c r="B580" s="25"/>
      <c r="C580" s="385"/>
      <c r="D580" s="385"/>
      <c r="E580" s="392"/>
      <c r="F580" s="8"/>
      <c r="G580" s="8"/>
      <c r="H580" s="389"/>
      <c r="I580" s="8" t="b">
        <v>0</v>
      </c>
      <c r="J580" s="388" t="str">
        <f>IFERROR(__xludf.DUMMYFUNCTION("""COMPUTED_VALUE"""),"")</f>
        <v/>
      </c>
      <c r="K580" s="8"/>
      <c r="L580" s="8"/>
      <c r="M580" s="8" t="str">
        <f>IFERROR(__xludf.DUMMYFUNCTION("""COMPUTED_VALUE"""),"")</f>
        <v/>
      </c>
      <c r="N580" s="8" t="str">
        <f>IFERROR(__xludf.DUMMYFUNCTION("""COMPUTED_VALUE"""),"")</f>
        <v/>
      </c>
      <c r="O580" s="8"/>
      <c r="P580" s="8"/>
    </row>
    <row r="581">
      <c r="A581" s="8"/>
      <c r="B581" s="25"/>
      <c r="C581" s="385"/>
      <c r="D581" s="385"/>
      <c r="E581" s="392"/>
      <c r="F581" s="8"/>
      <c r="G581" s="8"/>
      <c r="H581" s="389"/>
      <c r="I581" s="8" t="b">
        <v>0</v>
      </c>
      <c r="J581" s="388" t="str">
        <f>IFERROR(__xludf.DUMMYFUNCTION("""COMPUTED_VALUE"""),"")</f>
        <v/>
      </c>
      <c r="K581" s="8"/>
      <c r="L581" s="8"/>
      <c r="M581" s="8" t="str">
        <f>IFERROR(__xludf.DUMMYFUNCTION("""COMPUTED_VALUE"""),"")</f>
        <v/>
      </c>
      <c r="N581" s="8" t="str">
        <f>IFERROR(__xludf.DUMMYFUNCTION("""COMPUTED_VALUE"""),"")</f>
        <v/>
      </c>
      <c r="O581" s="8"/>
      <c r="P581" s="8"/>
    </row>
    <row r="582">
      <c r="A582" s="8"/>
      <c r="B582" s="25"/>
      <c r="C582" s="385"/>
      <c r="D582" s="385"/>
      <c r="E582" s="392"/>
      <c r="F582" s="8"/>
      <c r="G582" s="8"/>
      <c r="H582" s="389"/>
      <c r="I582" s="8" t="b">
        <v>0</v>
      </c>
      <c r="J582" s="388" t="str">
        <f>IFERROR(__xludf.DUMMYFUNCTION("""COMPUTED_VALUE"""),"")</f>
        <v/>
      </c>
      <c r="K582" s="8"/>
      <c r="L582" s="8"/>
      <c r="M582" s="8" t="str">
        <f>IFERROR(__xludf.DUMMYFUNCTION("""COMPUTED_VALUE"""),"")</f>
        <v/>
      </c>
      <c r="N582" s="8" t="str">
        <f>IFERROR(__xludf.DUMMYFUNCTION("""COMPUTED_VALUE"""),"")</f>
        <v/>
      </c>
      <c r="O582" s="8"/>
      <c r="P582" s="8"/>
    </row>
    <row r="583">
      <c r="A583" s="8"/>
      <c r="B583" s="25"/>
      <c r="C583" s="385"/>
      <c r="D583" s="385"/>
      <c r="E583" s="392"/>
      <c r="F583" s="8"/>
      <c r="G583" s="8"/>
      <c r="H583" s="389"/>
      <c r="I583" s="8" t="b">
        <v>0</v>
      </c>
      <c r="J583" s="388" t="str">
        <f>IFERROR(__xludf.DUMMYFUNCTION("""COMPUTED_VALUE"""),"")</f>
        <v/>
      </c>
      <c r="K583" s="8"/>
      <c r="L583" s="8"/>
      <c r="M583" s="8" t="str">
        <f>IFERROR(__xludf.DUMMYFUNCTION("""COMPUTED_VALUE"""),"")</f>
        <v/>
      </c>
      <c r="N583" s="8" t="str">
        <f>IFERROR(__xludf.DUMMYFUNCTION("""COMPUTED_VALUE"""),"")</f>
        <v/>
      </c>
      <c r="O583" s="8"/>
      <c r="P583" s="8"/>
    </row>
    <row r="584">
      <c r="A584" s="8"/>
      <c r="B584" s="25"/>
      <c r="C584" s="385"/>
      <c r="D584" s="385"/>
      <c r="E584" s="392"/>
      <c r="F584" s="8"/>
      <c r="G584" s="8"/>
      <c r="H584" s="389"/>
      <c r="I584" s="8" t="b">
        <v>0</v>
      </c>
      <c r="J584" s="388" t="str">
        <f>IFERROR(__xludf.DUMMYFUNCTION("""COMPUTED_VALUE"""),"")</f>
        <v/>
      </c>
      <c r="K584" s="8"/>
      <c r="L584" s="8"/>
      <c r="M584" s="8" t="str">
        <f>IFERROR(__xludf.DUMMYFUNCTION("""COMPUTED_VALUE"""),"")</f>
        <v/>
      </c>
      <c r="N584" s="8" t="str">
        <f>IFERROR(__xludf.DUMMYFUNCTION("""COMPUTED_VALUE"""),"")</f>
        <v/>
      </c>
      <c r="O584" s="8"/>
      <c r="P584" s="8"/>
    </row>
    <row r="585">
      <c r="A585" s="8"/>
      <c r="B585" s="25"/>
      <c r="C585" s="385"/>
      <c r="D585" s="385"/>
      <c r="E585" s="392"/>
      <c r="F585" s="8"/>
      <c r="G585" s="8"/>
      <c r="H585" s="389"/>
      <c r="I585" s="8" t="b">
        <v>0</v>
      </c>
      <c r="J585" s="388" t="str">
        <f>IFERROR(__xludf.DUMMYFUNCTION("""COMPUTED_VALUE"""),"")</f>
        <v/>
      </c>
      <c r="K585" s="8"/>
      <c r="L585" s="8"/>
      <c r="M585" s="8" t="str">
        <f>IFERROR(__xludf.DUMMYFUNCTION("""COMPUTED_VALUE"""),"")</f>
        <v/>
      </c>
      <c r="N585" s="8" t="str">
        <f>IFERROR(__xludf.DUMMYFUNCTION("""COMPUTED_VALUE"""),"")</f>
        <v/>
      </c>
      <c r="O585" s="8"/>
      <c r="P585" s="8"/>
    </row>
    <row r="586">
      <c r="A586" s="8"/>
      <c r="B586" s="25"/>
      <c r="C586" s="385"/>
      <c r="D586" s="385"/>
      <c r="E586" s="392"/>
      <c r="F586" s="8"/>
      <c r="G586" s="8"/>
      <c r="H586" s="389"/>
      <c r="I586" s="8" t="b">
        <v>0</v>
      </c>
      <c r="J586" s="388" t="str">
        <f>IFERROR(__xludf.DUMMYFUNCTION("""COMPUTED_VALUE"""),"")</f>
        <v/>
      </c>
      <c r="K586" s="8"/>
      <c r="L586" s="8"/>
      <c r="M586" s="8" t="str">
        <f>IFERROR(__xludf.DUMMYFUNCTION("""COMPUTED_VALUE"""),"")</f>
        <v/>
      </c>
      <c r="N586" s="8" t="str">
        <f>IFERROR(__xludf.DUMMYFUNCTION("""COMPUTED_VALUE"""),"")</f>
        <v/>
      </c>
      <c r="O586" s="8"/>
      <c r="P586" s="8"/>
    </row>
    <row r="587">
      <c r="A587" s="8"/>
      <c r="B587" s="25"/>
      <c r="C587" s="385"/>
      <c r="D587" s="385"/>
      <c r="E587" s="392"/>
      <c r="F587" s="8"/>
      <c r="G587" s="8"/>
      <c r="H587" s="389"/>
      <c r="I587" s="8" t="b">
        <v>0</v>
      </c>
      <c r="J587" s="388" t="str">
        <f>IFERROR(__xludf.DUMMYFUNCTION("""COMPUTED_VALUE"""),"")</f>
        <v/>
      </c>
      <c r="K587" s="8"/>
      <c r="L587" s="8"/>
      <c r="M587" s="8" t="str">
        <f>IFERROR(__xludf.DUMMYFUNCTION("""COMPUTED_VALUE"""),"")</f>
        <v/>
      </c>
      <c r="N587" s="8" t="str">
        <f>IFERROR(__xludf.DUMMYFUNCTION("""COMPUTED_VALUE"""),"")</f>
        <v/>
      </c>
      <c r="O587" s="8"/>
      <c r="P587" s="8"/>
    </row>
    <row r="588">
      <c r="A588" s="8"/>
      <c r="B588" s="25"/>
      <c r="C588" s="385"/>
      <c r="D588" s="385"/>
      <c r="E588" s="392"/>
      <c r="F588" s="8"/>
      <c r="G588" s="8"/>
      <c r="H588" s="389"/>
      <c r="I588" s="8" t="b">
        <v>0</v>
      </c>
      <c r="J588" s="388" t="str">
        <f>IFERROR(__xludf.DUMMYFUNCTION("""COMPUTED_VALUE"""),"")</f>
        <v/>
      </c>
      <c r="K588" s="8"/>
      <c r="L588" s="8"/>
      <c r="M588" s="8" t="str">
        <f>IFERROR(__xludf.DUMMYFUNCTION("""COMPUTED_VALUE"""),"")</f>
        <v/>
      </c>
      <c r="N588" s="8" t="str">
        <f>IFERROR(__xludf.DUMMYFUNCTION("""COMPUTED_VALUE"""),"")</f>
        <v/>
      </c>
      <c r="O588" s="8"/>
      <c r="P588" s="8"/>
    </row>
    <row r="589">
      <c r="A589" s="8"/>
      <c r="B589" s="25"/>
      <c r="C589" s="385"/>
      <c r="D589" s="385"/>
      <c r="E589" s="392"/>
      <c r="F589" s="8"/>
      <c r="G589" s="8"/>
      <c r="H589" s="389"/>
      <c r="I589" s="8" t="b">
        <v>0</v>
      </c>
      <c r="J589" s="388" t="str">
        <f>IFERROR(__xludf.DUMMYFUNCTION("""COMPUTED_VALUE"""),"")</f>
        <v/>
      </c>
      <c r="K589" s="8"/>
      <c r="L589" s="8"/>
      <c r="M589" s="8" t="str">
        <f>IFERROR(__xludf.DUMMYFUNCTION("""COMPUTED_VALUE"""),"")</f>
        <v/>
      </c>
      <c r="N589" s="8" t="str">
        <f>IFERROR(__xludf.DUMMYFUNCTION("""COMPUTED_VALUE"""),"")</f>
        <v/>
      </c>
      <c r="O589" s="8"/>
      <c r="P589" s="8"/>
    </row>
    <row r="590">
      <c r="A590" s="8"/>
      <c r="B590" s="25"/>
      <c r="C590" s="385"/>
      <c r="D590" s="385"/>
      <c r="E590" s="392"/>
      <c r="F590" s="8"/>
      <c r="G590" s="8"/>
      <c r="H590" s="389"/>
      <c r="I590" s="8" t="b">
        <v>0</v>
      </c>
      <c r="J590" s="388" t="str">
        <f>IFERROR(__xludf.DUMMYFUNCTION("""COMPUTED_VALUE"""),"")</f>
        <v/>
      </c>
      <c r="K590" s="8"/>
      <c r="L590" s="8"/>
      <c r="M590" s="8" t="str">
        <f>IFERROR(__xludf.DUMMYFUNCTION("""COMPUTED_VALUE"""),"")</f>
        <v/>
      </c>
      <c r="N590" s="8" t="str">
        <f>IFERROR(__xludf.DUMMYFUNCTION("""COMPUTED_VALUE"""),"")</f>
        <v/>
      </c>
      <c r="O590" s="8"/>
      <c r="P590" s="8"/>
    </row>
    <row r="591">
      <c r="A591" s="8"/>
      <c r="B591" s="25"/>
      <c r="C591" s="385"/>
      <c r="D591" s="385"/>
      <c r="E591" s="392"/>
      <c r="F591" s="8"/>
      <c r="G591" s="8"/>
      <c r="H591" s="389"/>
      <c r="I591" s="8" t="b">
        <v>0</v>
      </c>
      <c r="J591" s="388" t="str">
        <f>IFERROR(__xludf.DUMMYFUNCTION("""COMPUTED_VALUE"""),"")</f>
        <v/>
      </c>
      <c r="K591" s="8"/>
      <c r="L591" s="8"/>
      <c r="M591" s="8" t="str">
        <f>IFERROR(__xludf.DUMMYFUNCTION("""COMPUTED_VALUE"""),"")</f>
        <v/>
      </c>
      <c r="N591" s="8" t="str">
        <f>IFERROR(__xludf.DUMMYFUNCTION("""COMPUTED_VALUE"""),"")</f>
        <v/>
      </c>
      <c r="O591" s="8"/>
      <c r="P591" s="8"/>
    </row>
    <row r="592">
      <c r="A592" s="8"/>
      <c r="B592" s="25"/>
      <c r="C592" s="385"/>
      <c r="D592" s="385"/>
      <c r="E592" s="392"/>
      <c r="F592" s="8"/>
      <c r="G592" s="8"/>
      <c r="H592" s="389"/>
      <c r="I592" s="8" t="b">
        <v>0</v>
      </c>
      <c r="J592" s="388" t="str">
        <f>IFERROR(__xludf.DUMMYFUNCTION("""COMPUTED_VALUE"""),"")</f>
        <v/>
      </c>
      <c r="K592" s="8"/>
      <c r="L592" s="8"/>
      <c r="M592" s="8" t="str">
        <f>IFERROR(__xludf.DUMMYFUNCTION("""COMPUTED_VALUE"""),"")</f>
        <v/>
      </c>
      <c r="N592" s="8" t="str">
        <f>IFERROR(__xludf.DUMMYFUNCTION("""COMPUTED_VALUE"""),"")</f>
        <v/>
      </c>
      <c r="O592" s="8"/>
      <c r="P592" s="8"/>
    </row>
    <row r="593">
      <c r="A593" s="8"/>
      <c r="B593" s="25"/>
      <c r="C593" s="385"/>
      <c r="D593" s="385"/>
      <c r="E593" s="392"/>
      <c r="F593" s="8"/>
      <c r="G593" s="8"/>
      <c r="H593" s="389"/>
      <c r="I593" s="8" t="b">
        <v>0</v>
      </c>
      <c r="J593" s="388" t="str">
        <f>IFERROR(__xludf.DUMMYFUNCTION("""COMPUTED_VALUE"""),"")</f>
        <v/>
      </c>
      <c r="K593" s="8"/>
      <c r="L593" s="8"/>
      <c r="M593" s="8" t="str">
        <f>IFERROR(__xludf.DUMMYFUNCTION("""COMPUTED_VALUE"""),"")</f>
        <v/>
      </c>
      <c r="N593" s="8" t="str">
        <f>IFERROR(__xludf.DUMMYFUNCTION("""COMPUTED_VALUE"""),"")</f>
        <v/>
      </c>
      <c r="O593" s="8"/>
      <c r="P593" s="8"/>
    </row>
    <row r="594">
      <c r="A594" s="8"/>
      <c r="B594" s="25"/>
      <c r="C594" s="385"/>
      <c r="D594" s="385"/>
      <c r="E594" s="392"/>
      <c r="F594" s="8"/>
      <c r="G594" s="8"/>
      <c r="H594" s="389"/>
      <c r="I594" s="8" t="b">
        <v>0</v>
      </c>
      <c r="J594" s="388" t="str">
        <f>IFERROR(__xludf.DUMMYFUNCTION("""COMPUTED_VALUE"""),"")</f>
        <v/>
      </c>
      <c r="K594" s="8"/>
      <c r="L594" s="8"/>
      <c r="M594" s="8" t="str">
        <f>IFERROR(__xludf.DUMMYFUNCTION("""COMPUTED_VALUE"""),"")</f>
        <v/>
      </c>
      <c r="N594" s="8" t="str">
        <f>IFERROR(__xludf.DUMMYFUNCTION("""COMPUTED_VALUE"""),"")</f>
        <v/>
      </c>
      <c r="O594" s="8"/>
      <c r="P594" s="8"/>
    </row>
    <row r="595">
      <c r="A595" s="8"/>
      <c r="B595" s="25"/>
      <c r="C595" s="385"/>
      <c r="D595" s="385"/>
      <c r="E595" s="392"/>
      <c r="F595" s="8"/>
      <c r="G595" s="8"/>
      <c r="H595" s="389"/>
      <c r="I595" s="8" t="b">
        <v>0</v>
      </c>
      <c r="J595" s="388" t="str">
        <f>IFERROR(__xludf.DUMMYFUNCTION("""COMPUTED_VALUE"""),"")</f>
        <v/>
      </c>
      <c r="K595" s="8"/>
      <c r="L595" s="8"/>
      <c r="M595" s="8" t="str">
        <f>IFERROR(__xludf.DUMMYFUNCTION("""COMPUTED_VALUE"""),"")</f>
        <v/>
      </c>
      <c r="N595" s="8" t="str">
        <f>IFERROR(__xludf.DUMMYFUNCTION("""COMPUTED_VALUE"""),"")</f>
        <v/>
      </c>
      <c r="O595" s="8"/>
      <c r="P595" s="8"/>
    </row>
    <row r="596">
      <c r="A596" s="8"/>
      <c r="B596" s="25"/>
      <c r="C596" s="385"/>
      <c r="D596" s="385"/>
      <c r="E596" s="392"/>
      <c r="F596" s="8"/>
      <c r="G596" s="8"/>
      <c r="H596" s="389"/>
      <c r="I596" s="8" t="b">
        <v>0</v>
      </c>
      <c r="J596" s="388" t="str">
        <f>IFERROR(__xludf.DUMMYFUNCTION("""COMPUTED_VALUE"""),"")</f>
        <v/>
      </c>
      <c r="K596" s="8"/>
      <c r="L596" s="8"/>
      <c r="M596" s="8" t="str">
        <f>IFERROR(__xludf.DUMMYFUNCTION("""COMPUTED_VALUE"""),"")</f>
        <v/>
      </c>
      <c r="N596" s="8" t="str">
        <f>IFERROR(__xludf.DUMMYFUNCTION("""COMPUTED_VALUE"""),"")</f>
        <v/>
      </c>
      <c r="O596" s="8"/>
      <c r="P596" s="8"/>
    </row>
    <row r="597">
      <c r="A597" s="8"/>
      <c r="B597" s="25"/>
      <c r="C597" s="385"/>
      <c r="D597" s="385"/>
      <c r="E597" s="392"/>
      <c r="F597" s="8"/>
      <c r="G597" s="8"/>
      <c r="H597" s="389"/>
      <c r="I597" s="8" t="b">
        <v>0</v>
      </c>
      <c r="J597" s="388" t="str">
        <f>IFERROR(__xludf.DUMMYFUNCTION("""COMPUTED_VALUE"""),"")</f>
        <v/>
      </c>
      <c r="K597" s="8"/>
      <c r="L597" s="8"/>
      <c r="M597" s="8" t="str">
        <f>IFERROR(__xludf.DUMMYFUNCTION("""COMPUTED_VALUE"""),"")</f>
        <v/>
      </c>
      <c r="N597" s="8" t="str">
        <f>IFERROR(__xludf.DUMMYFUNCTION("""COMPUTED_VALUE"""),"")</f>
        <v/>
      </c>
      <c r="O597" s="8"/>
      <c r="P597" s="8"/>
    </row>
    <row r="598">
      <c r="A598" s="8"/>
      <c r="B598" s="25"/>
      <c r="C598" s="385"/>
      <c r="D598" s="385"/>
      <c r="E598" s="392"/>
      <c r="F598" s="8"/>
      <c r="G598" s="8"/>
      <c r="H598" s="389"/>
      <c r="I598" s="8" t="b">
        <v>0</v>
      </c>
      <c r="J598" s="388" t="str">
        <f>IFERROR(__xludf.DUMMYFUNCTION("""COMPUTED_VALUE"""),"")</f>
        <v/>
      </c>
      <c r="K598" s="8"/>
      <c r="L598" s="8"/>
      <c r="M598" s="8" t="str">
        <f>IFERROR(__xludf.DUMMYFUNCTION("""COMPUTED_VALUE"""),"")</f>
        <v/>
      </c>
      <c r="N598" s="8" t="str">
        <f>IFERROR(__xludf.DUMMYFUNCTION("""COMPUTED_VALUE"""),"")</f>
        <v/>
      </c>
      <c r="O598" s="8"/>
      <c r="P598" s="8"/>
    </row>
    <row r="599">
      <c r="A599" s="8"/>
      <c r="B599" s="25"/>
      <c r="C599" s="385"/>
      <c r="D599" s="385"/>
      <c r="E599" s="392"/>
      <c r="F599" s="8"/>
      <c r="G599" s="8"/>
      <c r="H599" s="389"/>
      <c r="I599" s="8" t="b">
        <v>0</v>
      </c>
      <c r="J599" s="388" t="str">
        <f>IFERROR(__xludf.DUMMYFUNCTION("""COMPUTED_VALUE"""),"")</f>
        <v/>
      </c>
      <c r="K599" s="8"/>
      <c r="L599" s="8"/>
      <c r="M599" s="8" t="str">
        <f>IFERROR(__xludf.DUMMYFUNCTION("""COMPUTED_VALUE"""),"")</f>
        <v/>
      </c>
      <c r="N599" s="8" t="str">
        <f>IFERROR(__xludf.DUMMYFUNCTION("""COMPUTED_VALUE"""),"")</f>
        <v/>
      </c>
      <c r="O599" s="8"/>
      <c r="P599" s="8"/>
    </row>
    <row r="600">
      <c r="A600" s="8"/>
      <c r="B600" s="25"/>
      <c r="C600" s="385"/>
      <c r="D600" s="385"/>
      <c r="E600" s="392"/>
      <c r="F600" s="8"/>
      <c r="G600" s="8"/>
      <c r="H600" s="389"/>
      <c r="I600" s="8" t="b">
        <v>0</v>
      </c>
      <c r="J600" s="388" t="str">
        <f>IFERROR(__xludf.DUMMYFUNCTION("""COMPUTED_VALUE"""),"")</f>
        <v/>
      </c>
      <c r="K600" s="8"/>
      <c r="L600" s="8"/>
      <c r="M600" s="8" t="str">
        <f>IFERROR(__xludf.DUMMYFUNCTION("""COMPUTED_VALUE"""),"")</f>
        <v/>
      </c>
      <c r="N600" s="8" t="str">
        <f>IFERROR(__xludf.DUMMYFUNCTION("""COMPUTED_VALUE"""),"")</f>
        <v/>
      </c>
      <c r="O600" s="8"/>
      <c r="P600" s="8"/>
    </row>
    <row r="601">
      <c r="A601" s="8"/>
      <c r="B601" s="25"/>
      <c r="C601" s="385"/>
      <c r="D601" s="385"/>
      <c r="E601" s="392"/>
      <c r="F601" s="8"/>
      <c r="G601" s="8"/>
      <c r="H601" s="389"/>
      <c r="I601" s="8" t="b">
        <v>0</v>
      </c>
      <c r="J601" s="388" t="str">
        <f>IFERROR(__xludf.DUMMYFUNCTION("""COMPUTED_VALUE"""),"")</f>
        <v/>
      </c>
      <c r="K601" s="8"/>
      <c r="L601" s="8"/>
      <c r="M601" s="8" t="str">
        <f>IFERROR(__xludf.DUMMYFUNCTION("""COMPUTED_VALUE"""),"")</f>
        <v/>
      </c>
      <c r="N601" s="8" t="str">
        <f>IFERROR(__xludf.DUMMYFUNCTION("""COMPUTED_VALUE"""),"")</f>
        <v/>
      </c>
      <c r="O601" s="8"/>
      <c r="P601" s="8"/>
    </row>
    <row r="602">
      <c r="A602" s="8"/>
      <c r="B602" s="25"/>
      <c r="C602" s="385"/>
      <c r="D602" s="385"/>
      <c r="E602" s="392"/>
      <c r="F602" s="8"/>
      <c r="G602" s="8"/>
      <c r="H602" s="389"/>
      <c r="I602" s="8" t="b">
        <v>0</v>
      </c>
      <c r="J602" s="388" t="str">
        <f>IFERROR(__xludf.DUMMYFUNCTION("""COMPUTED_VALUE"""),"")</f>
        <v/>
      </c>
      <c r="K602" s="8"/>
      <c r="L602" s="8"/>
      <c r="M602" s="8" t="str">
        <f>IFERROR(__xludf.DUMMYFUNCTION("""COMPUTED_VALUE"""),"")</f>
        <v/>
      </c>
      <c r="N602" s="8" t="str">
        <f>IFERROR(__xludf.DUMMYFUNCTION("""COMPUTED_VALUE"""),"")</f>
        <v/>
      </c>
      <c r="O602" s="8"/>
      <c r="P602" s="8"/>
    </row>
    <row r="603">
      <c r="A603" s="8"/>
      <c r="B603" s="25"/>
      <c r="C603" s="385"/>
      <c r="D603" s="385"/>
      <c r="E603" s="392"/>
      <c r="F603" s="8"/>
      <c r="G603" s="8"/>
      <c r="H603" s="389"/>
      <c r="I603" s="8" t="b">
        <v>0</v>
      </c>
      <c r="J603" s="388" t="str">
        <f>IFERROR(__xludf.DUMMYFUNCTION("""COMPUTED_VALUE"""),"")</f>
        <v/>
      </c>
      <c r="K603" s="8"/>
      <c r="L603" s="8"/>
      <c r="M603" s="8" t="str">
        <f>IFERROR(__xludf.DUMMYFUNCTION("""COMPUTED_VALUE"""),"")</f>
        <v/>
      </c>
      <c r="N603" s="8" t="str">
        <f>IFERROR(__xludf.DUMMYFUNCTION("""COMPUTED_VALUE"""),"")</f>
        <v/>
      </c>
      <c r="O603" s="8"/>
      <c r="P603" s="8"/>
    </row>
    <row r="604">
      <c r="A604" s="8"/>
      <c r="B604" s="25"/>
      <c r="C604" s="385"/>
      <c r="D604" s="385"/>
      <c r="E604" s="392"/>
      <c r="F604" s="8"/>
      <c r="G604" s="8"/>
      <c r="H604" s="389"/>
      <c r="I604" s="8" t="b">
        <v>0</v>
      </c>
      <c r="J604" s="388" t="str">
        <f>IFERROR(__xludf.DUMMYFUNCTION("""COMPUTED_VALUE"""),"")</f>
        <v/>
      </c>
      <c r="K604" s="8"/>
      <c r="L604" s="8"/>
      <c r="M604" s="8" t="str">
        <f>IFERROR(__xludf.DUMMYFUNCTION("""COMPUTED_VALUE"""),"")</f>
        <v/>
      </c>
      <c r="N604" s="8" t="str">
        <f>IFERROR(__xludf.DUMMYFUNCTION("""COMPUTED_VALUE"""),"")</f>
        <v/>
      </c>
      <c r="O604" s="8"/>
      <c r="P604" s="8"/>
    </row>
    <row r="605">
      <c r="A605" s="8"/>
      <c r="B605" s="25"/>
      <c r="C605" s="385"/>
      <c r="D605" s="385"/>
      <c r="E605" s="392"/>
      <c r="F605" s="8"/>
      <c r="G605" s="8"/>
      <c r="H605" s="389"/>
      <c r="I605" s="8" t="b">
        <v>0</v>
      </c>
      <c r="J605" s="388" t="str">
        <f>IFERROR(__xludf.DUMMYFUNCTION("""COMPUTED_VALUE"""),"")</f>
        <v/>
      </c>
      <c r="K605" s="8"/>
      <c r="L605" s="8"/>
      <c r="M605" s="8" t="str">
        <f>IFERROR(__xludf.DUMMYFUNCTION("""COMPUTED_VALUE"""),"")</f>
        <v/>
      </c>
      <c r="N605" s="8" t="str">
        <f>IFERROR(__xludf.DUMMYFUNCTION("""COMPUTED_VALUE"""),"")</f>
        <v/>
      </c>
      <c r="O605" s="8"/>
      <c r="P605" s="8"/>
    </row>
    <row r="606">
      <c r="A606" s="8"/>
      <c r="B606" s="25"/>
      <c r="C606" s="385"/>
      <c r="D606" s="385"/>
      <c r="E606" s="392"/>
      <c r="F606" s="8"/>
      <c r="G606" s="8"/>
      <c r="H606" s="389"/>
      <c r="I606" s="8" t="b">
        <v>0</v>
      </c>
      <c r="J606" s="388" t="str">
        <f>IFERROR(__xludf.DUMMYFUNCTION("""COMPUTED_VALUE"""),"")</f>
        <v/>
      </c>
      <c r="K606" s="8"/>
      <c r="L606" s="8"/>
      <c r="M606" s="8" t="str">
        <f>IFERROR(__xludf.DUMMYFUNCTION("""COMPUTED_VALUE"""),"")</f>
        <v/>
      </c>
      <c r="N606" s="8" t="str">
        <f>IFERROR(__xludf.DUMMYFUNCTION("""COMPUTED_VALUE"""),"")</f>
        <v/>
      </c>
      <c r="O606" s="8"/>
      <c r="P606" s="8"/>
    </row>
    <row r="607">
      <c r="A607" s="8"/>
      <c r="B607" s="25"/>
      <c r="C607" s="385"/>
      <c r="D607" s="385"/>
      <c r="E607" s="392"/>
      <c r="F607" s="8"/>
      <c r="G607" s="8"/>
      <c r="H607" s="389"/>
      <c r="I607" s="8" t="b">
        <v>0</v>
      </c>
      <c r="J607" s="388" t="str">
        <f>IFERROR(__xludf.DUMMYFUNCTION("""COMPUTED_VALUE"""),"")</f>
        <v/>
      </c>
      <c r="K607" s="8"/>
      <c r="L607" s="8"/>
      <c r="M607" s="8" t="str">
        <f>IFERROR(__xludf.DUMMYFUNCTION("""COMPUTED_VALUE"""),"")</f>
        <v/>
      </c>
      <c r="N607" s="8" t="str">
        <f>IFERROR(__xludf.DUMMYFUNCTION("""COMPUTED_VALUE"""),"")</f>
        <v/>
      </c>
      <c r="O607" s="8"/>
      <c r="P607" s="8"/>
    </row>
    <row r="608">
      <c r="A608" s="8"/>
      <c r="B608" s="25"/>
      <c r="C608" s="385"/>
      <c r="D608" s="385"/>
      <c r="E608" s="392"/>
      <c r="F608" s="8"/>
      <c r="G608" s="8"/>
      <c r="H608" s="389"/>
      <c r="I608" s="8" t="b">
        <v>0</v>
      </c>
      <c r="J608" s="388" t="str">
        <f>IFERROR(__xludf.DUMMYFUNCTION("""COMPUTED_VALUE"""),"")</f>
        <v/>
      </c>
      <c r="K608" s="8"/>
      <c r="L608" s="8"/>
      <c r="M608" s="8" t="str">
        <f>IFERROR(__xludf.DUMMYFUNCTION("""COMPUTED_VALUE"""),"")</f>
        <v/>
      </c>
      <c r="N608" s="8" t="str">
        <f>IFERROR(__xludf.DUMMYFUNCTION("""COMPUTED_VALUE"""),"")</f>
        <v/>
      </c>
      <c r="O608" s="8"/>
      <c r="P608" s="8"/>
    </row>
    <row r="609">
      <c r="A609" s="8"/>
      <c r="B609" s="25"/>
      <c r="C609" s="385"/>
      <c r="D609" s="385"/>
      <c r="E609" s="392"/>
      <c r="F609" s="8"/>
      <c r="G609" s="8"/>
      <c r="H609" s="389"/>
      <c r="I609" s="8" t="b">
        <v>0</v>
      </c>
      <c r="J609" s="388" t="str">
        <f>IFERROR(__xludf.DUMMYFUNCTION("""COMPUTED_VALUE"""),"")</f>
        <v/>
      </c>
      <c r="K609" s="8"/>
      <c r="L609" s="8"/>
      <c r="M609" s="8" t="str">
        <f>IFERROR(__xludf.DUMMYFUNCTION("""COMPUTED_VALUE"""),"")</f>
        <v/>
      </c>
      <c r="N609" s="8" t="str">
        <f>IFERROR(__xludf.DUMMYFUNCTION("""COMPUTED_VALUE"""),"")</f>
        <v/>
      </c>
      <c r="O609" s="8"/>
      <c r="P609" s="8"/>
    </row>
    <row r="610">
      <c r="A610" s="8"/>
      <c r="B610" s="25"/>
      <c r="C610" s="385"/>
      <c r="D610" s="385"/>
      <c r="E610" s="392"/>
      <c r="F610" s="8"/>
      <c r="G610" s="8"/>
      <c r="H610" s="389"/>
      <c r="I610" s="8" t="b">
        <v>0</v>
      </c>
      <c r="J610" s="388" t="str">
        <f>IFERROR(__xludf.DUMMYFUNCTION("""COMPUTED_VALUE"""),"")</f>
        <v/>
      </c>
      <c r="K610" s="8"/>
      <c r="L610" s="8"/>
      <c r="M610" s="8" t="str">
        <f>IFERROR(__xludf.DUMMYFUNCTION("""COMPUTED_VALUE"""),"")</f>
        <v/>
      </c>
      <c r="N610" s="8" t="str">
        <f>IFERROR(__xludf.DUMMYFUNCTION("""COMPUTED_VALUE"""),"")</f>
        <v/>
      </c>
      <c r="O610" s="8"/>
      <c r="P610" s="8"/>
    </row>
    <row r="611">
      <c r="A611" s="8"/>
      <c r="B611" s="25"/>
      <c r="C611" s="385"/>
      <c r="D611" s="385"/>
      <c r="E611" s="392"/>
      <c r="F611" s="8"/>
      <c r="G611" s="8"/>
      <c r="H611" s="389"/>
      <c r="I611" s="8" t="b">
        <v>0</v>
      </c>
      <c r="J611" s="388" t="str">
        <f>IFERROR(__xludf.DUMMYFUNCTION("""COMPUTED_VALUE"""),"")</f>
        <v/>
      </c>
      <c r="K611" s="8"/>
      <c r="L611" s="8"/>
      <c r="M611" s="8" t="str">
        <f>IFERROR(__xludf.DUMMYFUNCTION("""COMPUTED_VALUE"""),"")</f>
        <v/>
      </c>
      <c r="N611" s="8" t="str">
        <f>IFERROR(__xludf.DUMMYFUNCTION("""COMPUTED_VALUE"""),"")</f>
        <v/>
      </c>
      <c r="O611" s="8"/>
      <c r="P611" s="8"/>
    </row>
    <row r="612">
      <c r="A612" s="8"/>
      <c r="B612" s="25"/>
      <c r="C612" s="385"/>
      <c r="D612" s="385"/>
      <c r="E612" s="392"/>
      <c r="F612" s="8"/>
      <c r="G612" s="8"/>
      <c r="H612" s="389"/>
      <c r="I612" s="8" t="b">
        <v>0</v>
      </c>
      <c r="J612" s="388" t="str">
        <f>IFERROR(__xludf.DUMMYFUNCTION("""COMPUTED_VALUE"""),"")</f>
        <v/>
      </c>
      <c r="K612" s="8"/>
      <c r="L612" s="8"/>
      <c r="M612" s="8" t="str">
        <f>IFERROR(__xludf.DUMMYFUNCTION("""COMPUTED_VALUE"""),"")</f>
        <v/>
      </c>
      <c r="N612" s="8" t="str">
        <f>IFERROR(__xludf.DUMMYFUNCTION("""COMPUTED_VALUE"""),"")</f>
        <v/>
      </c>
      <c r="O612" s="8"/>
      <c r="P612" s="8"/>
    </row>
    <row r="613">
      <c r="A613" s="8"/>
      <c r="B613" s="25"/>
      <c r="C613" s="385"/>
      <c r="D613" s="385"/>
      <c r="E613" s="392"/>
      <c r="F613" s="8"/>
      <c r="G613" s="8"/>
      <c r="H613" s="389"/>
      <c r="I613" s="8" t="b">
        <v>0</v>
      </c>
      <c r="J613" s="388" t="str">
        <f>IFERROR(__xludf.DUMMYFUNCTION("""COMPUTED_VALUE"""),"")</f>
        <v/>
      </c>
      <c r="K613" s="8"/>
      <c r="L613" s="8"/>
      <c r="M613" s="8" t="str">
        <f>IFERROR(__xludf.DUMMYFUNCTION("""COMPUTED_VALUE"""),"")</f>
        <v/>
      </c>
      <c r="N613" s="8" t="str">
        <f>IFERROR(__xludf.DUMMYFUNCTION("""COMPUTED_VALUE"""),"")</f>
        <v/>
      </c>
      <c r="O613" s="8"/>
      <c r="P613" s="8"/>
    </row>
    <row r="614">
      <c r="A614" s="8"/>
      <c r="B614" s="25"/>
      <c r="C614" s="385"/>
      <c r="D614" s="385"/>
      <c r="E614" s="392"/>
      <c r="F614" s="8"/>
      <c r="G614" s="8"/>
      <c r="H614" s="389"/>
      <c r="I614" s="8" t="b">
        <v>0</v>
      </c>
      <c r="J614" s="388" t="str">
        <f>IFERROR(__xludf.DUMMYFUNCTION("""COMPUTED_VALUE"""),"")</f>
        <v/>
      </c>
      <c r="K614" s="8"/>
      <c r="L614" s="8"/>
      <c r="M614" s="8" t="str">
        <f>IFERROR(__xludf.DUMMYFUNCTION("""COMPUTED_VALUE"""),"")</f>
        <v/>
      </c>
      <c r="N614" s="8" t="str">
        <f>IFERROR(__xludf.DUMMYFUNCTION("""COMPUTED_VALUE"""),"")</f>
        <v/>
      </c>
      <c r="O614" s="8"/>
      <c r="P614" s="8"/>
    </row>
    <row r="615">
      <c r="A615" s="8"/>
      <c r="B615" s="25"/>
      <c r="C615" s="385"/>
      <c r="D615" s="385"/>
      <c r="E615" s="392"/>
      <c r="F615" s="8"/>
      <c r="G615" s="8"/>
      <c r="H615" s="389"/>
      <c r="I615" s="8" t="b">
        <v>0</v>
      </c>
      <c r="J615" s="388" t="str">
        <f>IFERROR(__xludf.DUMMYFUNCTION("""COMPUTED_VALUE"""),"")</f>
        <v/>
      </c>
      <c r="K615" s="8"/>
      <c r="L615" s="8"/>
      <c r="M615" s="8" t="str">
        <f>IFERROR(__xludf.DUMMYFUNCTION("""COMPUTED_VALUE"""),"")</f>
        <v/>
      </c>
      <c r="N615" s="8" t="str">
        <f>IFERROR(__xludf.DUMMYFUNCTION("""COMPUTED_VALUE"""),"")</f>
        <v/>
      </c>
      <c r="O615" s="8"/>
      <c r="P615" s="8"/>
    </row>
    <row r="616">
      <c r="A616" s="8"/>
      <c r="B616" s="25"/>
      <c r="C616" s="385"/>
      <c r="D616" s="385"/>
      <c r="E616" s="392"/>
      <c r="F616" s="8"/>
      <c r="G616" s="8"/>
      <c r="H616" s="389"/>
      <c r="I616" s="8" t="b">
        <v>0</v>
      </c>
      <c r="J616" s="388" t="str">
        <f>IFERROR(__xludf.DUMMYFUNCTION("""COMPUTED_VALUE"""),"")</f>
        <v/>
      </c>
      <c r="K616" s="8"/>
      <c r="L616" s="8"/>
      <c r="M616" s="8" t="str">
        <f>IFERROR(__xludf.DUMMYFUNCTION("""COMPUTED_VALUE"""),"")</f>
        <v/>
      </c>
      <c r="N616" s="8" t="str">
        <f>IFERROR(__xludf.DUMMYFUNCTION("""COMPUTED_VALUE"""),"")</f>
        <v/>
      </c>
      <c r="O616" s="8"/>
      <c r="P616" s="8"/>
    </row>
    <row r="617">
      <c r="A617" s="8"/>
      <c r="B617" s="25"/>
      <c r="C617" s="385"/>
      <c r="D617" s="385"/>
      <c r="E617" s="392"/>
      <c r="F617" s="8"/>
      <c r="G617" s="8"/>
      <c r="H617" s="389"/>
      <c r="I617" s="8" t="b">
        <v>0</v>
      </c>
      <c r="J617" s="388" t="str">
        <f>IFERROR(__xludf.DUMMYFUNCTION("""COMPUTED_VALUE"""),"")</f>
        <v/>
      </c>
      <c r="K617" s="8"/>
      <c r="L617" s="8"/>
      <c r="M617" s="8" t="str">
        <f>IFERROR(__xludf.DUMMYFUNCTION("""COMPUTED_VALUE"""),"")</f>
        <v/>
      </c>
      <c r="N617" s="8" t="str">
        <f>IFERROR(__xludf.DUMMYFUNCTION("""COMPUTED_VALUE"""),"")</f>
        <v/>
      </c>
      <c r="O617" s="8"/>
      <c r="P617" s="8"/>
    </row>
    <row r="618">
      <c r="A618" s="8"/>
      <c r="B618" s="25"/>
      <c r="C618" s="385"/>
      <c r="D618" s="385"/>
      <c r="E618" s="392"/>
      <c r="F618" s="8"/>
      <c r="G618" s="8"/>
      <c r="H618" s="389"/>
      <c r="I618" s="8" t="b">
        <v>0</v>
      </c>
      <c r="J618" s="388" t="str">
        <f>IFERROR(__xludf.DUMMYFUNCTION("""COMPUTED_VALUE"""),"")</f>
        <v/>
      </c>
      <c r="K618" s="8"/>
      <c r="L618" s="8"/>
      <c r="M618" s="8" t="str">
        <f>IFERROR(__xludf.DUMMYFUNCTION("""COMPUTED_VALUE"""),"")</f>
        <v/>
      </c>
      <c r="N618" s="8" t="str">
        <f>IFERROR(__xludf.DUMMYFUNCTION("""COMPUTED_VALUE"""),"")</f>
        <v/>
      </c>
      <c r="O618" s="8"/>
      <c r="P618" s="8"/>
    </row>
    <row r="619">
      <c r="A619" s="8"/>
      <c r="B619" s="25"/>
      <c r="C619" s="385"/>
      <c r="D619" s="385"/>
      <c r="E619" s="392"/>
      <c r="F619" s="8"/>
      <c r="G619" s="8"/>
      <c r="H619" s="389"/>
      <c r="I619" s="8" t="b">
        <v>0</v>
      </c>
      <c r="J619" s="388" t="str">
        <f>IFERROR(__xludf.DUMMYFUNCTION("""COMPUTED_VALUE"""),"")</f>
        <v/>
      </c>
      <c r="K619" s="8"/>
      <c r="L619" s="8"/>
      <c r="M619" s="8" t="str">
        <f>IFERROR(__xludf.DUMMYFUNCTION("""COMPUTED_VALUE"""),"")</f>
        <v/>
      </c>
      <c r="N619" s="8" t="str">
        <f>IFERROR(__xludf.DUMMYFUNCTION("""COMPUTED_VALUE"""),"")</f>
        <v/>
      </c>
      <c r="O619" s="8"/>
      <c r="P619" s="8"/>
    </row>
    <row r="620">
      <c r="A620" s="8"/>
      <c r="B620" s="25"/>
      <c r="C620" s="385"/>
      <c r="D620" s="385"/>
      <c r="E620" s="392"/>
      <c r="F620" s="8"/>
      <c r="G620" s="8"/>
      <c r="H620" s="389"/>
      <c r="I620" s="8" t="b">
        <v>0</v>
      </c>
      <c r="J620" s="388" t="str">
        <f>IFERROR(__xludf.DUMMYFUNCTION("""COMPUTED_VALUE"""),"")</f>
        <v/>
      </c>
      <c r="K620" s="8"/>
      <c r="L620" s="8"/>
      <c r="M620" s="8" t="str">
        <f>IFERROR(__xludf.DUMMYFUNCTION("""COMPUTED_VALUE"""),"")</f>
        <v/>
      </c>
      <c r="N620" s="8" t="str">
        <f>IFERROR(__xludf.DUMMYFUNCTION("""COMPUTED_VALUE"""),"")</f>
        <v/>
      </c>
      <c r="O620" s="8"/>
      <c r="P620" s="8"/>
    </row>
    <row r="621">
      <c r="A621" s="8"/>
      <c r="B621" s="25"/>
      <c r="C621" s="385"/>
      <c r="D621" s="385"/>
      <c r="E621" s="392"/>
      <c r="F621" s="8"/>
      <c r="G621" s="8"/>
      <c r="H621" s="389"/>
      <c r="I621" s="8" t="b">
        <v>0</v>
      </c>
      <c r="J621" s="388" t="str">
        <f>IFERROR(__xludf.DUMMYFUNCTION("""COMPUTED_VALUE"""),"")</f>
        <v/>
      </c>
      <c r="K621" s="8"/>
      <c r="L621" s="8"/>
      <c r="M621" s="8" t="str">
        <f>IFERROR(__xludf.DUMMYFUNCTION("""COMPUTED_VALUE"""),"")</f>
        <v/>
      </c>
      <c r="N621" s="8" t="str">
        <f>IFERROR(__xludf.DUMMYFUNCTION("""COMPUTED_VALUE"""),"")</f>
        <v/>
      </c>
      <c r="O621" s="8"/>
      <c r="P621" s="8"/>
    </row>
    <row r="622">
      <c r="A622" s="8"/>
      <c r="B622" s="25"/>
      <c r="C622" s="385"/>
      <c r="D622" s="385"/>
      <c r="E622" s="392"/>
      <c r="F622" s="8"/>
      <c r="G622" s="8"/>
      <c r="H622" s="389"/>
      <c r="I622" s="8" t="b">
        <v>0</v>
      </c>
      <c r="J622" s="388" t="str">
        <f>IFERROR(__xludf.DUMMYFUNCTION("""COMPUTED_VALUE"""),"")</f>
        <v/>
      </c>
      <c r="K622" s="8"/>
      <c r="L622" s="8"/>
      <c r="M622" s="8" t="str">
        <f>IFERROR(__xludf.DUMMYFUNCTION("""COMPUTED_VALUE"""),"")</f>
        <v/>
      </c>
      <c r="N622" s="8" t="str">
        <f>IFERROR(__xludf.DUMMYFUNCTION("""COMPUTED_VALUE"""),"")</f>
        <v/>
      </c>
      <c r="O622" s="8"/>
      <c r="P622" s="8"/>
    </row>
    <row r="623">
      <c r="A623" s="8"/>
      <c r="B623" s="25"/>
      <c r="C623" s="385"/>
      <c r="D623" s="385"/>
      <c r="E623" s="392"/>
      <c r="F623" s="8"/>
      <c r="G623" s="8"/>
      <c r="H623" s="389"/>
      <c r="I623" s="8" t="b">
        <v>0</v>
      </c>
      <c r="J623" s="388" t="str">
        <f>IFERROR(__xludf.DUMMYFUNCTION("""COMPUTED_VALUE"""),"")</f>
        <v/>
      </c>
      <c r="K623" s="8"/>
      <c r="L623" s="8"/>
      <c r="M623" s="8" t="str">
        <f>IFERROR(__xludf.DUMMYFUNCTION("""COMPUTED_VALUE"""),"")</f>
        <v/>
      </c>
      <c r="N623" s="8" t="str">
        <f>IFERROR(__xludf.DUMMYFUNCTION("""COMPUTED_VALUE"""),"")</f>
        <v/>
      </c>
      <c r="O623" s="8"/>
      <c r="P623" s="8"/>
    </row>
    <row r="624">
      <c r="A624" s="8"/>
      <c r="B624" s="25"/>
      <c r="C624" s="385"/>
      <c r="D624" s="385"/>
      <c r="E624" s="392"/>
      <c r="F624" s="8"/>
      <c r="G624" s="8"/>
      <c r="H624" s="389"/>
      <c r="I624" s="8" t="b">
        <v>0</v>
      </c>
      <c r="J624" s="388" t="str">
        <f>IFERROR(__xludf.DUMMYFUNCTION("""COMPUTED_VALUE"""),"")</f>
        <v/>
      </c>
      <c r="K624" s="8"/>
      <c r="L624" s="8"/>
      <c r="M624" s="8" t="str">
        <f>IFERROR(__xludf.DUMMYFUNCTION("""COMPUTED_VALUE"""),"")</f>
        <v/>
      </c>
      <c r="N624" s="8" t="str">
        <f>IFERROR(__xludf.DUMMYFUNCTION("""COMPUTED_VALUE"""),"")</f>
        <v/>
      </c>
      <c r="O624" s="8"/>
      <c r="P624" s="8"/>
    </row>
    <row r="625">
      <c r="A625" s="8"/>
      <c r="B625" s="25"/>
      <c r="C625" s="385"/>
      <c r="D625" s="385"/>
      <c r="E625" s="392"/>
      <c r="F625" s="8"/>
      <c r="G625" s="8"/>
      <c r="H625" s="389"/>
      <c r="I625" s="8" t="b">
        <v>0</v>
      </c>
      <c r="J625" s="388" t="str">
        <f>IFERROR(__xludf.DUMMYFUNCTION("""COMPUTED_VALUE"""),"")</f>
        <v/>
      </c>
      <c r="K625" s="8"/>
      <c r="L625" s="8"/>
      <c r="M625" s="8" t="str">
        <f>IFERROR(__xludf.DUMMYFUNCTION("""COMPUTED_VALUE"""),"")</f>
        <v/>
      </c>
      <c r="N625" s="8" t="str">
        <f>IFERROR(__xludf.DUMMYFUNCTION("""COMPUTED_VALUE"""),"")</f>
        <v/>
      </c>
      <c r="O625" s="8"/>
      <c r="P625" s="8"/>
    </row>
    <row r="626">
      <c r="A626" s="8"/>
      <c r="B626" s="25"/>
      <c r="C626" s="385"/>
      <c r="D626" s="385"/>
      <c r="E626" s="392"/>
      <c r="F626" s="8"/>
      <c r="G626" s="8"/>
      <c r="H626" s="389"/>
      <c r="I626" s="8" t="b">
        <v>0</v>
      </c>
      <c r="J626" s="388" t="str">
        <f>IFERROR(__xludf.DUMMYFUNCTION("""COMPUTED_VALUE"""),"")</f>
        <v/>
      </c>
      <c r="K626" s="8"/>
      <c r="L626" s="8"/>
      <c r="M626" s="8" t="str">
        <f>IFERROR(__xludf.DUMMYFUNCTION("""COMPUTED_VALUE"""),"")</f>
        <v/>
      </c>
      <c r="N626" s="8" t="str">
        <f>IFERROR(__xludf.DUMMYFUNCTION("""COMPUTED_VALUE"""),"")</f>
        <v/>
      </c>
      <c r="O626" s="8"/>
      <c r="P626" s="8"/>
    </row>
    <row r="627">
      <c r="A627" s="8"/>
      <c r="B627" s="25"/>
      <c r="C627" s="385"/>
      <c r="D627" s="385"/>
      <c r="E627" s="392"/>
      <c r="F627" s="8"/>
      <c r="G627" s="8"/>
      <c r="H627" s="389"/>
      <c r="I627" s="8" t="b">
        <v>0</v>
      </c>
      <c r="J627" s="388" t="str">
        <f>IFERROR(__xludf.DUMMYFUNCTION("""COMPUTED_VALUE"""),"")</f>
        <v/>
      </c>
      <c r="K627" s="8"/>
      <c r="L627" s="8"/>
      <c r="M627" s="8" t="str">
        <f>IFERROR(__xludf.DUMMYFUNCTION("""COMPUTED_VALUE"""),"")</f>
        <v/>
      </c>
      <c r="N627" s="8" t="str">
        <f>IFERROR(__xludf.DUMMYFUNCTION("""COMPUTED_VALUE"""),"")</f>
        <v/>
      </c>
      <c r="O627" s="8"/>
      <c r="P627" s="8"/>
    </row>
    <row r="628">
      <c r="A628" s="8"/>
      <c r="B628" s="25"/>
      <c r="C628" s="385"/>
      <c r="D628" s="385"/>
      <c r="E628" s="392"/>
      <c r="F628" s="8"/>
      <c r="G628" s="8"/>
      <c r="H628" s="389"/>
      <c r="I628" s="8" t="b">
        <v>0</v>
      </c>
      <c r="J628" s="388" t="str">
        <f>IFERROR(__xludf.DUMMYFUNCTION("""COMPUTED_VALUE"""),"")</f>
        <v/>
      </c>
      <c r="K628" s="8"/>
      <c r="L628" s="8"/>
      <c r="M628" s="8" t="str">
        <f>IFERROR(__xludf.DUMMYFUNCTION("""COMPUTED_VALUE"""),"")</f>
        <v/>
      </c>
      <c r="N628" s="8" t="str">
        <f>IFERROR(__xludf.DUMMYFUNCTION("""COMPUTED_VALUE"""),"")</f>
        <v/>
      </c>
      <c r="O628" s="8"/>
      <c r="P628" s="8"/>
    </row>
    <row r="629">
      <c r="A629" s="8"/>
      <c r="B629" s="25"/>
      <c r="C629" s="385"/>
      <c r="D629" s="385"/>
      <c r="E629" s="392"/>
      <c r="F629" s="8"/>
      <c r="G629" s="8"/>
      <c r="H629" s="389"/>
      <c r="I629" s="8" t="b">
        <v>0</v>
      </c>
      <c r="J629" s="388" t="str">
        <f>IFERROR(__xludf.DUMMYFUNCTION("""COMPUTED_VALUE"""),"")</f>
        <v/>
      </c>
      <c r="K629" s="8"/>
      <c r="L629" s="8"/>
      <c r="M629" s="8" t="str">
        <f>IFERROR(__xludf.DUMMYFUNCTION("""COMPUTED_VALUE"""),"")</f>
        <v/>
      </c>
      <c r="N629" s="8" t="str">
        <f>IFERROR(__xludf.DUMMYFUNCTION("""COMPUTED_VALUE"""),"")</f>
        <v/>
      </c>
      <c r="O629" s="8"/>
      <c r="P629" s="8"/>
    </row>
    <row r="630">
      <c r="A630" s="8"/>
      <c r="B630" s="25"/>
      <c r="C630" s="385"/>
      <c r="D630" s="385"/>
      <c r="E630" s="392"/>
      <c r="F630" s="8"/>
      <c r="G630" s="8"/>
      <c r="H630" s="389"/>
      <c r="I630" s="8" t="b">
        <v>0</v>
      </c>
      <c r="J630" s="388" t="str">
        <f>IFERROR(__xludf.DUMMYFUNCTION("""COMPUTED_VALUE"""),"")</f>
        <v/>
      </c>
      <c r="K630" s="8"/>
      <c r="L630" s="8"/>
      <c r="M630" s="8" t="str">
        <f>IFERROR(__xludf.DUMMYFUNCTION("""COMPUTED_VALUE"""),"")</f>
        <v/>
      </c>
      <c r="N630" s="8" t="str">
        <f>IFERROR(__xludf.DUMMYFUNCTION("""COMPUTED_VALUE"""),"")</f>
        <v/>
      </c>
      <c r="O630" s="8"/>
      <c r="P630" s="8"/>
    </row>
    <row r="631">
      <c r="A631" s="8"/>
      <c r="B631" s="25"/>
      <c r="C631" s="385"/>
      <c r="D631" s="385"/>
      <c r="E631" s="392"/>
      <c r="F631" s="8"/>
      <c r="G631" s="8"/>
      <c r="H631" s="389"/>
      <c r="I631" s="8" t="b">
        <v>0</v>
      </c>
      <c r="J631" s="388" t="str">
        <f>IFERROR(__xludf.DUMMYFUNCTION("""COMPUTED_VALUE"""),"")</f>
        <v/>
      </c>
      <c r="K631" s="8"/>
      <c r="L631" s="8"/>
      <c r="M631" s="8" t="str">
        <f>IFERROR(__xludf.DUMMYFUNCTION("""COMPUTED_VALUE"""),"")</f>
        <v/>
      </c>
      <c r="N631" s="8" t="str">
        <f>IFERROR(__xludf.DUMMYFUNCTION("""COMPUTED_VALUE"""),"")</f>
        <v/>
      </c>
      <c r="O631" s="8"/>
      <c r="P631" s="8"/>
    </row>
    <row r="632">
      <c r="A632" s="8"/>
      <c r="B632" s="25"/>
      <c r="C632" s="385"/>
      <c r="D632" s="385"/>
      <c r="E632" s="392"/>
      <c r="F632" s="8"/>
      <c r="G632" s="8"/>
      <c r="H632" s="389"/>
      <c r="I632" s="8" t="b">
        <v>0</v>
      </c>
      <c r="J632" s="388" t="str">
        <f>IFERROR(__xludf.DUMMYFUNCTION("""COMPUTED_VALUE"""),"")</f>
        <v/>
      </c>
      <c r="K632" s="8"/>
      <c r="L632" s="8"/>
      <c r="M632" s="8" t="str">
        <f>IFERROR(__xludf.DUMMYFUNCTION("""COMPUTED_VALUE"""),"")</f>
        <v/>
      </c>
      <c r="N632" s="8" t="str">
        <f>IFERROR(__xludf.DUMMYFUNCTION("""COMPUTED_VALUE"""),"")</f>
        <v/>
      </c>
      <c r="O632" s="8"/>
      <c r="P632" s="8"/>
    </row>
    <row r="633">
      <c r="A633" s="8"/>
      <c r="B633" s="25"/>
      <c r="C633" s="385"/>
      <c r="D633" s="385"/>
      <c r="E633" s="392"/>
      <c r="F633" s="8"/>
      <c r="G633" s="8"/>
      <c r="H633" s="389"/>
      <c r="I633" s="8" t="b">
        <v>0</v>
      </c>
      <c r="J633" s="388" t="str">
        <f>IFERROR(__xludf.DUMMYFUNCTION("""COMPUTED_VALUE"""),"")</f>
        <v/>
      </c>
      <c r="K633" s="8"/>
      <c r="L633" s="8"/>
      <c r="M633" s="8" t="str">
        <f>IFERROR(__xludf.DUMMYFUNCTION("""COMPUTED_VALUE"""),"")</f>
        <v/>
      </c>
      <c r="N633" s="8" t="str">
        <f>IFERROR(__xludf.DUMMYFUNCTION("""COMPUTED_VALUE"""),"")</f>
        <v/>
      </c>
      <c r="O633" s="8"/>
      <c r="P633" s="8"/>
    </row>
    <row r="634">
      <c r="A634" s="8"/>
      <c r="B634" s="25"/>
      <c r="C634" s="385"/>
      <c r="D634" s="385"/>
      <c r="E634" s="392"/>
      <c r="F634" s="8"/>
      <c r="G634" s="8"/>
      <c r="H634" s="389"/>
      <c r="I634" s="8" t="b">
        <v>0</v>
      </c>
      <c r="J634" s="388" t="str">
        <f>IFERROR(__xludf.DUMMYFUNCTION("""COMPUTED_VALUE"""),"")</f>
        <v/>
      </c>
      <c r="K634" s="8"/>
      <c r="L634" s="8"/>
      <c r="M634" s="8" t="str">
        <f>IFERROR(__xludf.DUMMYFUNCTION("""COMPUTED_VALUE"""),"")</f>
        <v/>
      </c>
      <c r="N634" s="8" t="str">
        <f>IFERROR(__xludf.DUMMYFUNCTION("""COMPUTED_VALUE"""),"")</f>
        <v/>
      </c>
      <c r="O634" s="8"/>
      <c r="P634" s="8"/>
    </row>
    <row r="635">
      <c r="A635" s="8"/>
      <c r="B635" s="25"/>
      <c r="C635" s="385"/>
      <c r="D635" s="385"/>
      <c r="E635" s="392"/>
      <c r="F635" s="8"/>
      <c r="G635" s="8"/>
      <c r="H635" s="389"/>
      <c r="I635" s="8" t="b">
        <v>0</v>
      </c>
      <c r="J635" s="388" t="str">
        <f>IFERROR(__xludf.DUMMYFUNCTION("""COMPUTED_VALUE"""),"")</f>
        <v/>
      </c>
      <c r="K635" s="8"/>
      <c r="L635" s="8"/>
      <c r="M635" s="8" t="str">
        <f>IFERROR(__xludf.DUMMYFUNCTION("""COMPUTED_VALUE"""),"")</f>
        <v/>
      </c>
      <c r="N635" s="8" t="str">
        <f>IFERROR(__xludf.DUMMYFUNCTION("""COMPUTED_VALUE"""),"")</f>
        <v/>
      </c>
      <c r="O635" s="8"/>
      <c r="P635" s="8"/>
    </row>
    <row r="636">
      <c r="A636" s="8"/>
      <c r="B636" s="25"/>
      <c r="C636" s="385"/>
      <c r="D636" s="385"/>
      <c r="E636" s="392"/>
      <c r="F636" s="8"/>
      <c r="G636" s="8"/>
      <c r="H636" s="389"/>
      <c r="I636" s="8" t="b">
        <v>0</v>
      </c>
      <c r="J636" s="388" t="str">
        <f>IFERROR(__xludf.DUMMYFUNCTION("""COMPUTED_VALUE"""),"")</f>
        <v/>
      </c>
      <c r="K636" s="8"/>
      <c r="L636" s="8"/>
      <c r="M636" s="8" t="str">
        <f>IFERROR(__xludf.DUMMYFUNCTION("""COMPUTED_VALUE"""),"")</f>
        <v/>
      </c>
      <c r="N636" s="8" t="str">
        <f>IFERROR(__xludf.DUMMYFUNCTION("""COMPUTED_VALUE"""),"")</f>
        <v/>
      </c>
      <c r="O636" s="8"/>
      <c r="P636" s="8"/>
    </row>
    <row r="637">
      <c r="A637" s="8"/>
      <c r="B637" s="25"/>
      <c r="C637" s="385"/>
      <c r="D637" s="385"/>
      <c r="E637" s="392"/>
      <c r="F637" s="8"/>
      <c r="G637" s="8"/>
      <c r="H637" s="389"/>
      <c r="I637" s="8" t="b">
        <v>0</v>
      </c>
      <c r="J637" s="388" t="str">
        <f>IFERROR(__xludf.DUMMYFUNCTION("""COMPUTED_VALUE"""),"")</f>
        <v/>
      </c>
      <c r="K637" s="8"/>
      <c r="L637" s="8"/>
      <c r="M637" s="8" t="str">
        <f>IFERROR(__xludf.DUMMYFUNCTION("""COMPUTED_VALUE"""),"")</f>
        <v/>
      </c>
      <c r="N637" s="8" t="str">
        <f>IFERROR(__xludf.DUMMYFUNCTION("""COMPUTED_VALUE"""),"")</f>
        <v/>
      </c>
      <c r="O637" s="8"/>
      <c r="P637" s="8"/>
    </row>
    <row r="638">
      <c r="A638" s="8"/>
      <c r="B638" s="25"/>
      <c r="C638" s="385"/>
      <c r="D638" s="385"/>
      <c r="E638" s="392"/>
      <c r="F638" s="8"/>
      <c r="G638" s="8"/>
      <c r="H638" s="389"/>
      <c r="I638" s="8" t="b">
        <v>0</v>
      </c>
      <c r="J638" s="388" t="str">
        <f>IFERROR(__xludf.DUMMYFUNCTION("""COMPUTED_VALUE"""),"")</f>
        <v/>
      </c>
      <c r="K638" s="8"/>
      <c r="L638" s="8"/>
      <c r="M638" s="8" t="str">
        <f>IFERROR(__xludf.DUMMYFUNCTION("""COMPUTED_VALUE"""),"")</f>
        <v/>
      </c>
      <c r="N638" s="8" t="str">
        <f>IFERROR(__xludf.DUMMYFUNCTION("""COMPUTED_VALUE"""),"")</f>
        <v/>
      </c>
      <c r="O638" s="8"/>
      <c r="P638" s="8"/>
    </row>
    <row r="639">
      <c r="A639" s="8"/>
      <c r="B639" s="25"/>
      <c r="C639" s="385"/>
      <c r="D639" s="385"/>
      <c r="E639" s="392"/>
      <c r="F639" s="8"/>
      <c r="G639" s="8"/>
      <c r="H639" s="389"/>
      <c r="I639" s="8" t="b">
        <v>0</v>
      </c>
      <c r="J639" s="388" t="str">
        <f>IFERROR(__xludf.DUMMYFUNCTION("""COMPUTED_VALUE"""),"")</f>
        <v/>
      </c>
      <c r="K639" s="8"/>
      <c r="L639" s="8"/>
      <c r="M639" s="8" t="str">
        <f>IFERROR(__xludf.DUMMYFUNCTION("""COMPUTED_VALUE"""),"")</f>
        <v/>
      </c>
      <c r="N639" s="8" t="str">
        <f>IFERROR(__xludf.DUMMYFUNCTION("""COMPUTED_VALUE"""),"")</f>
        <v/>
      </c>
      <c r="O639" s="8"/>
      <c r="P639" s="8"/>
    </row>
    <row r="640">
      <c r="A640" s="8"/>
      <c r="B640" s="25"/>
      <c r="C640" s="385"/>
      <c r="D640" s="385"/>
      <c r="E640" s="392"/>
      <c r="F640" s="8"/>
      <c r="G640" s="8"/>
      <c r="H640" s="389"/>
      <c r="I640" s="8" t="b">
        <v>0</v>
      </c>
      <c r="J640" s="388" t="str">
        <f>IFERROR(__xludf.DUMMYFUNCTION("""COMPUTED_VALUE"""),"")</f>
        <v/>
      </c>
      <c r="K640" s="8"/>
      <c r="L640" s="8"/>
      <c r="M640" s="8" t="str">
        <f>IFERROR(__xludf.DUMMYFUNCTION("""COMPUTED_VALUE"""),"")</f>
        <v/>
      </c>
      <c r="N640" s="8" t="str">
        <f>IFERROR(__xludf.DUMMYFUNCTION("""COMPUTED_VALUE"""),"")</f>
        <v/>
      </c>
      <c r="O640" s="8"/>
      <c r="P640" s="8"/>
    </row>
    <row r="641">
      <c r="A641" s="8"/>
      <c r="B641" s="25"/>
      <c r="C641" s="385"/>
      <c r="D641" s="385"/>
      <c r="E641" s="392"/>
      <c r="F641" s="8"/>
      <c r="G641" s="8"/>
      <c r="H641" s="389"/>
      <c r="I641" s="8" t="b">
        <v>0</v>
      </c>
      <c r="J641" s="388" t="str">
        <f>IFERROR(__xludf.DUMMYFUNCTION("""COMPUTED_VALUE"""),"")</f>
        <v/>
      </c>
      <c r="K641" s="8"/>
      <c r="L641" s="8"/>
      <c r="M641" s="8" t="str">
        <f>IFERROR(__xludf.DUMMYFUNCTION("""COMPUTED_VALUE"""),"")</f>
        <v/>
      </c>
      <c r="N641" s="8" t="str">
        <f>IFERROR(__xludf.DUMMYFUNCTION("""COMPUTED_VALUE"""),"")</f>
        <v/>
      </c>
      <c r="O641" s="8"/>
      <c r="P641" s="8"/>
    </row>
    <row r="642">
      <c r="A642" s="8"/>
      <c r="B642" s="25"/>
      <c r="C642" s="385"/>
      <c r="D642" s="385"/>
      <c r="E642" s="392"/>
      <c r="F642" s="8"/>
      <c r="G642" s="8"/>
      <c r="H642" s="389"/>
      <c r="I642" s="8" t="b">
        <v>0</v>
      </c>
      <c r="J642" s="388" t="str">
        <f>IFERROR(__xludf.DUMMYFUNCTION("""COMPUTED_VALUE"""),"")</f>
        <v/>
      </c>
      <c r="K642" s="8"/>
      <c r="L642" s="8"/>
      <c r="M642" s="8" t="str">
        <f>IFERROR(__xludf.DUMMYFUNCTION("""COMPUTED_VALUE"""),"")</f>
        <v/>
      </c>
      <c r="N642" s="8" t="str">
        <f>IFERROR(__xludf.DUMMYFUNCTION("""COMPUTED_VALUE"""),"")</f>
        <v/>
      </c>
      <c r="O642" s="8"/>
      <c r="P642" s="8"/>
    </row>
    <row r="643">
      <c r="A643" s="8"/>
      <c r="B643" s="25"/>
      <c r="C643" s="385"/>
      <c r="D643" s="385"/>
      <c r="E643" s="392"/>
      <c r="F643" s="8"/>
      <c r="G643" s="8"/>
      <c r="H643" s="389"/>
      <c r="I643" s="8" t="b">
        <v>0</v>
      </c>
      <c r="J643" s="388" t="str">
        <f>IFERROR(__xludf.DUMMYFUNCTION("""COMPUTED_VALUE"""),"")</f>
        <v/>
      </c>
      <c r="K643" s="8"/>
      <c r="L643" s="8"/>
      <c r="M643" s="8" t="str">
        <f>IFERROR(__xludf.DUMMYFUNCTION("""COMPUTED_VALUE"""),"")</f>
        <v/>
      </c>
      <c r="N643" s="8" t="str">
        <f>IFERROR(__xludf.DUMMYFUNCTION("""COMPUTED_VALUE"""),"")</f>
        <v/>
      </c>
      <c r="O643" s="8"/>
      <c r="P643" s="8"/>
    </row>
    <row r="644">
      <c r="A644" s="8"/>
      <c r="B644" s="25"/>
      <c r="C644" s="385"/>
      <c r="D644" s="385"/>
      <c r="E644" s="392"/>
      <c r="F644" s="8"/>
      <c r="G644" s="8"/>
      <c r="H644" s="389"/>
      <c r="I644" s="8" t="b">
        <v>0</v>
      </c>
      <c r="J644" s="388" t="str">
        <f>IFERROR(__xludf.DUMMYFUNCTION("""COMPUTED_VALUE"""),"")</f>
        <v/>
      </c>
      <c r="K644" s="8"/>
      <c r="L644" s="8"/>
      <c r="M644" s="8" t="str">
        <f>IFERROR(__xludf.DUMMYFUNCTION("""COMPUTED_VALUE"""),"")</f>
        <v/>
      </c>
      <c r="N644" s="8" t="str">
        <f>IFERROR(__xludf.DUMMYFUNCTION("""COMPUTED_VALUE"""),"")</f>
        <v/>
      </c>
      <c r="O644" s="8"/>
      <c r="P644" s="8"/>
    </row>
    <row r="645">
      <c r="A645" s="8"/>
      <c r="B645" s="25"/>
      <c r="C645" s="385"/>
      <c r="D645" s="385"/>
      <c r="E645" s="392"/>
      <c r="F645" s="8"/>
      <c r="G645" s="8"/>
      <c r="H645" s="389"/>
      <c r="I645" s="8" t="b">
        <v>0</v>
      </c>
      <c r="J645" s="388" t="str">
        <f>IFERROR(__xludf.DUMMYFUNCTION("""COMPUTED_VALUE"""),"")</f>
        <v/>
      </c>
      <c r="K645" s="8"/>
      <c r="L645" s="8"/>
      <c r="M645" s="8" t="str">
        <f>IFERROR(__xludf.DUMMYFUNCTION("""COMPUTED_VALUE"""),"")</f>
        <v/>
      </c>
      <c r="N645" s="8" t="str">
        <f>IFERROR(__xludf.DUMMYFUNCTION("""COMPUTED_VALUE"""),"")</f>
        <v/>
      </c>
      <c r="O645" s="8"/>
      <c r="P645" s="8"/>
    </row>
    <row r="646">
      <c r="A646" s="8"/>
      <c r="B646" s="25"/>
      <c r="C646" s="385"/>
      <c r="D646" s="385"/>
      <c r="E646" s="392"/>
      <c r="F646" s="8"/>
      <c r="G646" s="8"/>
      <c r="H646" s="389"/>
      <c r="I646" s="8" t="b">
        <v>0</v>
      </c>
      <c r="J646" s="388" t="str">
        <f>IFERROR(__xludf.DUMMYFUNCTION("""COMPUTED_VALUE"""),"")</f>
        <v/>
      </c>
      <c r="K646" s="8"/>
      <c r="L646" s="8"/>
      <c r="M646" s="8" t="str">
        <f>IFERROR(__xludf.DUMMYFUNCTION("""COMPUTED_VALUE"""),"")</f>
        <v/>
      </c>
      <c r="N646" s="8" t="str">
        <f>IFERROR(__xludf.DUMMYFUNCTION("""COMPUTED_VALUE"""),"")</f>
        <v/>
      </c>
      <c r="O646" s="8"/>
      <c r="P646" s="8"/>
    </row>
    <row r="647">
      <c r="A647" s="8"/>
      <c r="B647" s="25"/>
      <c r="C647" s="385"/>
      <c r="D647" s="385"/>
      <c r="E647" s="392"/>
      <c r="F647" s="8"/>
      <c r="G647" s="8"/>
      <c r="H647" s="389"/>
      <c r="I647" s="8" t="b">
        <v>0</v>
      </c>
      <c r="J647" s="388" t="str">
        <f>IFERROR(__xludf.DUMMYFUNCTION("""COMPUTED_VALUE"""),"")</f>
        <v/>
      </c>
      <c r="K647" s="8"/>
      <c r="L647" s="8"/>
      <c r="M647" s="8" t="str">
        <f>IFERROR(__xludf.DUMMYFUNCTION("""COMPUTED_VALUE"""),"")</f>
        <v/>
      </c>
      <c r="N647" s="8" t="str">
        <f>IFERROR(__xludf.DUMMYFUNCTION("""COMPUTED_VALUE"""),"")</f>
        <v/>
      </c>
      <c r="O647" s="8"/>
      <c r="P647" s="8"/>
    </row>
    <row r="648">
      <c r="A648" s="8"/>
      <c r="B648" s="25"/>
      <c r="C648" s="385"/>
      <c r="D648" s="385"/>
      <c r="E648" s="392"/>
      <c r="F648" s="8"/>
      <c r="G648" s="8"/>
      <c r="H648" s="389"/>
      <c r="I648" s="8" t="b">
        <v>0</v>
      </c>
      <c r="J648" s="388" t="str">
        <f>IFERROR(__xludf.DUMMYFUNCTION("""COMPUTED_VALUE"""),"")</f>
        <v/>
      </c>
      <c r="K648" s="8"/>
      <c r="L648" s="8"/>
      <c r="M648" s="8" t="str">
        <f>IFERROR(__xludf.DUMMYFUNCTION("""COMPUTED_VALUE"""),"")</f>
        <v/>
      </c>
      <c r="N648" s="8" t="str">
        <f>IFERROR(__xludf.DUMMYFUNCTION("""COMPUTED_VALUE"""),"")</f>
        <v/>
      </c>
      <c r="O648" s="8"/>
      <c r="P648" s="8"/>
    </row>
    <row r="649">
      <c r="A649" s="8"/>
      <c r="B649" s="25"/>
      <c r="C649" s="385"/>
      <c r="D649" s="385"/>
      <c r="E649" s="392"/>
      <c r="F649" s="8"/>
      <c r="G649" s="8"/>
      <c r="H649" s="389"/>
      <c r="I649" s="8" t="b">
        <v>0</v>
      </c>
      <c r="J649" s="388" t="str">
        <f>IFERROR(__xludf.DUMMYFUNCTION("""COMPUTED_VALUE"""),"")</f>
        <v/>
      </c>
      <c r="K649" s="8"/>
      <c r="L649" s="8"/>
      <c r="M649" s="8" t="str">
        <f>IFERROR(__xludf.DUMMYFUNCTION("""COMPUTED_VALUE"""),"")</f>
        <v/>
      </c>
      <c r="N649" s="8" t="str">
        <f>IFERROR(__xludf.DUMMYFUNCTION("""COMPUTED_VALUE"""),"")</f>
        <v/>
      </c>
      <c r="O649" s="8"/>
      <c r="P649" s="8"/>
    </row>
    <row r="650">
      <c r="A650" s="8"/>
      <c r="B650" s="25"/>
      <c r="C650" s="385"/>
      <c r="D650" s="385"/>
      <c r="E650" s="392"/>
      <c r="F650" s="8"/>
      <c r="G650" s="8"/>
      <c r="H650" s="389"/>
      <c r="I650" s="8" t="b">
        <v>0</v>
      </c>
      <c r="J650" s="388" t="str">
        <f>IFERROR(__xludf.DUMMYFUNCTION("""COMPUTED_VALUE"""),"")</f>
        <v/>
      </c>
      <c r="K650" s="8"/>
      <c r="L650" s="8"/>
      <c r="M650" s="8" t="str">
        <f>IFERROR(__xludf.DUMMYFUNCTION("""COMPUTED_VALUE"""),"")</f>
        <v/>
      </c>
      <c r="N650" s="8" t="str">
        <f>IFERROR(__xludf.DUMMYFUNCTION("""COMPUTED_VALUE"""),"")</f>
        <v/>
      </c>
      <c r="O650" s="8"/>
      <c r="P650" s="8"/>
    </row>
    <row r="651">
      <c r="A651" s="8"/>
      <c r="B651" s="25"/>
      <c r="C651" s="385"/>
      <c r="D651" s="385"/>
      <c r="E651" s="392"/>
      <c r="F651" s="8"/>
      <c r="G651" s="8"/>
      <c r="H651" s="389"/>
      <c r="I651" s="8" t="b">
        <v>0</v>
      </c>
      <c r="J651" s="388" t="str">
        <f>IFERROR(__xludf.DUMMYFUNCTION("""COMPUTED_VALUE"""),"")</f>
        <v/>
      </c>
      <c r="K651" s="8"/>
      <c r="L651" s="8"/>
      <c r="M651" s="8" t="str">
        <f>IFERROR(__xludf.DUMMYFUNCTION("""COMPUTED_VALUE"""),"")</f>
        <v/>
      </c>
      <c r="N651" s="8" t="str">
        <f>IFERROR(__xludf.DUMMYFUNCTION("""COMPUTED_VALUE"""),"")</f>
        <v/>
      </c>
      <c r="O651" s="8"/>
      <c r="P651" s="8"/>
    </row>
    <row r="652">
      <c r="A652" s="8"/>
      <c r="B652" s="25"/>
      <c r="C652" s="385"/>
      <c r="D652" s="385"/>
      <c r="E652" s="392"/>
      <c r="F652" s="8"/>
      <c r="G652" s="8"/>
      <c r="H652" s="389"/>
      <c r="I652" s="8" t="b">
        <v>0</v>
      </c>
      <c r="J652" s="388" t="str">
        <f>IFERROR(__xludf.DUMMYFUNCTION("""COMPUTED_VALUE"""),"")</f>
        <v/>
      </c>
      <c r="K652" s="8"/>
      <c r="L652" s="8"/>
      <c r="M652" s="8" t="str">
        <f>IFERROR(__xludf.DUMMYFUNCTION("""COMPUTED_VALUE"""),"")</f>
        <v/>
      </c>
      <c r="N652" s="8" t="str">
        <f>IFERROR(__xludf.DUMMYFUNCTION("""COMPUTED_VALUE"""),"")</f>
        <v/>
      </c>
      <c r="O652" s="8"/>
      <c r="P652" s="8"/>
    </row>
    <row r="653">
      <c r="A653" s="8"/>
      <c r="B653" s="25"/>
      <c r="C653" s="385"/>
      <c r="D653" s="385"/>
      <c r="E653" s="392"/>
      <c r="F653" s="8"/>
      <c r="G653" s="8"/>
      <c r="H653" s="389"/>
      <c r="I653" s="8" t="b">
        <v>0</v>
      </c>
      <c r="J653" s="388" t="str">
        <f>IFERROR(__xludf.DUMMYFUNCTION("""COMPUTED_VALUE"""),"")</f>
        <v/>
      </c>
      <c r="K653" s="8"/>
      <c r="L653" s="8"/>
      <c r="M653" s="8" t="str">
        <f>IFERROR(__xludf.DUMMYFUNCTION("""COMPUTED_VALUE"""),"")</f>
        <v/>
      </c>
      <c r="N653" s="8" t="str">
        <f>IFERROR(__xludf.DUMMYFUNCTION("""COMPUTED_VALUE"""),"")</f>
        <v/>
      </c>
      <c r="O653" s="8"/>
      <c r="P653" s="8"/>
    </row>
    <row r="654">
      <c r="A654" s="8"/>
      <c r="B654" s="25"/>
      <c r="C654" s="385"/>
      <c r="D654" s="385"/>
      <c r="E654" s="392"/>
      <c r="F654" s="8"/>
      <c r="G654" s="8"/>
      <c r="H654" s="389"/>
      <c r="I654" s="8" t="b">
        <v>0</v>
      </c>
      <c r="J654" s="388" t="str">
        <f>IFERROR(__xludf.DUMMYFUNCTION("""COMPUTED_VALUE"""),"")</f>
        <v/>
      </c>
      <c r="K654" s="8"/>
      <c r="L654" s="8"/>
      <c r="M654" s="8" t="str">
        <f>IFERROR(__xludf.DUMMYFUNCTION("""COMPUTED_VALUE"""),"")</f>
        <v/>
      </c>
      <c r="N654" s="8" t="str">
        <f>IFERROR(__xludf.DUMMYFUNCTION("""COMPUTED_VALUE"""),"")</f>
        <v/>
      </c>
      <c r="O654" s="8"/>
      <c r="P654" s="8"/>
    </row>
    <row r="655">
      <c r="A655" s="8"/>
      <c r="B655" s="25"/>
      <c r="C655" s="385"/>
      <c r="D655" s="385"/>
      <c r="E655" s="392"/>
      <c r="F655" s="8"/>
      <c r="G655" s="8"/>
      <c r="H655" s="389"/>
      <c r="I655" s="8" t="b">
        <v>0</v>
      </c>
      <c r="J655" s="388" t="str">
        <f>IFERROR(__xludf.DUMMYFUNCTION("""COMPUTED_VALUE"""),"")</f>
        <v/>
      </c>
      <c r="K655" s="8"/>
      <c r="L655" s="8"/>
      <c r="M655" s="8" t="str">
        <f>IFERROR(__xludf.DUMMYFUNCTION("""COMPUTED_VALUE"""),"")</f>
        <v/>
      </c>
      <c r="N655" s="8" t="str">
        <f>IFERROR(__xludf.DUMMYFUNCTION("""COMPUTED_VALUE"""),"")</f>
        <v/>
      </c>
      <c r="O655" s="8"/>
      <c r="P655" s="8"/>
    </row>
    <row r="656">
      <c r="A656" s="8"/>
      <c r="B656" s="25"/>
      <c r="C656" s="385"/>
      <c r="D656" s="385"/>
      <c r="E656" s="392"/>
      <c r="F656" s="8"/>
      <c r="G656" s="8"/>
      <c r="H656" s="389"/>
      <c r="I656" s="8" t="b">
        <v>0</v>
      </c>
      <c r="J656" s="388" t="str">
        <f>IFERROR(__xludf.DUMMYFUNCTION("""COMPUTED_VALUE"""),"")</f>
        <v/>
      </c>
      <c r="K656" s="8"/>
      <c r="L656" s="8"/>
      <c r="M656" s="8" t="str">
        <f>IFERROR(__xludf.DUMMYFUNCTION("""COMPUTED_VALUE"""),"")</f>
        <v/>
      </c>
      <c r="N656" s="8" t="str">
        <f>IFERROR(__xludf.DUMMYFUNCTION("""COMPUTED_VALUE"""),"")</f>
        <v/>
      </c>
      <c r="O656" s="8"/>
      <c r="P656" s="8"/>
    </row>
    <row r="657">
      <c r="A657" s="8"/>
      <c r="B657" s="25"/>
      <c r="C657" s="385"/>
      <c r="D657" s="385"/>
      <c r="E657" s="392"/>
      <c r="F657" s="8"/>
      <c r="G657" s="8"/>
      <c r="H657" s="389"/>
      <c r="I657" s="8" t="b">
        <v>0</v>
      </c>
      <c r="J657" s="388" t="str">
        <f>IFERROR(__xludf.DUMMYFUNCTION("""COMPUTED_VALUE"""),"")</f>
        <v/>
      </c>
      <c r="K657" s="8"/>
      <c r="L657" s="8"/>
      <c r="M657" s="8" t="str">
        <f>IFERROR(__xludf.DUMMYFUNCTION("""COMPUTED_VALUE"""),"")</f>
        <v/>
      </c>
      <c r="N657" s="8" t="str">
        <f>IFERROR(__xludf.DUMMYFUNCTION("""COMPUTED_VALUE"""),"")</f>
        <v/>
      </c>
      <c r="O657" s="8"/>
      <c r="P657" s="8"/>
    </row>
    <row r="658">
      <c r="A658" s="8"/>
      <c r="B658" s="25"/>
      <c r="C658" s="385"/>
      <c r="D658" s="385"/>
      <c r="E658" s="392"/>
      <c r="F658" s="8"/>
      <c r="G658" s="8"/>
      <c r="H658" s="389"/>
      <c r="I658" s="8" t="b">
        <v>0</v>
      </c>
      <c r="J658" s="388" t="str">
        <f>IFERROR(__xludf.DUMMYFUNCTION("""COMPUTED_VALUE"""),"")</f>
        <v/>
      </c>
      <c r="K658" s="8"/>
      <c r="L658" s="8"/>
      <c r="M658" s="8" t="str">
        <f>IFERROR(__xludf.DUMMYFUNCTION("""COMPUTED_VALUE"""),"")</f>
        <v/>
      </c>
      <c r="N658" s="8" t="str">
        <f>IFERROR(__xludf.DUMMYFUNCTION("""COMPUTED_VALUE"""),"")</f>
        <v/>
      </c>
      <c r="O658" s="8"/>
      <c r="P658" s="8"/>
    </row>
    <row r="659">
      <c r="A659" s="8"/>
      <c r="B659" s="25"/>
      <c r="C659" s="385"/>
      <c r="D659" s="385"/>
      <c r="E659" s="392"/>
      <c r="F659" s="8"/>
      <c r="G659" s="8"/>
      <c r="H659" s="389"/>
      <c r="I659" s="8" t="b">
        <v>0</v>
      </c>
      <c r="J659" s="388" t="str">
        <f>IFERROR(__xludf.DUMMYFUNCTION("""COMPUTED_VALUE"""),"")</f>
        <v/>
      </c>
      <c r="K659" s="8"/>
      <c r="L659" s="8"/>
      <c r="M659" s="8" t="str">
        <f>IFERROR(__xludf.DUMMYFUNCTION("""COMPUTED_VALUE"""),"")</f>
        <v/>
      </c>
      <c r="N659" s="8" t="str">
        <f>IFERROR(__xludf.DUMMYFUNCTION("""COMPUTED_VALUE"""),"")</f>
        <v/>
      </c>
      <c r="O659" s="8"/>
      <c r="P659" s="8"/>
    </row>
    <row r="660">
      <c r="A660" s="8"/>
      <c r="B660" s="25"/>
      <c r="C660" s="385"/>
      <c r="D660" s="385"/>
      <c r="E660" s="392"/>
      <c r="F660" s="8"/>
      <c r="G660" s="8"/>
      <c r="H660" s="389"/>
      <c r="I660" s="8" t="b">
        <v>0</v>
      </c>
      <c r="J660" s="388" t="str">
        <f>IFERROR(__xludf.DUMMYFUNCTION("""COMPUTED_VALUE"""),"")</f>
        <v/>
      </c>
      <c r="K660" s="8"/>
      <c r="L660" s="8"/>
      <c r="M660" s="8" t="str">
        <f>IFERROR(__xludf.DUMMYFUNCTION("""COMPUTED_VALUE"""),"")</f>
        <v/>
      </c>
      <c r="N660" s="8" t="str">
        <f>IFERROR(__xludf.DUMMYFUNCTION("""COMPUTED_VALUE"""),"")</f>
        <v/>
      </c>
      <c r="O660" s="8"/>
      <c r="P660" s="8"/>
    </row>
    <row r="661">
      <c r="A661" s="8"/>
      <c r="B661" s="25"/>
      <c r="C661" s="385"/>
      <c r="D661" s="385"/>
      <c r="E661" s="392"/>
      <c r="F661" s="8"/>
      <c r="G661" s="8"/>
      <c r="H661" s="389"/>
      <c r="I661" s="8" t="b">
        <v>0</v>
      </c>
      <c r="J661" s="388" t="str">
        <f>IFERROR(__xludf.DUMMYFUNCTION("""COMPUTED_VALUE"""),"")</f>
        <v/>
      </c>
      <c r="K661" s="8"/>
      <c r="L661" s="8"/>
      <c r="M661" s="8" t="str">
        <f>IFERROR(__xludf.DUMMYFUNCTION("""COMPUTED_VALUE"""),"")</f>
        <v/>
      </c>
      <c r="N661" s="8" t="str">
        <f>IFERROR(__xludf.DUMMYFUNCTION("""COMPUTED_VALUE"""),"")</f>
        <v/>
      </c>
      <c r="O661" s="8"/>
      <c r="P661" s="8"/>
    </row>
    <row r="662">
      <c r="A662" s="8"/>
      <c r="B662" s="25"/>
      <c r="C662" s="385"/>
      <c r="D662" s="385"/>
      <c r="E662" s="392"/>
      <c r="F662" s="8"/>
      <c r="G662" s="8"/>
      <c r="H662" s="389"/>
      <c r="I662" s="8" t="b">
        <v>0</v>
      </c>
      <c r="J662" s="388" t="str">
        <f>IFERROR(__xludf.DUMMYFUNCTION("""COMPUTED_VALUE"""),"")</f>
        <v/>
      </c>
      <c r="K662" s="8"/>
      <c r="L662" s="8"/>
      <c r="M662" s="8" t="str">
        <f>IFERROR(__xludf.DUMMYFUNCTION("""COMPUTED_VALUE"""),"")</f>
        <v/>
      </c>
      <c r="N662" s="8" t="str">
        <f>IFERROR(__xludf.DUMMYFUNCTION("""COMPUTED_VALUE"""),"")</f>
        <v/>
      </c>
      <c r="O662" s="8"/>
      <c r="P662" s="8"/>
    </row>
    <row r="663">
      <c r="A663" s="8"/>
      <c r="B663" s="25"/>
      <c r="C663" s="385"/>
      <c r="D663" s="385"/>
      <c r="E663" s="392"/>
      <c r="F663" s="8"/>
      <c r="G663" s="8"/>
      <c r="H663" s="389"/>
      <c r="I663" s="8" t="b">
        <v>0</v>
      </c>
      <c r="J663" s="388" t="str">
        <f>IFERROR(__xludf.DUMMYFUNCTION("""COMPUTED_VALUE"""),"")</f>
        <v/>
      </c>
      <c r="K663" s="8"/>
      <c r="L663" s="8"/>
      <c r="M663" s="8" t="str">
        <f>IFERROR(__xludf.DUMMYFUNCTION("""COMPUTED_VALUE"""),"")</f>
        <v/>
      </c>
      <c r="N663" s="8" t="str">
        <f>IFERROR(__xludf.DUMMYFUNCTION("""COMPUTED_VALUE"""),"")</f>
        <v/>
      </c>
      <c r="O663" s="8"/>
      <c r="P663" s="8"/>
    </row>
    <row r="664">
      <c r="A664" s="8"/>
      <c r="B664" s="25"/>
      <c r="C664" s="385"/>
      <c r="D664" s="385"/>
      <c r="E664" s="392"/>
      <c r="F664" s="8"/>
      <c r="G664" s="8"/>
      <c r="H664" s="389"/>
      <c r="I664" s="8" t="b">
        <v>0</v>
      </c>
      <c r="J664" s="388" t="str">
        <f>IFERROR(__xludf.DUMMYFUNCTION("""COMPUTED_VALUE"""),"")</f>
        <v/>
      </c>
      <c r="K664" s="8"/>
      <c r="L664" s="8"/>
      <c r="M664" s="8" t="str">
        <f>IFERROR(__xludf.DUMMYFUNCTION("""COMPUTED_VALUE"""),"")</f>
        <v/>
      </c>
      <c r="N664" s="8" t="str">
        <f>IFERROR(__xludf.DUMMYFUNCTION("""COMPUTED_VALUE"""),"")</f>
        <v/>
      </c>
      <c r="O664" s="8"/>
      <c r="P664" s="8"/>
    </row>
    <row r="665">
      <c r="A665" s="8"/>
      <c r="B665" s="25"/>
      <c r="C665" s="385"/>
      <c r="D665" s="385"/>
      <c r="E665" s="392"/>
      <c r="F665" s="8"/>
      <c r="G665" s="8"/>
      <c r="H665" s="389"/>
      <c r="I665" s="8" t="b">
        <v>0</v>
      </c>
      <c r="J665" s="388" t="str">
        <f>IFERROR(__xludf.DUMMYFUNCTION("""COMPUTED_VALUE"""),"")</f>
        <v/>
      </c>
      <c r="K665" s="8"/>
      <c r="L665" s="8"/>
      <c r="M665" s="8" t="str">
        <f>IFERROR(__xludf.DUMMYFUNCTION("""COMPUTED_VALUE"""),"")</f>
        <v/>
      </c>
      <c r="N665" s="8" t="str">
        <f>IFERROR(__xludf.DUMMYFUNCTION("""COMPUTED_VALUE"""),"")</f>
        <v/>
      </c>
      <c r="O665" s="8"/>
      <c r="P665" s="8"/>
    </row>
    <row r="666">
      <c r="A666" s="8"/>
      <c r="B666" s="25"/>
      <c r="C666" s="385"/>
      <c r="D666" s="385"/>
      <c r="E666" s="392"/>
      <c r="F666" s="8"/>
      <c r="G666" s="8"/>
      <c r="H666" s="389"/>
      <c r="I666" s="8" t="b">
        <v>0</v>
      </c>
      <c r="J666" s="388" t="str">
        <f>IFERROR(__xludf.DUMMYFUNCTION("""COMPUTED_VALUE"""),"")</f>
        <v/>
      </c>
      <c r="K666" s="8"/>
      <c r="L666" s="8"/>
      <c r="M666" s="8" t="str">
        <f>IFERROR(__xludf.DUMMYFUNCTION("""COMPUTED_VALUE"""),"")</f>
        <v/>
      </c>
      <c r="N666" s="8" t="str">
        <f>IFERROR(__xludf.DUMMYFUNCTION("""COMPUTED_VALUE"""),"")</f>
        <v/>
      </c>
      <c r="O666" s="8"/>
      <c r="P666" s="8"/>
    </row>
    <row r="667">
      <c r="A667" s="8"/>
      <c r="B667" s="25"/>
      <c r="C667" s="385"/>
      <c r="D667" s="385"/>
      <c r="E667" s="392"/>
      <c r="F667" s="8"/>
      <c r="G667" s="8"/>
      <c r="H667" s="389"/>
      <c r="I667" s="8" t="b">
        <v>0</v>
      </c>
      <c r="J667" s="388" t="str">
        <f>IFERROR(__xludf.DUMMYFUNCTION("""COMPUTED_VALUE"""),"")</f>
        <v/>
      </c>
      <c r="K667" s="8"/>
      <c r="L667" s="8"/>
      <c r="M667" s="8" t="str">
        <f>IFERROR(__xludf.DUMMYFUNCTION("""COMPUTED_VALUE"""),"")</f>
        <v/>
      </c>
      <c r="N667" s="8" t="str">
        <f>IFERROR(__xludf.DUMMYFUNCTION("""COMPUTED_VALUE"""),"")</f>
        <v/>
      </c>
      <c r="O667" s="8"/>
      <c r="P667" s="8"/>
    </row>
    <row r="668">
      <c r="A668" s="8"/>
      <c r="B668" s="25"/>
      <c r="C668" s="385"/>
      <c r="D668" s="385"/>
      <c r="E668" s="392"/>
      <c r="F668" s="8"/>
      <c r="G668" s="8"/>
      <c r="H668" s="389"/>
      <c r="I668" s="8" t="b">
        <v>0</v>
      </c>
      <c r="J668" s="388" t="str">
        <f>IFERROR(__xludf.DUMMYFUNCTION("""COMPUTED_VALUE"""),"")</f>
        <v/>
      </c>
      <c r="K668" s="8"/>
      <c r="L668" s="8"/>
      <c r="M668" s="8" t="str">
        <f>IFERROR(__xludf.DUMMYFUNCTION("""COMPUTED_VALUE"""),"")</f>
        <v/>
      </c>
      <c r="N668" s="8" t="str">
        <f>IFERROR(__xludf.DUMMYFUNCTION("""COMPUTED_VALUE"""),"")</f>
        <v/>
      </c>
      <c r="O668" s="8"/>
      <c r="P668" s="8"/>
    </row>
    <row r="669">
      <c r="A669" s="8"/>
      <c r="B669" s="25"/>
      <c r="C669" s="385"/>
      <c r="D669" s="385"/>
      <c r="E669" s="392"/>
      <c r="F669" s="8"/>
      <c r="G669" s="8"/>
      <c r="H669" s="389"/>
      <c r="I669" s="8" t="b">
        <v>0</v>
      </c>
      <c r="J669" s="388" t="str">
        <f>IFERROR(__xludf.DUMMYFUNCTION("""COMPUTED_VALUE"""),"")</f>
        <v/>
      </c>
      <c r="K669" s="8"/>
      <c r="L669" s="8"/>
      <c r="M669" s="8" t="str">
        <f>IFERROR(__xludf.DUMMYFUNCTION("""COMPUTED_VALUE"""),"")</f>
        <v/>
      </c>
      <c r="N669" s="8" t="str">
        <f>IFERROR(__xludf.DUMMYFUNCTION("""COMPUTED_VALUE"""),"")</f>
        <v/>
      </c>
      <c r="O669" s="8"/>
      <c r="P669" s="8"/>
    </row>
    <row r="670">
      <c r="A670" s="8"/>
      <c r="B670" s="25"/>
      <c r="C670" s="385"/>
      <c r="D670" s="385"/>
      <c r="E670" s="392"/>
      <c r="F670" s="8"/>
      <c r="G670" s="8"/>
      <c r="H670" s="389"/>
      <c r="I670" s="8" t="b">
        <v>0</v>
      </c>
      <c r="J670" s="388" t="str">
        <f>IFERROR(__xludf.DUMMYFUNCTION("""COMPUTED_VALUE"""),"")</f>
        <v/>
      </c>
      <c r="K670" s="8"/>
      <c r="L670" s="8"/>
      <c r="M670" s="8" t="str">
        <f>IFERROR(__xludf.DUMMYFUNCTION("""COMPUTED_VALUE"""),"")</f>
        <v/>
      </c>
      <c r="N670" s="8" t="str">
        <f>IFERROR(__xludf.DUMMYFUNCTION("""COMPUTED_VALUE"""),"")</f>
        <v/>
      </c>
      <c r="O670" s="8"/>
      <c r="P670" s="8"/>
    </row>
    <row r="671">
      <c r="A671" s="8"/>
      <c r="B671" s="25"/>
      <c r="C671" s="385"/>
      <c r="D671" s="385"/>
      <c r="E671" s="392"/>
      <c r="F671" s="8"/>
      <c r="G671" s="8"/>
      <c r="H671" s="389"/>
      <c r="I671" s="8" t="b">
        <v>0</v>
      </c>
      <c r="J671" s="388" t="str">
        <f>IFERROR(__xludf.DUMMYFUNCTION("""COMPUTED_VALUE"""),"")</f>
        <v/>
      </c>
      <c r="K671" s="8"/>
      <c r="L671" s="8"/>
      <c r="M671" s="8" t="str">
        <f>IFERROR(__xludf.DUMMYFUNCTION("""COMPUTED_VALUE"""),"")</f>
        <v/>
      </c>
      <c r="N671" s="8" t="str">
        <f>IFERROR(__xludf.DUMMYFUNCTION("""COMPUTED_VALUE"""),"")</f>
        <v/>
      </c>
      <c r="O671" s="8"/>
      <c r="P671" s="8"/>
    </row>
    <row r="672">
      <c r="A672" s="8"/>
      <c r="B672" s="25"/>
      <c r="C672" s="385"/>
      <c r="D672" s="385"/>
      <c r="E672" s="392"/>
      <c r="F672" s="8"/>
      <c r="G672" s="8"/>
      <c r="H672" s="389"/>
      <c r="I672" s="8" t="b">
        <v>0</v>
      </c>
      <c r="J672" s="388" t="str">
        <f>IFERROR(__xludf.DUMMYFUNCTION("""COMPUTED_VALUE"""),"")</f>
        <v/>
      </c>
      <c r="K672" s="8"/>
      <c r="L672" s="8"/>
      <c r="M672" s="8" t="str">
        <f>IFERROR(__xludf.DUMMYFUNCTION("""COMPUTED_VALUE"""),"")</f>
        <v/>
      </c>
      <c r="N672" s="8" t="str">
        <f>IFERROR(__xludf.DUMMYFUNCTION("""COMPUTED_VALUE"""),"")</f>
        <v/>
      </c>
      <c r="O672" s="8"/>
      <c r="P672" s="8"/>
    </row>
    <row r="673">
      <c r="A673" s="8"/>
      <c r="B673" s="25"/>
      <c r="C673" s="385"/>
      <c r="D673" s="385"/>
      <c r="E673" s="392"/>
      <c r="F673" s="8"/>
      <c r="G673" s="8"/>
      <c r="H673" s="389"/>
      <c r="I673" s="8" t="b">
        <v>0</v>
      </c>
      <c r="J673" s="388" t="str">
        <f>IFERROR(__xludf.DUMMYFUNCTION("""COMPUTED_VALUE"""),"")</f>
        <v/>
      </c>
      <c r="K673" s="8"/>
      <c r="L673" s="8"/>
      <c r="M673" s="8" t="str">
        <f>IFERROR(__xludf.DUMMYFUNCTION("""COMPUTED_VALUE"""),"")</f>
        <v/>
      </c>
      <c r="N673" s="8" t="str">
        <f>IFERROR(__xludf.DUMMYFUNCTION("""COMPUTED_VALUE"""),"")</f>
        <v/>
      </c>
      <c r="O673" s="8"/>
      <c r="P673" s="8"/>
    </row>
    <row r="674">
      <c r="A674" s="8"/>
      <c r="B674" s="25"/>
      <c r="C674" s="385"/>
      <c r="D674" s="385"/>
      <c r="E674" s="392"/>
      <c r="F674" s="8"/>
      <c r="G674" s="8"/>
      <c r="H674" s="389"/>
      <c r="I674" s="8" t="b">
        <v>0</v>
      </c>
      <c r="J674" s="388" t="str">
        <f>IFERROR(__xludf.DUMMYFUNCTION("""COMPUTED_VALUE"""),"")</f>
        <v/>
      </c>
      <c r="K674" s="8"/>
      <c r="L674" s="8"/>
      <c r="M674" s="8" t="str">
        <f>IFERROR(__xludf.DUMMYFUNCTION("""COMPUTED_VALUE"""),"")</f>
        <v/>
      </c>
      <c r="N674" s="8" t="str">
        <f>IFERROR(__xludf.DUMMYFUNCTION("""COMPUTED_VALUE"""),"")</f>
        <v/>
      </c>
      <c r="O674" s="8"/>
      <c r="P674" s="8"/>
    </row>
    <row r="675">
      <c r="A675" s="8"/>
      <c r="B675" s="25"/>
      <c r="C675" s="385"/>
      <c r="D675" s="385"/>
      <c r="E675" s="392"/>
      <c r="F675" s="8"/>
      <c r="G675" s="8"/>
      <c r="H675" s="389"/>
      <c r="I675" s="8" t="b">
        <v>0</v>
      </c>
      <c r="J675" s="388" t="str">
        <f>IFERROR(__xludf.DUMMYFUNCTION("""COMPUTED_VALUE"""),"")</f>
        <v/>
      </c>
      <c r="K675" s="8"/>
      <c r="L675" s="8"/>
      <c r="M675" s="8" t="str">
        <f>IFERROR(__xludf.DUMMYFUNCTION("""COMPUTED_VALUE"""),"")</f>
        <v/>
      </c>
      <c r="N675" s="8" t="str">
        <f>IFERROR(__xludf.DUMMYFUNCTION("""COMPUTED_VALUE"""),"")</f>
        <v/>
      </c>
      <c r="O675" s="8"/>
      <c r="P675" s="8"/>
    </row>
    <row r="676">
      <c r="A676" s="8"/>
      <c r="B676" s="25"/>
      <c r="C676" s="385"/>
      <c r="D676" s="385"/>
      <c r="E676" s="392"/>
      <c r="F676" s="8"/>
      <c r="G676" s="8"/>
      <c r="H676" s="389"/>
      <c r="I676" s="8" t="b">
        <v>0</v>
      </c>
      <c r="J676" s="388" t="str">
        <f>IFERROR(__xludf.DUMMYFUNCTION("""COMPUTED_VALUE"""),"")</f>
        <v/>
      </c>
      <c r="K676" s="8"/>
      <c r="L676" s="8"/>
      <c r="M676" s="8" t="str">
        <f>IFERROR(__xludf.DUMMYFUNCTION("""COMPUTED_VALUE"""),"")</f>
        <v/>
      </c>
      <c r="N676" s="8" t="str">
        <f>IFERROR(__xludf.DUMMYFUNCTION("""COMPUTED_VALUE"""),"")</f>
        <v/>
      </c>
      <c r="O676" s="8"/>
      <c r="P676" s="8"/>
    </row>
    <row r="677">
      <c r="A677" s="8"/>
      <c r="B677" s="25"/>
      <c r="C677" s="385"/>
      <c r="D677" s="385"/>
      <c r="E677" s="392"/>
      <c r="F677" s="8"/>
      <c r="G677" s="8"/>
      <c r="H677" s="389"/>
      <c r="I677" s="8" t="b">
        <v>0</v>
      </c>
      <c r="J677" s="388" t="str">
        <f>IFERROR(__xludf.DUMMYFUNCTION("""COMPUTED_VALUE"""),"")</f>
        <v/>
      </c>
      <c r="K677" s="8"/>
      <c r="L677" s="8"/>
      <c r="M677" s="8" t="str">
        <f>IFERROR(__xludf.DUMMYFUNCTION("""COMPUTED_VALUE"""),"")</f>
        <v/>
      </c>
      <c r="N677" s="8" t="str">
        <f>IFERROR(__xludf.DUMMYFUNCTION("""COMPUTED_VALUE"""),"")</f>
        <v/>
      </c>
      <c r="O677" s="8"/>
      <c r="P677" s="8"/>
    </row>
    <row r="678">
      <c r="A678" s="8"/>
      <c r="B678" s="25"/>
      <c r="C678" s="385"/>
      <c r="D678" s="385"/>
      <c r="E678" s="392"/>
      <c r="F678" s="8"/>
      <c r="G678" s="8"/>
      <c r="H678" s="389"/>
      <c r="I678" s="8" t="b">
        <v>0</v>
      </c>
      <c r="J678" s="388" t="str">
        <f>IFERROR(__xludf.DUMMYFUNCTION("""COMPUTED_VALUE"""),"")</f>
        <v/>
      </c>
      <c r="K678" s="8"/>
      <c r="L678" s="8"/>
      <c r="M678" s="8" t="str">
        <f>IFERROR(__xludf.DUMMYFUNCTION("""COMPUTED_VALUE"""),"")</f>
        <v/>
      </c>
      <c r="N678" s="8" t="str">
        <f>IFERROR(__xludf.DUMMYFUNCTION("""COMPUTED_VALUE"""),"")</f>
        <v/>
      </c>
      <c r="O678" s="8"/>
      <c r="P678" s="8"/>
    </row>
    <row r="679">
      <c r="A679" s="8"/>
      <c r="B679" s="25"/>
      <c r="C679" s="385"/>
      <c r="D679" s="385"/>
      <c r="E679" s="392"/>
      <c r="F679" s="8"/>
      <c r="G679" s="8"/>
      <c r="H679" s="389"/>
      <c r="I679" s="8" t="b">
        <v>0</v>
      </c>
      <c r="J679" s="388" t="str">
        <f>IFERROR(__xludf.DUMMYFUNCTION("""COMPUTED_VALUE"""),"")</f>
        <v/>
      </c>
      <c r="K679" s="8"/>
      <c r="L679" s="8"/>
      <c r="M679" s="8" t="str">
        <f>IFERROR(__xludf.DUMMYFUNCTION("""COMPUTED_VALUE"""),"")</f>
        <v/>
      </c>
      <c r="N679" s="8" t="str">
        <f>IFERROR(__xludf.DUMMYFUNCTION("""COMPUTED_VALUE"""),"")</f>
        <v/>
      </c>
      <c r="O679" s="8"/>
      <c r="P679" s="8"/>
    </row>
    <row r="680">
      <c r="A680" s="8"/>
      <c r="B680" s="25"/>
      <c r="C680" s="385"/>
      <c r="D680" s="385"/>
      <c r="E680" s="392"/>
      <c r="F680" s="8"/>
      <c r="G680" s="8"/>
      <c r="H680" s="389"/>
      <c r="I680" s="8" t="b">
        <v>0</v>
      </c>
      <c r="J680" s="388" t="str">
        <f>IFERROR(__xludf.DUMMYFUNCTION("""COMPUTED_VALUE"""),"")</f>
        <v/>
      </c>
      <c r="K680" s="8"/>
      <c r="L680" s="8"/>
      <c r="M680" s="8" t="str">
        <f>IFERROR(__xludf.DUMMYFUNCTION("""COMPUTED_VALUE"""),"")</f>
        <v/>
      </c>
      <c r="N680" s="8" t="str">
        <f>IFERROR(__xludf.DUMMYFUNCTION("""COMPUTED_VALUE"""),"")</f>
        <v/>
      </c>
      <c r="O680" s="8"/>
      <c r="P680" s="8"/>
    </row>
    <row r="681">
      <c r="A681" s="8"/>
      <c r="B681" s="25"/>
      <c r="C681" s="385"/>
      <c r="D681" s="385"/>
      <c r="E681" s="392"/>
      <c r="F681" s="8"/>
      <c r="G681" s="8"/>
      <c r="H681" s="389"/>
      <c r="I681" s="8" t="b">
        <v>0</v>
      </c>
      <c r="J681" s="388" t="str">
        <f>IFERROR(__xludf.DUMMYFUNCTION("""COMPUTED_VALUE"""),"")</f>
        <v/>
      </c>
      <c r="K681" s="8"/>
      <c r="L681" s="8"/>
      <c r="M681" s="8" t="str">
        <f>IFERROR(__xludf.DUMMYFUNCTION("""COMPUTED_VALUE"""),"")</f>
        <v/>
      </c>
      <c r="N681" s="8" t="str">
        <f>IFERROR(__xludf.DUMMYFUNCTION("""COMPUTED_VALUE"""),"")</f>
        <v/>
      </c>
      <c r="O681" s="8"/>
      <c r="P681" s="8"/>
    </row>
    <row r="682">
      <c r="A682" s="8"/>
      <c r="B682" s="25"/>
      <c r="C682" s="385"/>
      <c r="D682" s="385"/>
      <c r="E682" s="392"/>
      <c r="F682" s="8"/>
      <c r="G682" s="8"/>
      <c r="H682" s="389"/>
      <c r="I682" s="8" t="b">
        <v>0</v>
      </c>
      <c r="J682" s="388" t="str">
        <f>IFERROR(__xludf.DUMMYFUNCTION("""COMPUTED_VALUE"""),"")</f>
        <v/>
      </c>
      <c r="K682" s="8"/>
      <c r="L682" s="8"/>
      <c r="M682" s="8" t="str">
        <f>IFERROR(__xludf.DUMMYFUNCTION("""COMPUTED_VALUE"""),"")</f>
        <v/>
      </c>
      <c r="N682" s="8" t="str">
        <f>IFERROR(__xludf.DUMMYFUNCTION("""COMPUTED_VALUE"""),"")</f>
        <v/>
      </c>
      <c r="O682" s="8"/>
      <c r="P682" s="8"/>
    </row>
    <row r="683">
      <c r="A683" s="8"/>
      <c r="B683" s="25"/>
      <c r="C683" s="385"/>
      <c r="D683" s="385"/>
      <c r="E683" s="392"/>
      <c r="F683" s="8"/>
      <c r="G683" s="8"/>
      <c r="H683" s="389"/>
      <c r="I683" s="8" t="b">
        <v>0</v>
      </c>
      <c r="J683" s="388" t="str">
        <f>IFERROR(__xludf.DUMMYFUNCTION("""COMPUTED_VALUE"""),"")</f>
        <v/>
      </c>
      <c r="K683" s="8"/>
      <c r="L683" s="8"/>
      <c r="M683" s="8" t="str">
        <f>IFERROR(__xludf.DUMMYFUNCTION("""COMPUTED_VALUE"""),"")</f>
        <v/>
      </c>
      <c r="N683" s="8" t="str">
        <f>IFERROR(__xludf.DUMMYFUNCTION("""COMPUTED_VALUE"""),"")</f>
        <v/>
      </c>
      <c r="O683" s="8"/>
      <c r="P683" s="8"/>
    </row>
    <row r="684">
      <c r="A684" s="8"/>
      <c r="B684" s="25"/>
      <c r="C684" s="385"/>
      <c r="D684" s="385"/>
      <c r="E684" s="392"/>
      <c r="F684" s="8"/>
      <c r="G684" s="8"/>
      <c r="H684" s="389"/>
      <c r="I684" s="8" t="b">
        <v>0</v>
      </c>
      <c r="J684" s="388" t="str">
        <f>IFERROR(__xludf.DUMMYFUNCTION("""COMPUTED_VALUE"""),"")</f>
        <v/>
      </c>
      <c r="K684" s="8"/>
      <c r="L684" s="8"/>
      <c r="M684" s="8" t="str">
        <f>IFERROR(__xludf.DUMMYFUNCTION("""COMPUTED_VALUE"""),"")</f>
        <v/>
      </c>
      <c r="N684" s="8" t="str">
        <f>IFERROR(__xludf.DUMMYFUNCTION("""COMPUTED_VALUE"""),"")</f>
        <v/>
      </c>
      <c r="O684" s="8"/>
      <c r="P684" s="8"/>
    </row>
    <row r="685">
      <c r="A685" s="8"/>
      <c r="B685" s="25"/>
      <c r="C685" s="385"/>
      <c r="D685" s="385"/>
      <c r="E685" s="392"/>
      <c r="F685" s="8"/>
      <c r="G685" s="8"/>
      <c r="H685" s="389"/>
      <c r="I685" s="8" t="b">
        <v>0</v>
      </c>
      <c r="J685" s="388" t="str">
        <f>IFERROR(__xludf.DUMMYFUNCTION("""COMPUTED_VALUE"""),"")</f>
        <v/>
      </c>
      <c r="K685" s="8"/>
      <c r="L685" s="8"/>
      <c r="M685" s="8" t="str">
        <f>IFERROR(__xludf.DUMMYFUNCTION("""COMPUTED_VALUE"""),"")</f>
        <v/>
      </c>
      <c r="N685" s="8" t="str">
        <f>IFERROR(__xludf.DUMMYFUNCTION("""COMPUTED_VALUE"""),"")</f>
        <v/>
      </c>
      <c r="O685" s="8"/>
      <c r="P685" s="8"/>
    </row>
    <row r="686">
      <c r="A686" s="8"/>
      <c r="B686" s="25"/>
      <c r="C686" s="385"/>
      <c r="D686" s="385"/>
      <c r="E686" s="392"/>
      <c r="F686" s="8"/>
      <c r="G686" s="8"/>
      <c r="H686" s="389"/>
      <c r="I686" s="8" t="b">
        <v>0</v>
      </c>
      <c r="J686" s="388" t="str">
        <f>IFERROR(__xludf.DUMMYFUNCTION("""COMPUTED_VALUE"""),"")</f>
        <v/>
      </c>
      <c r="K686" s="8"/>
      <c r="L686" s="8"/>
      <c r="M686" s="8" t="str">
        <f>IFERROR(__xludf.DUMMYFUNCTION("""COMPUTED_VALUE"""),"")</f>
        <v/>
      </c>
      <c r="N686" s="8" t="str">
        <f>IFERROR(__xludf.DUMMYFUNCTION("""COMPUTED_VALUE"""),"")</f>
        <v/>
      </c>
      <c r="O686" s="8"/>
      <c r="P686" s="8"/>
    </row>
    <row r="687">
      <c r="A687" s="8"/>
      <c r="B687" s="25"/>
      <c r="C687" s="385"/>
      <c r="D687" s="385"/>
      <c r="E687" s="392"/>
      <c r="F687" s="8"/>
      <c r="G687" s="8"/>
      <c r="H687" s="389"/>
      <c r="I687" s="8" t="b">
        <v>0</v>
      </c>
      <c r="J687" s="388" t="str">
        <f>IFERROR(__xludf.DUMMYFUNCTION("""COMPUTED_VALUE"""),"")</f>
        <v/>
      </c>
      <c r="K687" s="8"/>
      <c r="L687" s="8"/>
      <c r="M687" s="8" t="str">
        <f>IFERROR(__xludf.DUMMYFUNCTION("""COMPUTED_VALUE"""),"")</f>
        <v/>
      </c>
      <c r="N687" s="8" t="str">
        <f>IFERROR(__xludf.DUMMYFUNCTION("""COMPUTED_VALUE"""),"")</f>
        <v/>
      </c>
      <c r="O687" s="8"/>
      <c r="P687" s="8"/>
    </row>
    <row r="688">
      <c r="A688" s="8"/>
      <c r="B688" s="25"/>
      <c r="C688" s="385"/>
      <c r="D688" s="385"/>
      <c r="E688" s="392"/>
      <c r="F688" s="8"/>
      <c r="G688" s="8"/>
      <c r="H688" s="389"/>
      <c r="I688" s="8" t="b">
        <v>0</v>
      </c>
      <c r="J688" s="388" t="str">
        <f>IFERROR(__xludf.DUMMYFUNCTION("""COMPUTED_VALUE"""),"")</f>
        <v/>
      </c>
      <c r="K688" s="8"/>
      <c r="L688" s="8"/>
      <c r="M688" s="8" t="str">
        <f>IFERROR(__xludf.DUMMYFUNCTION("""COMPUTED_VALUE"""),"")</f>
        <v/>
      </c>
      <c r="N688" s="8" t="str">
        <f>IFERROR(__xludf.DUMMYFUNCTION("""COMPUTED_VALUE"""),"")</f>
        <v/>
      </c>
      <c r="O688" s="8"/>
      <c r="P688" s="8"/>
    </row>
    <row r="689">
      <c r="A689" s="8"/>
      <c r="B689" s="25"/>
      <c r="C689" s="385"/>
      <c r="D689" s="385"/>
      <c r="E689" s="392"/>
      <c r="F689" s="8"/>
      <c r="G689" s="8"/>
      <c r="H689" s="389"/>
      <c r="I689" s="8" t="b">
        <v>0</v>
      </c>
      <c r="J689" s="388" t="str">
        <f>IFERROR(__xludf.DUMMYFUNCTION("""COMPUTED_VALUE"""),"")</f>
        <v/>
      </c>
      <c r="K689" s="8"/>
      <c r="L689" s="8"/>
      <c r="M689" s="8" t="str">
        <f>IFERROR(__xludf.DUMMYFUNCTION("""COMPUTED_VALUE"""),"")</f>
        <v/>
      </c>
      <c r="N689" s="8" t="str">
        <f>IFERROR(__xludf.DUMMYFUNCTION("""COMPUTED_VALUE"""),"")</f>
        <v/>
      </c>
      <c r="O689" s="8"/>
      <c r="P689" s="8"/>
    </row>
    <row r="690">
      <c r="A690" s="8"/>
      <c r="B690" s="25"/>
      <c r="C690" s="385"/>
      <c r="D690" s="385"/>
      <c r="E690" s="392"/>
      <c r="F690" s="8"/>
      <c r="G690" s="8"/>
      <c r="H690" s="389"/>
      <c r="I690" s="8" t="b">
        <v>0</v>
      </c>
      <c r="J690" s="388" t="str">
        <f>IFERROR(__xludf.DUMMYFUNCTION("""COMPUTED_VALUE"""),"")</f>
        <v/>
      </c>
      <c r="K690" s="8"/>
      <c r="L690" s="8"/>
      <c r="M690" s="8" t="str">
        <f>IFERROR(__xludf.DUMMYFUNCTION("""COMPUTED_VALUE"""),"")</f>
        <v/>
      </c>
      <c r="N690" s="8" t="str">
        <f>IFERROR(__xludf.DUMMYFUNCTION("""COMPUTED_VALUE"""),"")</f>
        <v/>
      </c>
      <c r="O690" s="8"/>
      <c r="P690" s="8"/>
    </row>
    <row r="691">
      <c r="A691" s="8"/>
      <c r="B691" s="25"/>
      <c r="C691" s="385"/>
      <c r="D691" s="385"/>
      <c r="E691" s="392"/>
      <c r="F691" s="8"/>
      <c r="G691" s="8"/>
      <c r="H691" s="389"/>
      <c r="I691" s="8" t="b">
        <v>0</v>
      </c>
      <c r="J691" s="388" t="str">
        <f>IFERROR(__xludf.DUMMYFUNCTION("""COMPUTED_VALUE"""),"")</f>
        <v/>
      </c>
      <c r="K691" s="8"/>
      <c r="L691" s="8"/>
      <c r="M691" s="8" t="str">
        <f>IFERROR(__xludf.DUMMYFUNCTION("""COMPUTED_VALUE"""),"")</f>
        <v/>
      </c>
      <c r="N691" s="8" t="str">
        <f>IFERROR(__xludf.DUMMYFUNCTION("""COMPUTED_VALUE"""),"")</f>
        <v/>
      </c>
      <c r="O691" s="8"/>
      <c r="P691" s="8"/>
    </row>
    <row r="692">
      <c r="A692" s="8"/>
      <c r="B692" s="25"/>
      <c r="C692" s="385"/>
      <c r="D692" s="385"/>
      <c r="E692" s="392"/>
      <c r="F692" s="8"/>
      <c r="G692" s="8"/>
      <c r="H692" s="389"/>
      <c r="I692" s="8" t="b">
        <v>0</v>
      </c>
      <c r="J692" s="388" t="str">
        <f>IFERROR(__xludf.DUMMYFUNCTION("""COMPUTED_VALUE"""),"")</f>
        <v/>
      </c>
      <c r="K692" s="8"/>
      <c r="L692" s="8"/>
      <c r="M692" s="8" t="str">
        <f>IFERROR(__xludf.DUMMYFUNCTION("""COMPUTED_VALUE"""),"")</f>
        <v/>
      </c>
      <c r="N692" s="8" t="str">
        <f>IFERROR(__xludf.DUMMYFUNCTION("""COMPUTED_VALUE"""),"")</f>
        <v/>
      </c>
      <c r="O692" s="8"/>
      <c r="P692" s="8"/>
    </row>
    <row r="693">
      <c r="A693" s="8"/>
      <c r="B693" s="25"/>
      <c r="C693" s="385"/>
      <c r="D693" s="385"/>
      <c r="E693" s="392"/>
      <c r="F693" s="8"/>
      <c r="G693" s="8"/>
      <c r="H693" s="389"/>
      <c r="I693" s="8" t="b">
        <v>0</v>
      </c>
      <c r="J693" s="388" t="str">
        <f>IFERROR(__xludf.DUMMYFUNCTION("""COMPUTED_VALUE"""),"")</f>
        <v/>
      </c>
      <c r="K693" s="8"/>
      <c r="L693" s="8"/>
      <c r="M693" s="8" t="str">
        <f>IFERROR(__xludf.DUMMYFUNCTION("""COMPUTED_VALUE"""),"")</f>
        <v/>
      </c>
      <c r="N693" s="8" t="str">
        <f>IFERROR(__xludf.DUMMYFUNCTION("""COMPUTED_VALUE"""),"")</f>
        <v/>
      </c>
      <c r="O693" s="8"/>
      <c r="P693" s="8"/>
    </row>
    <row r="694">
      <c r="A694" s="8"/>
      <c r="B694" s="25"/>
      <c r="C694" s="385"/>
      <c r="D694" s="385"/>
      <c r="E694" s="392"/>
      <c r="F694" s="8"/>
      <c r="G694" s="8"/>
      <c r="H694" s="389"/>
      <c r="I694" s="8" t="b">
        <v>0</v>
      </c>
      <c r="J694" s="388" t="str">
        <f>IFERROR(__xludf.DUMMYFUNCTION("""COMPUTED_VALUE"""),"")</f>
        <v/>
      </c>
      <c r="K694" s="8"/>
      <c r="L694" s="8"/>
      <c r="M694" s="8" t="str">
        <f>IFERROR(__xludf.DUMMYFUNCTION("""COMPUTED_VALUE"""),"")</f>
        <v/>
      </c>
      <c r="N694" s="8" t="str">
        <f>IFERROR(__xludf.DUMMYFUNCTION("""COMPUTED_VALUE"""),"")</f>
        <v/>
      </c>
      <c r="O694" s="8"/>
      <c r="P694" s="8"/>
    </row>
    <row r="695">
      <c r="A695" s="8"/>
      <c r="B695" s="25"/>
      <c r="C695" s="385"/>
      <c r="D695" s="385"/>
      <c r="E695" s="392"/>
      <c r="F695" s="8"/>
      <c r="G695" s="8"/>
      <c r="H695" s="389"/>
      <c r="I695" s="8" t="b">
        <v>0</v>
      </c>
      <c r="J695" s="388" t="str">
        <f>IFERROR(__xludf.DUMMYFUNCTION("""COMPUTED_VALUE"""),"")</f>
        <v/>
      </c>
      <c r="K695" s="8"/>
      <c r="L695" s="8"/>
      <c r="M695" s="8" t="str">
        <f>IFERROR(__xludf.DUMMYFUNCTION("""COMPUTED_VALUE"""),"")</f>
        <v/>
      </c>
      <c r="N695" s="8" t="str">
        <f>IFERROR(__xludf.DUMMYFUNCTION("""COMPUTED_VALUE"""),"")</f>
        <v/>
      </c>
      <c r="O695" s="8"/>
      <c r="P695" s="8"/>
    </row>
    <row r="696">
      <c r="A696" s="8"/>
      <c r="B696" s="25"/>
      <c r="C696" s="385"/>
      <c r="D696" s="385"/>
      <c r="E696" s="392"/>
      <c r="F696" s="8"/>
      <c r="G696" s="8"/>
      <c r="H696" s="389"/>
      <c r="I696" s="8" t="b">
        <v>0</v>
      </c>
      <c r="J696" s="388" t="str">
        <f>IFERROR(__xludf.DUMMYFUNCTION("""COMPUTED_VALUE"""),"")</f>
        <v/>
      </c>
      <c r="K696" s="8"/>
      <c r="L696" s="8"/>
      <c r="M696" s="8" t="str">
        <f>IFERROR(__xludf.DUMMYFUNCTION("""COMPUTED_VALUE"""),"")</f>
        <v/>
      </c>
      <c r="N696" s="8" t="str">
        <f>IFERROR(__xludf.DUMMYFUNCTION("""COMPUTED_VALUE"""),"")</f>
        <v/>
      </c>
      <c r="O696" s="8"/>
      <c r="P696" s="8"/>
    </row>
    <row r="697">
      <c r="A697" s="8"/>
      <c r="B697" s="25"/>
      <c r="C697" s="385"/>
      <c r="D697" s="385"/>
      <c r="E697" s="392"/>
      <c r="F697" s="8"/>
      <c r="G697" s="8"/>
      <c r="H697" s="389"/>
      <c r="I697" s="8" t="b">
        <v>0</v>
      </c>
      <c r="J697" s="388" t="str">
        <f>IFERROR(__xludf.DUMMYFUNCTION("""COMPUTED_VALUE"""),"")</f>
        <v/>
      </c>
      <c r="K697" s="8"/>
      <c r="L697" s="8"/>
      <c r="M697" s="8" t="str">
        <f>IFERROR(__xludf.DUMMYFUNCTION("""COMPUTED_VALUE"""),"")</f>
        <v/>
      </c>
      <c r="N697" s="8" t="str">
        <f>IFERROR(__xludf.DUMMYFUNCTION("""COMPUTED_VALUE"""),"")</f>
        <v/>
      </c>
      <c r="O697" s="8"/>
      <c r="P697" s="8"/>
    </row>
    <row r="698">
      <c r="A698" s="8"/>
      <c r="B698" s="25"/>
      <c r="C698" s="385"/>
      <c r="D698" s="385"/>
      <c r="E698" s="392"/>
      <c r="F698" s="8"/>
      <c r="G698" s="8"/>
      <c r="H698" s="389"/>
      <c r="I698" s="8" t="b">
        <v>0</v>
      </c>
      <c r="J698" s="388" t="str">
        <f>IFERROR(__xludf.DUMMYFUNCTION("""COMPUTED_VALUE"""),"")</f>
        <v/>
      </c>
      <c r="K698" s="8"/>
      <c r="L698" s="8"/>
      <c r="M698" s="8" t="str">
        <f>IFERROR(__xludf.DUMMYFUNCTION("""COMPUTED_VALUE"""),"")</f>
        <v/>
      </c>
      <c r="N698" s="8" t="str">
        <f>IFERROR(__xludf.DUMMYFUNCTION("""COMPUTED_VALUE"""),"")</f>
        <v/>
      </c>
      <c r="O698" s="8"/>
      <c r="P698" s="8"/>
    </row>
    <row r="699">
      <c r="A699" s="8"/>
      <c r="B699" s="25"/>
      <c r="C699" s="385"/>
      <c r="D699" s="385"/>
      <c r="E699" s="392"/>
      <c r="F699" s="8"/>
      <c r="G699" s="8"/>
      <c r="H699" s="389"/>
      <c r="I699" s="8" t="b">
        <v>0</v>
      </c>
      <c r="J699" s="388" t="str">
        <f>IFERROR(__xludf.DUMMYFUNCTION("""COMPUTED_VALUE"""),"")</f>
        <v/>
      </c>
      <c r="K699" s="8"/>
      <c r="L699" s="8"/>
      <c r="M699" s="8" t="str">
        <f>IFERROR(__xludf.DUMMYFUNCTION("""COMPUTED_VALUE"""),"")</f>
        <v/>
      </c>
      <c r="N699" s="8" t="str">
        <f>IFERROR(__xludf.DUMMYFUNCTION("""COMPUTED_VALUE"""),"")</f>
        <v/>
      </c>
      <c r="O699" s="8"/>
      <c r="P699" s="8"/>
    </row>
    <row r="700">
      <c r="A700" s="8"/>
      <c r="B700" s="25"/>
      <c r="C700" s="385"/>
      <c r="D700" s="385"/>
      <c r="E700" s="392"/>
      <c r="F700" s="8"/>
      <c r="G700" s="8"/>
      <c r="H700" s="389"/>
      <c r="I700" s="8" t="b">
        <v>0</v>
      </c>
      <c r="J700" s="388" t="str">
        <f>IFERROR(__xludf.DUMMYFUNCTION("""COMPUTED_VALUE"""),"")</f>
        <v/>
      </c>
      <c r="K700" s="8"/>
      <c r="L700" s="8"/>
      <c r="M700" s="8" t="str">
        <f>IFERROR(__xludf.DUMMYFUNCTION("""COMPUTED_VALUE"""),"")</f>
        <v/>
      </c>
      <c r="N700" s="8" t="str">
        <f>IFERROR(__xludf.DUMMYFUNCTION("""COMPUTED_VALUE"""),"")</f>
        <v/>
      </c>
      <c r="O700" s="8"/>
      <c r="P700" s="8"/>
    </row>
    <row r="701">
      <c r="A701" s="8"/>
      <c r="B701" s="25"/>
      <c r="C701" s="385"/>
      <c r="D701" s="385"/>
      <c r="E701" s="392"/>
      <c r="F701" s="8"/>
      <c r="G701" s="8"/>
      <c r="H701" s="389"/>
      <c r="I701" s="8" t="b">
        <v>0</v>
      </c>
      <c r="J701" s="388" t="str">
        <f>IFERROR(__xludf.DUMMYFUNCTION("""COMPUTED_VALUE"""),"")</f>
        <v/>
      </c>
      <c r="K701" s="8"/>
      <c r="L701" s="8"/>
      <c r="M701" s="8" t="str">
        <f>IFERROR(__xludf.DUMMYFUNCTION("""COMPUTED_VALUE"""),"")</f>
        <v/>
      </c>
      <c r="N701" s="8" t="str">
        <f>IFERROR(__xludf.DUMMYFUNCTION("""COMPUTED_VALUE"""),"")</f>
        <v/>
      </c>
      <c r="O701" s="8"/>
      <c r="P701" s="8"/>
    </row>
    <row r="702">
      <c r="A702" s="8"/>
      <c r="B702" s="25"/>
      <c r="C702" s="385"/>
      <c r="D702" s="385"/>
      <c r="E702" s="392"/>
      <c r="F702" s="8"/>
      <c r="G702" s="8"/>
      <c r="H702" s="389"/>
      <c r="I702" s="8" t="b">
        <v>0</v>
      </c>
      <c r="J702" s="388" t="str">
        <f>IFERROR(__xludf.DUMMYFUNCTION("""COMPUTED_VALUE"""),"")</f>
        <v/>
      </c>
      <c r="K702" s="8"/>
      <c r="L702" s="8"/>
      <c r="M702" s="8" t="str">
        <f>IFERROR(__xludf.DUMMYFUNCTION("""COMPUTED_VALUE"""),"")</f>
        <v/>
      </c>
      <c r="N702" s="8" t="str">
        <f>IFERROR(__xludf.DUMMYFUNCTION("""COMPUTED_VALUE"""),"")</f>
        <v/>
      </c>
      <c r="O702" s="8"/>
      <c r="P702" s="8"/>
    </row>
    <row r="703">
      <c r="A703" s="8"/>
      <c r="B703" s="25"/>
      <c r="C703" s="385"/>
      <c r="D703" s="385"/>
      <c r="E703" s="392"/>
      <c r="F703" s="8"/>
      <c r="G703" s="8"/>
      <c r="H703" s="389"/>
      <c r="I703" s="8" t="b">
        <v>0</v>
      </c>
      <c r="J703" s="388" t="str">
        <f>IFERROR(__xludf.DUMMYFUNCTION("""COMPUTED_VALUE"""),"")</f>
        <v/>
      </c>
      <c r="K703" s="8"/>
      <c r="L703" s="8"/>
      <c r="M703" s="8" t="str">
        <f>IFERROR(__xludf.DUMMYFUNCTION("""COMPUTED_VALUE"""),"")</f>
        <v/>
      </c>
      <c r="N703" s="8" t="str">
        <f>IFERROR(__xludf.DUMMYFUNCTION("""COMPUTED_VALUE"""),"")</f>
        <v/>
      </c>
      <c r="O703" s="8"/>
      <c r="P703" s="8"/>
    </row>
    <row r="704">
      <c r="A704" s="8"/>
      <c r="B704" s="25"/>
      <c r="C704" s="385"/>
      <c r="D704" s="385"/>
      <c r="E704" s="392"/>
      <c r="F704" s="8"/>
      <c r="G704" s="8"/>
      <c r="H704" s="389"/>
      <c r="I704" s="8" t="b">
        <v>0</v>
      </c>
      <c r="J704" s="388" t="str">
        <f>IFERROR(__xludf.DUMMYFUNCTION("""COMPUTED_VALUE"""),"")</f>
        <v/>
      </c>
      <c r="K704" s="8"/>
      <c r="L704" s="8"/>
      <c r="M704" s="8" t="str">
        <f>IFERROR(__xludf.DUMMYFUNCTION("""COMPUTED_VALUE"""),"")</f>
        <v/>
      </c>
      <c r="N704" s="8" t="str">
        <f>IFERROR(__xludf.DUMMYFUNCTION("""COMPUTED_VALUE"""),"")</f>
        <v/>
      </c>
      <c r="O704" s="8"/>
      <c r="P704" s="8"/>
    </row>
    <row r="705">
      <c r="A705" s="8"/>
      <c r="B705" s="25"/>
      <c r="C705" s="385"/>
      <c r="D705" s="385"/>
      <c r="E705" s="392"/>
      <c r="F705" s="8"/>
      <c r="G705" s="8"/>
      <c r="H705" s="389"/>
      <c r="I705" s="8" t="b">
        <v>0</v>
      </c>
      <c r="J705" s="388" t="str">
        <f>IFERROR(__xludf.DUMMYFUNCTION("""COMPUTED_VALUE"""),"")</f>
        <v/>
      </c>
      <c r="K705" s="8"/>
      <c r="L705" s="8"/>
      <c r="M705" s="8" t="str">
        <f>IFERROR(__xludf.DUMMYFUNCTION("""COMPUTED_VALUE"""),"")</f>
        <v/>
      </c>
      <c r="N705" s="8" t="str">
        <f>IFERROR(__xludf.DUMMYFUNCTION("""COMPUTED_VALUE"""),"")</f>
        <v/>
      </c>
      <c r="O705" s="8"/>
      <c r="P705" s="8"/>
    </row>
    <row r="706">
      <c r="A706" s="8"/>
      <c r="B706" s="25"/>
      <c r="C706" s="385"/>
      <c r="D706" s="385"/>
      <c r="E706" s="392"/>
      <c r="F706" s="8"/>
      <c r="G706" s="8"/>
      <c r="H706" s="389"/>
      <c r="I706" s="8" t="b">
        <v>0</v>
      </c>
      <c r="J706" s="388" t="str">
        <f>IFERROR(__xludf.DUMMYFUNCTION("""COMPUTED_VALUE"""),"")</f>
        <v/>
      </c>
      <c r="K706" s="8"/>
      <c r="L706" s="8"/>
      <c r="M706" s="8" t="str">
        <f>IFERROR(__xludf.DUMMYFUNCTION("""COMPUTED_VALUE"""),"")</f>
        <v/>
      </c>
      <c r="N706" s="8" t="str">
        <f>IFERROR(__xludf.DUMMYFUNCTION("""COMPUTED_VALUE"""),"")</f>
        <v/>
      </c>
      <c r="O706" s="8"/>
      <c r="P706" s="8"/>
    </row>
    <row r="707">
      <c r="A707" s="8"/>
      <c r="B707" s="25"/>
      <c r="C707" s="385"/>
      <c r="D707" s="385"/>
      <c r="E707" s="392"/>
      <c r="F707" s="8"/>
      <c r="G707" s="8"/>
      <c r="H707" s="389"/>
      <c r="I707" s="8" t="b">
        <v>0</v>
      </c>
      <c r="J707" s="388" t="str">
        <f>IFERROR(__xludf.DUMMYFUNCTION("""COMPUTED_VALUE"""),"")</f>
        <v/>
      </c>
      <c r="K707" s="8"/>
      <c r="L707" s="8"/>
      <c r="M707" s="8" t="str">
        <f>IFERROR(__xludf.DUMMYFUNCTION("""COMPUTED_VALUE"""),"")</f>
        <v/>
      </c>
      <c r="N707" s="8" t="str">
        <f>IFERROR(__xludf.DUMMYFUNCTION("""COMPUTED_VALUE"""),"")</f>
        <v/>
      </c>
      <c r="O707" s="8"/>
      <c r="P707" s="8"/>
    </row>
    <row r="708">
      <c r="A708" s="8"/>
      <c r="B708" s="25"/>
      <c r="C708" s="385"/>
      <c r="D708" s="385"/>
      <c r="E708" s="392"/>
      <c r="F708" s="8"/>
      <c r="G708" s="8"/>
      <c r="H708" s="389"/>
      <c r="I708" s="8" t="b">
        <v>0</v>
      </c>
      <c r="J708" s="388" t="str">
        <f>IFERROR(__xludf.DUMMYFUNCTION("""COMPUTED_VALUE"""),"")</f>
        <v/>
      </c>
      <c r="K708" s="8"/>
      <c r="L708" s="8"/>
      <c r="M708" s="8" t="str">
        <f>IFERROR(__xludf.DUMMYFUNCTION("""COMPUTED_VALUE"""),"")</f>
        <v/>
      </c>
      <c r="N708" s="8" t="str">
        <f>IFERROR(__xludf.DUMMYFUNCTION("""COMPUTED_VALUE"""),"")</f>
        <v/>
      </c>
      <c r="O708" s="8"/>
      <c r="P708" s="8"/>
    </row>
    <row r="709">
      <c r="A709" s="8"/>
      <c r="B709" s="25"/>
      <c r="C709" s="385"/>
      <c r="D709" s="385"/>
      <c r="E709" s="392"/>
      <c r="F709" s="8"/>
      <c r="G709" s="8"/>
      <c r="H709" s="389"/>
      <c r="I709" s="8" t="b">
        <v>0</v>
      </c>
      <c r="J709" s="388" t="str">
        <f>IFERROR(__xludf.DUMMYFUNCTION("""COMPUTED_VALUE"""),"")</f>
        <v/>
      </c>
      <c r="K709" s="8"/>
      <c r="L709" s="8"/>
      <c r="M709" s="8" t="str">
        <f>IFERROR(__xludf.DUMMYFUNCTION("""COMPUTED_VALUE"""),"")</f>
        <v/>
      </c>
      <c r="N709" s="8" t="str">
        <f>IFERROR(__xludf.DUMMYFUNCTION("""COMPUTED_VALUE"""),"")</f>
        <v/>
      </c>
      <c r="O709" s="8"/>
      <c r="P709" s="8"/>
    </row>
    <row r="710">
      <c r="A710" s="8"/>
      <c r="B710" s="25"/>
      <c r="C710" s="385"/>
      <c r="D710" s="385"/>
      <c r="E710" s="392"/>
      <c r="F710" s="8"/>
      <c r="G710" s="8"/>
      <c r="H710" s="389"/>
      <c r="I710" s="8" t="b">
        <v>0</v>
      </c>
      <c r="J710" s="388" t="str">
        <f>IFERROR(__xludf.DUMMYFUNCTION("""COMPUTED_VALUE"""),"")</f>
        <v/>
      </c>
      <c r="K710" s="8"/>
      <c r="L710" s="8"/>
      <c r="M710" s="8" t="str">
        <f>IFERROR(__xludf.DUMMYFUNCTION("""COMPUTED_VALUE"""),"")</f>
        <v/>
      </c>
      <c r="N710" s="8" t="str">
        <f>IFERROR(__xludf.DUMMYFUNCTION("""COMPUTED_VALUE"""),"")</f>
        <v/>
      </c>
      <c r="O710" s="8"/>
      <c r="P710" s="8"/>
    </row>
    <row r="711">
      <c r="A711" s="8"/>
      <c r="B711" s="25"/>
      <c r="C711" s="385"/>
      <c r="D711" s="385"/>
      <c r="E711" s="392"/>
      <c r="F711" s="8"/>
      <c r="G711" s="8"/>
      <c r="H711" s="389"/>
      <c r="I711" s="8" t="b">
        <v>0</v>
      </c>
      <c r="J711" s="388" t="str">
        <f>IFERROR(__xludf.DUMMYFUNCTION("""COMPUTED_VALUE"""),"")</f>
        <v/>
      </c>
      <c r="K711" s="8"/>
      <c r="L711" s="8"/>
      <c r="M711" s="8" t="str">
        <f>IFERROR(__xludf.DUMMYFUNCTION("""COMPUTED_VALUE"""),"")</f>
        <v/>
      </c>
      <c r="N711" s="8" t="str">
        <f>IFERROR(__xludf.DUMMYFUNCTION("""COMPUTED_VALUE"""),"")</f>
        <v/>
      </c>
      <c r="O711" s="8"/>
      <c r="P711" s="8"/>
    </row>
    <row r="712">
      <c r="A712" s="8"/>
      <c r="B712" s="25"/>
      <c r="C712" s="385"/>
      <c r="D712" s="385"/>
      <c r="E712" s="392"/>
      <c r="F712" s="8"/>
      <c r="G712" s="8"/>
      <c r="H712" s="389"/>
      <c r="I712" s="8" t="b">
        <v>0</v>
      </c>
      <c r="J712" s="388" t="str">
        <f>IFERROR(__xludf.DUMMYFUNCTION("""COMPUTED_VALUE"""),"")</f>
        <v/>
      </c>
      <c r="K712" s="8"/>
      <c r="L712" s="8"/>
      <c r="M712" s="8" t="str">
        <f>IFERROR(__xludf.DUMMYFUNCTION("""COMPUTED_VALUE"""),"")</f>
        <v/>
      </c>
      <c r="N712" s="8" t="str">
        <f>IFERROR(__xludf.DUMMYFUNCTION("""COMPUTED_VALUE"""),"")</f>
        <v/>
      </c>
      <c r="O712" s="8"/>
      <c r="P712" s="8"/>
    </row>
    <row r="713">
      <c r="A713" s="8"/>
      <c r="B713" s="25"/>
      <c r="C713" s="385"/>
      <c r="D713" s="385"/>
      <c r="E713" s="392"/>
      <c r="F713" s="8"/>
      <c r="G713" s="8"/>
      <c r="H713" s="389"/>
      <c r="I713" s="8" t="b">
        <v>0</v>
      </c>
      <c r="J713" s="388" t="str">
        <f>IFERROR(__xludf.DUMMYFUNCTION("""COMPUTED_VALUE"""),"")</f>
        <v/>
      </c>
      <c r="K713" s="8"/>
      <c r="L713" s="8"/>
      <c r="M713" s="8" t="str">
        <f>IFERROR(__xludf.DUMMYFUNCTION("""COMPUTED_VALUE"""),"")</f>
        <v/>
      </c>
      <c r="N713" s="8" t="str">
        <f>IFERROR(__xludf.DUMMYFUNCTION("""COMPUTED_VALUE"""),"")</f>
        <v/>
      </c>
      <c r="O713" s="8"/>
      <c r="P713" s="8"/>
    </row>
    <row r="714">
      <c r="A714" s="8"/>
      <c r="B714" s="25"/>
      <c r="C714" s="385"/>
      <c r="D714" s="385"/>
      <c r="E714" s="392"/>
      <c r="F714" s="8"/>
      <c r="G714" s="8"/>
      <c r="H714" s="389"/>
      <c r="I714" s="8" t="b">
        <v>0</v>
      </c>
      <c r="J714" s="388" t="str">
        <f>IFERROR(__xludf.DUMMYFUNCTION("""COMPUTED_VALUE"""),"")</f>
        <v/>
      </c>
      <c r="K714" s="8"/>
      <c r="L714" s="8"/>
      <c r="M714" s="8" t="str">
        <f>IFERROR(__xludf.DUMMYFUNCTION("""COMPUTED_VALUE"""),"")</f>
        <v/>
      </c>
      <c r="N714" s="8" t="str">
        <f>IFERROR(__xludf.DUMMYFUNCTION("""COMPUTED_VALUE"""),"")</f>
        <v/>
      </c>
      <c r="O714" s="8"/>
      <c r="P714" s="8"/>
    </row>
    <row r="715">
      <c r="A715" s="8"/>
      <c r="B715" s="25"/>
      <c r="C715" s="385"/>
      <c r="D715" s="385"/>
      <c r="E715" s="392"/>
      <c r="F715" s="8"/>
      <c r="G715" s="8"/>
      <c r="H715" s="389"/>
      <c r="I715" s="8" t="b">
        <v>0</v>
      </c>
      <c r="J715" s="388" t="str">
        <f>IFERROR(__xludf.DUMMYFUNCTION("""COMPUTED_VALUE"""),"")</f>
        <v/>
      </c>
      <c r="K715" s="8"/>
      <c r="L715" s="8"/>
      <c r="M715" s="8" t="str">
        <f>IFERROR(__xludf.DUMMYFUNCTION("""COMPUTED_VALUE"""),"")</f>
        <v/>
      </c>
      <c r="N715" s="8" t="str">
        <f>IFERROR(__xludf.DUMMYFUNCTION("""COMPUTED_VALUE"""),"")</f>
        <v/>
      </c>
      <c r="O715" s="8"/>
      <c r="P715" s="8"/>
    </row>
    <row r="716">
      <c r="A716" s="8"/>
      <c r="B716" s="25"/>
      <c r="C716" s="385"/>
      <c r="D716" s="385"/>
      <c r="E716" s="392"/>
      <c r="F716" s="8"/>
      <c r="G716" s="8"/>
      <c r="H716" s="389"/>
      <c r="I716" s="8" t="b">
        <v>0</v>
      </c>
      <c r="J716" s="388" t="str">
        <f>IFERROR(__xludf.DUMMYFUNCTION("""COMPUTED_VALUE"""),"")</f>
        <v/>
      </c>
      <c r="K716" s="8"/>
      <c r="L716" s="8"/>
      <c r="M716" s="8" t="str">
        <f>IFERROR(__xludf.DUMMYFUNCTION("""COMPUTED_VALUE"""),"")</f>
        <v/>
      </c>
      <c r="N716" s="8" t="str">
        <f>IFERROR(__xludf.DUMMYFUNCTION("""COMPUTED_VALUE"""),"")</f>
        <v/>
      </c>
      <c r="O716" s="8"/>
      <c r="P716" s="8"/>
    </row>
    <row r="717">
      <c r="A717" s="8"/>
      <c r="B717" s="25"/>
      <c r="C717" s="385"/>
      <c r="D717" s="385"/>
      <c r="E717" s="392"/>
      <c r="F717" s="8"/>
      <c r="G717" s="8"/>
      <c r="H717" s="389"/>
      <c r="I717" s="8" t="b">
        <v>0</v>
      </c>
      <c r="J717" s="388" t="str">
        <f>IFERROR(__xludf.DUMMYFUNCTION("""COMPUTED_VALUE"""),"")</f>
        <v/>
      </c>
      <c r="K717" s="8"/>
      <c r="L717" s="8"/>
      <c r="M717" s="8" t="str">
        <f>IFERROR(__xludf.DUMMYFUNCTION("""COMPUTED_VALUE"""),"")</f>
        <v/>
      </c>
      <c r="N717" s="8" t="str">
        <f>IFERROR(__xludf.DUMMYFUNCTION("""COMPUTED_VALUE"""),"")</f>
        <v/>
      </c>
      <c r="O717" s="8"/>
      <c r="P717" s="8"/>
    </row>
    <row r="718">
      <c r="A718" s="8"/>
      <c r="B718" s="25"/>
      <c r="C718" s="385"/>
      <c r="D718" s="385"/>
      <c r="E718" s="392"/>
      <c r="F718" s="8"/>
      <c r="G718" s="8"/>
      <c r="H718" s="389"/>
      <c r="I718" s="8" t="b">
        <v>0</v>
      </c>
      <c r="J718" s="388" t="str">
        <f>IFERROR(__xludf.DUMMYFUNCTION("""COMPUTED_VALUE"""),"")</f>
        <v/>
      </c>
      <c r="K718" s="8"/>
      <c r="L718" s="8"/>
      <c r="M718" s="8" t="str">
        <f>IFERROR(__xludf.DUMMYFUNCTION("""COMPUTED_VALUE"""),"")</f>
        <v/>
      </c>
      <c r="N718" s="8" t="str">
        <f>IFERROR(__xludf.DUMMYFUNCTION("""COMPUTED_VALUE"""),"")</f>
        <v/>
      </c>
      <c r="O718" s="8"/>
      <c r="P718" s="8"/>
    </row>
    <row r="719">
      <c r="A719" s="8"/>
      <c r="B719" s="25"/>
      <c r="C719" s="385"/>
      <c r="D719" s="385"/>
      <c r="E719" s="392"/>
      <c r="F719" s="8"/>
      <c r="G719" s="8"/>
      <c r="H719" s="389"/>
      <c r="I719" s="8" t="b">
        <v>0</v>
      </c>
      <c r="J719" s="388" t="str">
        <f>IFERROR(__xludf.DUMMYFUNCTION("""COMPUTED_VALUE"""),"")</f>
        <v/>
      </c>
      <c r="K719" s="8"/>
      <c r="L719" s="8"/>
      <c r="M719" s="8" t="str">
        <f>IFERROR(__xludf.DUMMYFUNCTION("""COMPUTED_VALUE"""),"")</f>
        <v/>
      </c>
      <c r="N719" s="8" t="str">
        <f>IFERROR(__xludf.DUMMYFUNCTION("""COMPUTED_VALUE"""),"")</f>
        <v/>
      </c>
      <c r="O719" s="8"/>
      <c r="P719" s="8"/>
    </row>
    <row r="720">
      <c r="A720" s="8"/>
      <c r="B720" s="25"/>
      <c r="C720" s="385"/>
      <c r="D720" s="385"/>
      <c r="E720" s="392"/>
      <c r="F720" s="8"/>
      <c r="G720" s="8"/>
      <c r="H720" s="389"/>
      <c r="I720" s="8" t="b">
        <v>0</v>
      </c>
      <c r="J720" s="388" t="str">
        <f>IFERROR(__xludf.DUMMYFUNCTION("""COMPUTED_VALUE"""),"")</f>
        <v/>
      </c>
      <c r="K720" s="8"/>
      <c r="L720" s="8"/>
      <c r="M720" s="8" t="str">
        <f>IFERROR(__xludf.DUMMYFUNCTION("""COMPUTED_VALUE"""),"")</f>
        <v/>
      </c>
      <c r="N720" s="8" t="str">
        <f>IFERROR(__xludf.DUMMYFUNCTION("""COMPUTED_VALUE"""),"")</f>
        <v/>
      </c>
      <c r="O720" s="8"/>
      <c r="P720" s="8"/>
    </row>
    <row r="721">
      <c r="A721" s="8"/>
      <c r="B721" s="25"/>
      <c r="C721" s="385"/>
      <c r="D721" s="385"/>
      <c r="E721" s="392"/>
      <c r="F721" s="8"/>
      <c r="G721" s="8"/>
      <c r="H721" s="389"/>
      <c r="I721" s="8" t="b">
        <v>0</v>
      </c>
      <c r="J721" s="388" t="str">
        <f>IFERROR(__xludf.DUMMYFUNCTION("""COMPUTED_VALUE"""),"")</f>
        <v/>
      </c>
      <c r="K721" s="8"/>
      <c r="L721" s="8"/>
      <c r="M721" s="8" t="str">
        <f>IFERROR(__xludf.DUMMYFUNCTION("""COMPUTED_VALUE"""),"")</f>
        <v/>
      </c>
      <c r="N721" s="8" t="str">
        <f>IFERROR(__xludf.DUMMYFUNCTION("""COMPUTED_VALUE"""),"")</f>
        <v/>
      </c>
      <c r="O721" s="8"/>
      <c r="P721" s="8"/>
    </row>
    <row r="722">
      <c r="A722" s="8"/>
      <c r="B722" s="25"/>
      <c r="C722" s="385"/>
      <c r="D722" s="385"/>
      <c r="E722" s="392"/>
      <c r="F722" s="8"/>
      <c r="G722" s="8"/>
      <c r="H722" s="389"/>
      <c r="I722" s="8" t="b">
        <v>0</v>
      </c>
      <c r="J722" s="388" t="str">
        <f>IFERROR(__xludf.DUMMYFUNCTION("""COMPUTED_VALUE"""),"")</f>
        <v/>
      </c>
      <c r="K722" s="8"/>
      <c r="L722" s="8"/>
      <c r="M722" s="8" t="str">
        <f>IFERROR(__xludf.DUMMYFUNCTION("""COMPUTED_VALUE"""),"")</f>
        <v/>
      </c>
      <c r="N722" s="8" t="str">
        <f>IFERROR(__xludf.DUMMYFUNCTION("""COMPUTED_VALUE"""),"")</f>
        <v/>
      </c>
      <c r="O722" s="8"/>
      <c r="P722" s="8"/>
    </row>
    <row r="723">
      <c r="A723" s="8"/>
      <c r="B723" s="25"/>
      <c r="C723" s="385"/>
      <c r="D723" s="385"/>
      <c r="E723" s="392"/>
      <c r="F723" s="8"/>
      <c r="G723" s="8"/>
      <c r="H723" s="389"/>
      <c r="I723" s="8" t="b">
        <v>0</v>
      </c>
      <c r="J723" s="388" t="str">
        <f>IFERROR(__xludf.DUMMYFUNCTION("""COMPUTED_VALUE"""),"")</f>
        <v/>
      </c>
      <c r="K723" s="8"/>
      <c r="L723" s="8"/>
      <c r="M723" s="8" t="str">
        <f>IFERROR(__xludf.DUMMYFUNCTION("""COMPUTED_VALUE"""),"")</f>
        <v/>
      </c>
      <c r="N723" s="8" t="str">
        <f>IFERROR(__xludf.DUMMYFUNCTION("""COMPUTED_VALUE"""),"")</f>
        <v/>
      </c>
      <c r="O723" s="8"/>
      <c r="P723" s="8"/>
    </row>
    <row r="724">
      <c r="A724" s="8"/>
      <c r="B724" s="25"/>
      <c r="C724" s="385"/>
      <c r="D724" s="385"/>
      <c r="E724" s="392"/>
      <c r="F724" s="8"/>
      <c r="G724" s="8"/>
      <c r="H724" s="389"/>
      <c r="I724" s="8" t="b">
        <v>0</v>
      </c>
      <c r="J724" s="388" t="str">
        <f>IFERROR(__xludf.DUMMYFUNCTION("""COMPUTED_VALUE"""),"")</f>
        <v/>
      </c>
      <c r="K724" s="8"/>
      <c r="L724" s="8"/>
      <c r="M724" s="8" t="str">
        <f>IFERROR(__xludf.DUMMYFUNCTION("""COMPUTED_VALUE"""),"")</f>
        <v/>
      </c>
      <c r="N724" s="8" t="str">
        <f>IFERROR(__xludf.DUMMYFUNCTION("""COMPUTED_VALUE"""),"")</f>
        <v/>
      </c>
      <c r="O724" s="8"/>
      <c r="P724" s="8"/>
    </row>
    <row r="725">
      <c r="A725" s="8"/>
      <c r="B725" s="25"/>
      <c r="C725" s="385"/>
      <c r="D725" s="385"/>
      <c r="E725" s="392"/>
      <c r="F725" s="8"/>
      <c r="G725" s="8"/>
      <c r="H725" s="389"/>
      <c r="I725" s="8" t="b">
        <v>0</v>
      </c>
      <c r="J725" s="388" t="str">
        <f>IFERROR(__xludf.DUMMYFUNCTION("""COMPUTED_VALUE"""),"")</f>
        <v/>
      </c>
      <c r="K725" s="8"/>
      <c r="L725" s="8"/>
      <c r="M725" s="8" t="str">
        <f>IFERROR(__xludf.DUMMYFUNCTION("""COMPUTED_VALUE"""),"")</f>
        <v/>
      </c>
      <c r="N725" s="8" t="str">
        <f>IFERROR(__xludf.DUMMYFUNCTION("""COMPUTED_VALUE"""),"")</f>
        <v/>
      </c>
      <c r="O725" s="8"/>
      <c r="P725" s="8"/>
    </row>
    <row r="726">
      <c r="A726" s="8"/>
      <c r="B726" s="25"/>
      <c r="C726" s="385"/>
      <c r="D726" s="385"/>
      <c r="E726" s="392"/>
      <c r="F726" s="8"/>
      <c r="G726" s="8"/>
      <c r="H726" s="389"/>
      <c r="I726" s="8" t="b">
        <v>0</v>
      </c>
      <c r="J726" s="388" t="str">
        <f>IFERROR(__xludf.DUMMYFUNCTION("""COMPUTED_VALUE"""),"")</f>
        <v/>
      </c>
      <c r="K726" s="8"/>
      <c r="L726" s="8"/>
      <c r="M726" s="8" t="str">
        <f>IFERROR(__xludf.DUMMYFUNCTION("""COMPUTED_VALUE"""),"")</f>
        <v/>
      </c>
      <c r="N726" s="8" t="str">
        <f>IFERROR(__xludf.DUMMYFUNCTION("""COMPUTED_VALUE"""),"")</f>
        <v/>
      </c>
      <c r="O726" s="8"/>
      <c r="P726" s="8"/>
    </row>
    <row r="727">
      <c r="A727" s="8"/>
      <c r="B727" s="25"/>
      <c r="C727" s="385"/>
      <c r="D727" s="385"/>
      <c r="E727" s="392"/>
      <c r="F727" s="8"/>
      <c r="G727" s="8"/>
      <c r="H727" s="389"/>
      <c r="I727" s="8" t="b">
        <v>0</v>
      </c>
      <c r="J727" s="388" t="str">
        <f>IFERROR(__xludf.DUMMYFUNCTION("""COMPUTED_VALUE"""),"")</f>
        <v/>
      </c>
      <c r="K727" s="8"/>
      <c r="L727" s="8"/>
      <c r="M727" s="8" t="str">
        <f>IFERROR(__xludf.DUMMYFUNCTION("""COMPUTED_VALUE"""),"")</f>
        <v/>
      </c>
      <c r="N727" s="8" t="str">
        <f>IFERROR(__xludf.DUMMYFUNCTION("""COMPUTED_VALUE"""),"")</f>
        <v/>
      </c>
      <c r="O727" s="8"/>
      <c r="P727" s="8"/>
    </row>
    <row r="728">
      <c r="A728" s="8"/>
      <c r="B728" s="25"/>
      <c r="C728" s="385"/>
      <c r="D728" s="385"/>
      <c r="E728" s="392"/>
      <c r="F728" s="8"/>
      <c r="G728" s="8"/>
      <c r="H728" s="389"/>
      <c r="I728" s="8" t="b">
        <v>0</v>
      </c>
      <c r="J728" s="388" t="str">
        <f>IFERROR(__xludf.DUMMYFUNCTION("""COMPUTED_VALUE"""),"")</f>
        <v/>
      </c>
      <c r="K728" s="8"/>
      <c r="L728" s="8"/>
      <c r="M728" s="8" t="str">
        <f>IFERROR(__xludf.DUMMYFUNCTION("""COMPUTED_VALUE"""),"")</f>
        <v/>
      </c>
      <c r="N728" s="8" t="str">
        <f>IFERROR(__xludf.DUMMYFUNCTION("""COMPUTED_VALUE"""),"")</f>
        <v/>
      </c>
      <c r="O728" s="8"/>
      <c r="P728" s="8"/>
    </row>
    <row r="729">
      <c r="A729" s="8"/>
      <c r="B729" s="25"/>
      <c r="C729" s="385"/>
      <c r="D729" s="385"/>
      <c r="E729" s="392"/>
      <c r="F729" s="8"/>
      <c r="G729" s="8"/>
      <c r="H729" s="389"/>
      <c r="I729" s="8" t="b">
        <v>0</v>
      </c>
      <c r="J729" s="388" t="str">
        <f>IFERROR(__xludf.DUMMYFUNCTION("""COMPUTED_VALUE"""),"")</f>
        <v/>
      </c>
      <c r="K729" s="8"/>
      <c r="L729" s="8"/>
      <c r="M729" s="8" t="str">
        <f>IFERROR(__xludf.DUMMYFUNCTION("""COMPUTED_VALUE"""),"")</f>
        <v/>
      </c>
      <c r="N729" s="8" t="str">
        <f>IFERROR(__xludf.DUMMYFUNCTION("""COMPUTED_VALUE"""),"")</f>
        <v/>
      </c>
      <c r="O729" s="8"/>
      <c r="P729" s="8"/>
    </row>
    <row r="730">
      <c r="A730" s="8"/>
      <c r="B730" s="25"/>
      <c r="C730" s="385"/>
      <c r="D730" s="385"/>
      <c r="E730" s="392"/>
      <c r="F730" s="8"/>
      <c r="G730" s="8"/>
      <c r="H730" s="389"/>
      <c r="I730" s="8" t="b">
        <v>0</v>
      </c>
      <c r="J730" s="388" t="str">
        <f>IFERROR(__xludf.DUMMYFUNCTION("""COMPUTED_VALUE"""),"")</f>
        <v/>
      </c>
      <c r="K730" s="8"/>
      <c r="L730" s="8"/>
      <c r="M730" s="8" t="str">
        <f>IFERROR(__xludf.DUMMYFUNCTION("""COMPUTED_VALUE"""),"")</f>
        <v/>
      </c>
      <c r="N730" s="8" t="str">
        <f>IFERROR(__xludf.DUMMYFUNCTION("""COMPUTED_VALUE"""),"")</f>
        <v/>
      </c>
      <c r="O730" s="8"/>
      <c r="P730" s="8"/>
    </row>
    <row r="731">
      <c r="A731" s="8"/>
      <c r="B731" s="25"/>
      <c r="C731" s="385"/>
      <c r="D731" s="385"/>
      <c r="E731" s="392"/>
      <c r="F731" s="8"/>
      <c r="G731" s="8"/>
      <c r="H731" s="389"/>
      <c r="I731" s="8" t="b">
        <v>0</v>
      </c>
      <c r="J731" s="388" t="str">
        <f>IFERROR(__xludf.DUMMYFUNCTION("""COMPUTED_VALUE"""),"")</f>
        <v/>
      </c>
      <c r="K731" s="8"/>
      <c r="L731" s="8"/>
      <c r="M731" s="8" t="str">
        <f>IFERROR(__xludf.DUMMYFUNCTION("""COMPUTED_VALUE"""),"")</f>
        <v/>
      </c>
      <c r="N731" s="8" t="str">
        <f>IFERROR(__xludf.DUMMYFUNCTION("""COMPUTED_VALUE"""),"")</f>
        <v/>
      </c>
      <c r="O731" s="8"/>
      <c r="P731" s="8"/>
    </row>
    <row r="732">
      <c r="A732" s="8"/>
      <c r="B732" s="25"/>
      <c r="C732" s="385"/>
      <c r="D732" s="385"/>
      <c r="E732" s="392"/>
      <c r="F732" s="8"/>
      <c r="G732" s="8"/>
      <c r="H732" s="389"/>
      <c r="I732" s="8" t="b">
        <v>0</v>
      </c>
      <c r="J732" s="388" t="str">
        <f>IFERROR(__xludf.DUMMYFUNCTION("""COMPUTED_VALUE"""),"")</f>
        <v/>
      </c>
      <c r="K732" s="8"/>
      <c r="L732" s="8"/>
      <c r="M732" s="8" t="str">
        <f>IFERROR(__xludf.DUMMYFUNCTION("""COMPUTED_VALUE"""),"")</f>
        <v/>
      </c>
      <c r="N732" s="8" t="str">
        <f>IFERROR(__xludf.DUMMYFUNCTION("""COMPUTED_VALUE"""),"")</f>
        <v/>
      </c>
      <c r="O732" s="8"/>
      <c r="P732" s="8"/>
    </row>
    <row r="733">
      <c r="A733" s="8"/>
      <c r="B733" s="25"/>
      <c r="C733" s="385"/>
      <c r="D733" s="385"/>
      <c r="E733" s="392"/>
      <c r="F733" s="8"/>
      <c r="G733" s="8"/>
      <c r="H733" s="389"/>
      <c r="I733" s="8" t="b">
        <v>0</v>
      </c>
      <c r="J733" s="388" t="str">
        <f>IFERROR(__xludf.DUMMYFUNCTION("""COMPUTED_VALUE"""),"")</f>
        <v/>
      </c>
      <c r="K733" s="8"/>
      <c r="L733" s="8"/>
      <c r="M733" s="8" t="str">
        <f>IFERROR(__xludf.DUMMYFUNCTION("""COMPUTED_VALUE"""),"")</f>
        <v/>
      </c>
      <c r="N733" s="8" t="str">
        <f>IFERROR(__xludf.DUMMYFUNCTION("""COMPUTED_VALUE"""),"")</f>
        <v/>
      </c>
      <c r="O733" s="8"/>
      <c r="P733" s="8"/>
    </row>
    <row r="734">
      <c r="A734" s="8"/>
      <c r="B734" s="25"/>
      <c r="C734" s="385"/>
      <c r="D734" s="385"/>
      <c r="E734" s="392"/>
      <c r="F734" s="8"/>
      <c r="G734" s="8"/>
      <c r="H734" s="389"/>
      <c r="I734" s="8" t="b">
        <v>0</v>
      </c>
      <c r="J734" s="388" t="str">
        <f>IFERROR(__xludf.DUMMYFUNCTION("""COMPUTED_VALUE"""),"")</f>
        <v/>
      </c>
      <c r="K734" s="8"/>
      <c r="L734" s="8"/>
      <c r="M734" s="8" t="str">
        <f>IFERROR(__xludf.DUMMYFUNCTION("""COMPUTED_VALUE"""),"")</f>
        <v/>
      </c>
      <c r="N734" s="8" t="str">
        <f>IFERROR(__xludf.DUMMYFUNCTION("""COMPUTED_VALUE"""),"")</f>
        <v/>
      </c>
      <c r="O734" s="8"/>
      <c r="P734" s="8"/>
    </row>
    <row r="735">
      <c r="A735" s="8"/>
      <c r="B735" s="25"/>
      <c r="C735" s="385"/>
      <c r="D735" s="385"/>
      <c r="E735" s="392"/>
      <c r="F735" s="8"/>
      <c r="G735" s="8"/>
      <c r="H735" s="389"/>
      <c r="I735" s="8" t="b">
        <v>0</v>
      </c>
      <c r="J735" s="388" t="str">
        <f>IFERROR(__xludf.DUMMYFUNCTION("""COMPUTED_VALUE"""),"")</f>
        <v/>
      </c>
      <c r="K735" s="8"/>
      <c r="L735" s="8"/>
      <c r="M735" s="8" t="str">
        <f>IFERROR(__xludf.DUMMYFUNCTION("""COMPUTED_VALUE"""),"")</f>
        <v/>
      </c>
      <c r="N735" s="8" t="str">
        <f>IFERROR(__xludf.DUMMYFUNCTION("""COMPUTED_VALUE"""),"")</f>
        <v/>
      </c>
      <c r="O735" s="8"/>
      <c r="P735" s="8"/>
    </row>
    <row r="736">
      <c r="A736" s="8"/>
      <c r="B736" s="25"/>
      <c r="C736" s="385"/>
      <c r="D736" s="385"/>
      <c r="E736" s="392"/>
      <c r="F736" s="8"/>
      <c r="G736" s="8"/>
      <c r="H736" s="389"/>
      <c r="I736" s="8" t="b">
        <v>0</v>
      </c>
      <c r="J736" s="388" t="str">
        <f>IFERROR(__xludf.DUMMYFUNCTION("""COMPUTED_VALUE"""),"")</f>
        <v/>
      </c>
      <c r="K736" s="8"/>
      <c r="L736" s="8"/>
      <c r="M736" s="8" t="str">
        <f>IFERROR(__xludf.DUMMYFUNCTION("""COMPUTED_VALUE"""),"")</f>
        <v/>
      </c>
      <c r="N736" s="8" t="str">
        <f>IFERROR(__xludf.DUMMYFUNCTION("""COMPUTED_VALUE"""),"")</f>
        <v/>
      </c>
      <c r="O736" s="8"/>
      <c r="P736" s="8"/>
    </row>
    <row r="737">
      <c r="A737" s="8"/>
      <c r="B737" s="25"/>
      <c r="C737" s="385"/>
      <c r="D737" s="385"/>
      <c r="E737" s="392"/>
      <c r="F737" s="8"/>
      <c r="G737" s="8"/>
      <c r="H737" s="389"/>
      <c r="I737" s="8" t="b">
        <v>0</v>
      </c>
      <c r="J737" s="388" t="str">
        <f>IFERROR(__xludf.DUMMYFUNCTION("""COMPUTED_VALUE"""),"")</f>
        <v/>
      </c>
      <c r="K737" s="8"/>
      <c r="L737" s="8"/>
      <c r="M737" s="8" t="str">
        <f>IFERROR(__xludf.DUMMYFUNCTION("""COMPUTED_VALUE"""),"")</f>
        <v/>
      </c>
      <c r="N737" s="8" t="str">
        <f>IFERROR(__xludf.DUMMYFUNCTION("""COMPUTED_VALUE"""),"")</f>
        <v/>
      </c>
      <c r="O737" s="8"/>
      <c r="P737" s="8"/>
    </row>
    <row r="738">
      <c r="A738" s="8"/>
      <c r="B738" s="25"/>
      <c r="C738" s="385"/>
      <c r="D738" s="385"/>
      <c r="E738" s="392"/>
      <c r="F738" s="8"/>
      <c r="G738" s="8"/>
      <c r="H738" s="389"/>
      <c r="I738" s="8" t="b">
        <v>0</v>
      </c>
      <c r="J738" s="388" t="str">
        <f>IFERROR(__xludf.DUMMYFUNCTION("""COMPUTED_VALUE"""),"")</f>
        <v/>
      </c>
      <c r="K738" s="8"/>
      <c r="L738" s="8"/>
      <c r="M738" s="8" t="str">
        <f>IFERROR(__xludf.DUMMYFUNCTION("""COMPUTED_VALUE"""),"")</f>
        <v/>
      </c>
      <c r="N738" s="8" t="str">
        <f>IFERROR(__xludf.DUMMYFUNCTION("""COMPUTED_VALUE"""),"")</f>
        <v/>
      </c>
      <c r="O738" s="8"/>
      <c r="P738" s="8"/>
    </row>
    <row r="739">
      <c r="A739" s="8"/>
      <c r="B739" s="25"/>
      <c r="C739" s="385"/>
      <c r="D739" s="385"/>
      <c r="E739" s="392"/>
      <c r="F739" s="8"/>
      <c r="G739" s="8"/>
      <c r="H739" s="389"/>
      <c r="I739" s="8" t="b">
        <v>0</v>
      </c>
      <c r="J739" s="388" t="str">
        <f>IFERROR(__xludf.DUMMYFUNCTION("""COMPUTED_VALUE"""),"")</f>
        <v/>
      </c>
      <c r="K739" s="8"/>
      <c r="L739" s="8"/>
      <c r="M739" s="8" t="str">
        <f>IFERROR(__xludf.DUMMYFUNCTION("""COMPUTED_VALUE"""),"")</f>
        <v/>
      </c>
      <c r="N739" s="8" t="str">
        <f>IFERROR(__xludf.DUMMYFUNCTION("""COMPUTED_VALUE"""),"")</f>
        <v/>
      </c>
      <c r="O739" s="8"/>
      <c r="P739" s="8"/>
    </row>
    <row r="740">
      <c r="A740" s="8"/>
      <c r="B740" s="25"/>
      <c r="C740" s="385"/>
      <c r="D740" s="385"/>
      <c r="E740" s="392"/>
      <c r="F740" s="8"/>
      <c r="G740" s="8"/>
      <c r="H740" s="389"/>
      <c r="I740" s="8" t="b">
        <v>0</v>
      </c>
      <c r="J740" s="388" t="str">
        <f>IFERROR(__xludf.DUMMYFUNCTION("""COMPUTED_VALUE"""),"")</f>
        <v/>
      </c>
      <c r="K740" s="8"/>
      <c r="L740" s="8"/>
      <c r="M740" s="8" t="str">
        <f>IFERROR(__xludf.DUMMYFUNCTION("""COMPUTED_VALUE"""),"")</f>
        <v/>
      </c>
      <c r="N740" s="8" t="str">
        <f>IFERROR(__xludf.DUMMYFUNCTION("""COMPUTED_VALUE"""),"")</f>
        <v/>
      </c>
      <c r="O740" s="8"/>
      <c r="P740" s="8"/>
    </row>
    <row r="741">
      <c r="A741" s="8"/>
      <c r="B741" s="25"/>
      <c r="C741" s="385"/>
      <c r="D741" s="385"/>
      <c r="E741" s="392"/>
      <c r="F741" s="8"/>
      <c r="G741" s="8"/>
      <c r="H741" s="389"/>
      <c r="I741" s="8" t="b">
        <v>0</v>
      </c>
      <c r="J741" s="388" t="str">
        <f>IFERROR(__xludf.DUMMYFUNCTION("""COMPUTED_VALUE"""),"")</f>
        <v/>
      </c>
      <c r="K741" s="8"/>
      <c r="L741" s="8"/>
      <c r="M741" s="8" t="str">
        <f>IFERROR(__xludf.DUMMYFUNCTION("""COMPUTED_VALUE"""),"")</f>
        <v/>
      </c>
      <c r="N741" s="8" t="str">
        <f>IFERROR(__xludf.DUMMYFUNCTION("""COMPUTED_VALUE"""),"")</f>
        <v/>
      </c>
      <c r="O741" s="8"/>
      <c r="P741" s="8"/>
    </row>
    <row r="742">
      <c r="A742" s="8"/>
      <c r="B742" s="25"/>
      <c r="C742" s="385"/>
      <c r="D742" s="385"/>
      <c r="E742" s="392"/>
      <c r="F742" s="8"/>
      <c r="G742" s="8"/>
      <c r="H742" s="389"/>
      <c r="I742" s="8" t="b">
        <v>0</v>
      </c>
      <c r="J742" s="388" t="str">
        <f>IFERROR(__xludf.DUMMYFUNCTION("""COMPUTED_VALUE"""),"")</f>
        <v/>
      </c>
      <c r="K742" s="8"/>
      <c r="L742" s="8"/>
      <c r="M742" s="8" t="str">
        <f>IFERROR(__xludf.DUMMYFUNCTION("""COMPUTED_VALUE"""),"")</f>
        <v/>
      </c>
      <c r="N742" s="8" t="str">
        <f>IFERROR(__xludf.DUMMYFUNCTION("""COMPUTED_VALUE"""),"")</f>
        <v/>
      </c>
      <c r="O742" s="8"/>
      <c r="P742" s="8"/>
    </row>
    <row r="743">
      <c r="A743" s="8"/>
      <c r="B743" s="25"/>
      <c r="C743" s="385"/>
      <c r="D743" s="385"/>
      <c r="E743" s="392"/>
      <c r="F743" s="8"/>
      <c r="G743" s="8"/>
      <c r="H743" s="389"/>
      <c r="I743" s="8" t="b">
        <v>0</v>
      </c>
      <c r="J743" s="388" t="str">
        <f>IFERROR(__xludf.DUMMYFUNCTION("""COMPUTED_VALUE"""),"")</f>
        <v/>
      </c>
      <c r="K743" s="8"/>
      <c r="L743" s="8"/>
      <c r="M743" s="8" t="str">
        <f>IFERROR(__xludf.DUMMYFUNCTION("""COMPUTED_VALUE"""),"")</f>
        <v/>
      </c>
      <c r="N743" s="8" t="str">
        <f>IFERROR(__xludf.DUMMYFUNCTION("""COMPUTED_VALUE"""),"")</f>
        <v/>
      </c>
      <c r="O743" s="8"/>
      <c r="P743" s="8"/>
    </row>
    <row r="744">
      <c r="A744" s="8"/>
      <c r="B744" s="25"/>
      <c r="C744" s="385"/>
      <c r="D744" s="385"/>
      <c r="E744" s="392"/>
      <c r="F744" s="8"/>
      <c r="G744" s="8"/>
      <c r="H744" s="389"/>
      <c r="I744" s="8" t="b">
        <v>0</v>
      </c>
      <c r="J744" s="388" t="str">
        <f>IFERROR(__xludf.DUMMYFUNCTION("""COMPUTED_VALUE"""),"")</f>
        <v/>
      </c>
      <c r="K744" s="8"/>
      <c r="L744" s="8"/>
      <c r="M744" s="8" t="str">
        <f>IFERROR(__xludf.DUMMYFUNCTION("""COMPUTED_VALUE"""),"")</f>
        <v/>
      </c>
      <c r="N744" s="8" t="str">
        <f>IFERROR(__xludf.DUMMYFUNCTION("""COMPUTED_VALUE"""),"")</f>
        <v/>
      </c>
      <c r="O744" s="8"/>
      <c r="P744" s="8"/>
    </row>
    <row r="745">
      <c r="A745" s="8"/>
      <c r="B745" s="25"/>
      <c r="C745" s="385"/>
      <c r="D745" s="385"/>
      <c r="E745" s="392"/>
      <c r="F745" s="8"/>
      <c r="G745" s="8"/>
      <c r="H745" s="389"/>
      <c r="I745" s="8" t="b">
        <v>0</v>
      </c>
      <c r="J745" s="388" t="str">
        <f>IFERROR(__xludf.DUMMYFUNCTION("""COMPUTED_VALUE"""),"")</f>
        <v/>
      </c>
      <c r="K745" s="8"/>
      <c r="L745" s="8"/>
      <c r="M745" s="8" t="str">
        <f>IFERROR(__xludf.DUMMYFUNCTION("""COMPUTED_VALUE"""),"")</f>
        <v/>
      </c>
      <c r="N745" s="8" t="str">
        <f>IFERROR(__xludf.DUMMYFUNCTION("""COMPUTED_VALUE"""),"")</f>
        <v/>
      </c>
      <c r="O745" s="8"/>
      <c r="P745" s="8"/>
    </row>
    <row r="746">
      <c r="A746" s="8"/>
      <c r="B746" s="25"/>
      <c r="C746" s="385"/>
      <c r="D746" s="385"/>
      <c r="E746" s="392"/>
      <c r="F746" s="8"/>
      <c r="G746" s="8"/>
      <c r="H746" s="389"/>
      <c r="I746" s="8" t="b">
        <v>0</v>
      </c>
      <c r="J746" s="388" t="str">
        <f>IFERROR(__xludf.DUMMYFUNCTION("""COMPUTED_VALUE"""),"")</f>
        <v/>
      </c>
      <c r="K746" s="8"/>
      <c r="L746" s="8"/>
      <c r="M746" s="8" t="str">
        <f>IFERROR(__xludf.DUMMYFUNCTION("""COMPUTED_VALUE"""),"")</f>
        <v/>
      </c>
      <c r="N746" s="8" t="str">
        <f>IFERROR(__xludf.DUMMYFUNCTION("""COMPUTED_VALUE"""),"")</f>
        <v/>
      </c>
      <c r="O746" s="8"/>
      <c r="P746" s="8"/>
    </row>
    <row r="747">
      <c r="A747" s="8"/>
      <c r="B747" s="25"/>
      <c r="C747" s="385"/>
      <c r="D747" s="385"/>
      <c r="E747" s="392"/>
      <c r="F747" s="8"/>
      <c r="G747" s="8"/>
      <c r="H747" s="389"/>
      <c r="I747" s="8" t="b">
        <v>0</v>
      </c>
      <c r="J747" s="388" t="str">
        <f>IFERROR(__xludf.DUMMYFUNCTION("""COMPUTED_VALUE"""),"")</f>
        <v/>
      </c>
      <c r="K747" s="8"/>
      <c r="L747" s="8"/>
      <c r="M747" s="8" t="str">
        <f>IFERROR(__xludf.DUMMYFUNCTION("""COMPUTED_VALUE"""),"")</f>
        <v/>
      </c>
      <c r="N747" s="8" t="str">
        <f>IFERROR(__xludf.DUMMYFUNCTION("""COMPUTED_VALUE"""),"")</f>
        <v/>
      </c>
      <c r="O747" s="8"/>
      <c r="P747" s="8"/>
    </row>
    <row r="748">
      <c r="A748" s="8"/>
      <c r="B748" s="25"/>
      <c r="C748" s="385"/>
      <c r="D748" s="385"/>
      <c r="E748" s="392"/>
      <c r="F748" s="8"/>
      <c r="G748" s="8"/>
      <c r="H748" s="389"/>
      <c r="I748" s="8" t="b">
        <v>0</v>
      </c>
      <c r="J748" s="388" t="str">
        <f>IFERROR(__xludf.DUMMYFUNCTION("""COMPUTED_VALUE"""),"")</f>
        <v/>
      </c>
      <c r="K748" s="8"/>
      <c r="L748" s="8"/>
      <c r="M748" s="8" t="str">
        <f>IFERROR(__xludf.DUMMYFUNCTION("""COMPUTED_VALUE"""),"")</f>
        <v/>
      </c>
      <c r="N748" s="8" t="str">
        <f>IFERROR(__xludf.DUMMYFUNCTION("""COMPUTED_VALUE"""),"")</f>
        <v/>
      </c>
      <c r="O748" s="8"/>
      <c r="P748" s="8"/>
    </row>
    <row r="749">
      <c r="A749" s="8"/>
      <c r="B749" s="25"/>
      <c r="C749" s="385"/>
      <c r="D749" s="385"/>
      <c r="E749" s="392"/>
      <c r="F749" s="8"/>
      <c r="G749" s="8"/>
      <c r="H749" s="389"/>
      <c r="I749" s="8" t="b">
        <v>0</v>
      </c>
      <c r="J749" s="388" t="str">
        <f>IFERROR(__xludf.DUMMYFUNCTION("""COMPUTED_VALUE"""),"")</f>
        <v/>
      </c>
      <c r="K749" s="8"/>
      <c r="L749" s="8"/>
      <c r="M749" s="8" t="str">
        <f>IFERROR(__xludf.DUMMYFUNCTION("""COMPUTED_VALUE"""),"")</f>
        <v/>
      </c>
      <c r="N749" s="8" t="str">
        <f>IFERROR(__xludf.DUMMYFUNCTION("""COMPUTED_VALUE"""),"")</f>
        <v/>
      </c>
      <c r="O749" s="8"/>
      <c r="P749" s="8"/>
    </row>
    <row r="750">
      <c r="A750" s="8"/>
      <c r="B750" s="25"/>
      <c r="C750" s="385"/>
      <c r="D750" s="385"/>
      <c r="E750" s="392"/>
      <c r="F750" s="8"/>
      <c r="G750" s="8"/>
      <c r="H750" s="389"/>
      <c r="I750" s="8" t="b">
        <v>0</v>
      </c>
      <c r="J750" s="388" t="str">
        <f>IFERROR(__xludf.DUMMYFUNCTION("""COMPUTED_VALUE"""),"")</f>
        <v/>
      </c>
      <c r="K750" s="8"/>
      <c r="L750" s="8"/>
      <c r="M750" s="8" t="str">
        <f>IFERROR(__xludf.DUMMYFUNCTION("""COMPUTED_VALUE"""),"")</f>
        <v/>
      </c>
      <c r="N750" s="8" t="str">
        <f>IFERROR(__xludf.DUMMYFUNCTION("""COMPUTED_VALUE"""),"")</f>
        <v/>
      </c>
      <c r="O750" s="8"/>
      <c r="P750" s="8"/>
    </row>
    <row r="751">
      <c r="A751" s="8"/>
      <c r="B751" s="25"/>
      <c r="C751" s="385"/>
      <c r="D751" s="385"/>
      <c r="E751" s="392"/>
      <c r="F751" s="8"/>
      <c r="G751" s="8"/>
      <c r="H751" s="389"/>
      <c r="I751" s="8" t="b">
        <v>0</v>
      </c>
      <c r="J751" s="388" t="str">
        <f>IFERROR(__xludf.DUMMYFUNCTION("""COMPUTED_VALUE"""),"")</f>
        <v/>
      </c>
      <c r="K751" s="8"/>
      <c r="L751" s="8"/>
      <c r="M751" s="8" t="str">
        <f>IFERROR(__xludf.DUMMYFUNCTION("""COMPUTED_VALUE"""),"")</f>
        <v/>
      </c>
      <c r="N751" s="8" t="str">
        <f>IFERROR(__xludf.DUMMYFUNCTION("""COMPUTED_VALUE"""),"")</f>
        <v/>
      </c>
      <c r="O751" s="8"/>
      <c r="P751" s="8"/>
    </row>
    <row r="752">
      <c r="A752" s="8"/>
      <c r="B752" s="25"/>
      <c r="C752" s="385"/>
      <c r="D752" s="385"/>
      <c r="E752" s="392"/>
      <c r="F752" s="8"/>
      <c r="G752" s="8"/>
      <c r="H752" s="389"/>
      <c r="I752" s="8" t="b">
        <v>0</v>
      </c>
      <c r="J752" s="388" t="str">
        <f>IFERROR(__xludf.DUMMYFUNCTION("""COMPUTED_VALUE"""),"")</f>
        <v/>
      </c>
      <c r="K752" s="8"/>
      <c r="L752" s="8"/>
      <c r="M752" s="8" t="str">
        <f>IFERROR(__xludf.DUMMYFUNCTION("""COMPUTED_VALUE"""),"")</f>
        <v/>
      </c>
      <c r="N752" s="8" t="str">
        <f>IFERROR(__xludf.DUMMYFUNCTION("""COMPUTED_VALUE"""),"")</f>
        <v/>
      </c>
      <c r="O752" s="8"/>
      <c r="P752" s="8"/>
    </row>
    <row r="753">
      <c r="A753" s="8"/>
      <c r="B753" s="25"/>
      <c r="C753" s="385"/>
      <c r="D753" s="385"/>
      <c r="E753" s="392"/>
      <c r="F753" s="8"/>
      <c r="G753" s="8"/>
      <c r="H753" s="389"/>
      <c r="I753" s="8" t="b">
        <v>0</v>
      </c>
      <c r="J753" s="388" t="str">
        <f>IFERROR(__xludf.DUMMYFUNCTION("""COMPUTED_VALUE"""),"")</f>
        <v/>
      </c>
      <c r="K753" s="8"/>
      <c r="L753" s="8"/>
      <c r="M753" s="8" t="str">
        <f>IFERROR(__xludf.DUMMYFUNCTION("""COMPUTED_VALUE"""),"")</f>
        <v/>
      </c>
      <c r="N753" s="8" t="str">
        <f>IFERROR(__xludf.DUMMYFUNCTION("""COMPUTED_VALUE"""),"")</f>
        <v/>
      </c>
      <c r="O753" s="8"/>
      <c r="P753" s="8"/>
    </row>
    <row r="754">
      <c r="A754" s="8"/>
      <c r="B754" s="25"/>
      <c r="C754" s="385"/>
      <c r="D754" s="385"/>
      <c r="E754" s="392"/>
      <c r="F754" s="8"/>
      <c r="G754" s="8"/>
      <c r="H754" s="389"/>
      <c r="I754" s="8" t="b">
        <v>0</v>
      </c>
      <c r="J754" s="388" t="str">
        <f>IFERROR(__xludf.DUMMYFUNCTION("""COMPUTED_VALUE"""),"")</f>
        <v/>
      </c>
      <c r="K754" s="8"/>
      <c r="L754" s="8"/>
      <c r="M754" s="8" t="str">
        <f>IFERROR(__xludf.DUMMYFUNCTION("""COMPUTED_VALUE"""),"")</f>
        <v/>
      </c>
      <c r="N754" s="8" t="str">
        <f>IFERROR(__xludf.DUMMYFUNCTION("""COMPUTED_VALUE"""),"")</f>
        <v/>
      </c>
      <c r="O754" s="8"/>
      <c r="P754" s="8"/>
    </row>
    <row r="755">
      <c r="A755" s="8"/>
      <c r="B755" s="25"/>
      <c r="C755" s="385"/>
      <c r="D755" s="385"/>
      <c r="E755" s="392"/>
      <c r="F755" s="8"/>
      <c r="G755" s="8"/>
      <c r="H755" s="389"/>
      <c r="I755" s="8" t="b">
        <v>0</v>
      </c>
      <c r="J755" s="388" t="str">
        <f>IFERROR(__xludf.DUMMYFUNCTION("""COMPUTED_VALUE"""),"")</f>
        <v/>
      </c>
      <c r="K755" s="8"/>
      <c r="L755" s="8"/>
      <c r="M755" s="8" t="str">
        <f>IFERROR(__xludf.DUMMYFUNCTION("""COMPUTED_VALUE"""),"")</f>
        <v/>
      </c>
      <c r="N755" s="8" t="str">
        <f>IFERROR(__xludf.DUMMYFUNCTION("""COMPUTED_VALUE"""),"")</f>
        <v/>
      </c>
      <c r="O755" s="8"/>
      <c r="P755" s="8"/>
    </row>
    <row r="756">
      <c r="A756" s="8"/>
      <c r="B756" s="25"/>
      <c r="C756" s="385"/>
      <c r="D756" s="385"/>
      <c r="E756" s="392"/>
      <c r="F756" s="8"/>
      <c r="G756" s="8"/>
      <c r="H756" s="389"/>
      <c r="I756" s="8" t="b">
        <v>0</v>
      </c>
      <c r="J756" s="388" t="str">
        <f>IFERROR(__xludf.DUMMYFUNCTION("""COMPUTED_VALUE"""),"")</f>
        <v/>
      </c>
      <c r="K756" s="8"/>
      <c r="L756" s="8"/>
      <c r="M756" s="8" t="str">
        <f>IFERROR(__xludf.DUMMYFUNCTION("""COMPUTED_VALUE"""),"")</f>
        <v/>
      </c>
      <c r="N756" s="8" t="str">
        <f>IFERROR(__xludf.DUMMYFUNCTION("""COMPUTED_VALUE"""),"")</f>
        <v/>
      </c>
      <c r="O756" s="8"/>
      <c r="P756" s="8"/>
    </row>
    <row r="757">
      <c r="A757" s="8"/>
      <c r="B757" s="25"/>
      <c r="C757" s="385"/>
      <c r="D757" s="385"/>
      <c r="E757" s="392"/>
      <c r="F757" s="8"/>
      <c r="G757" s="8"/>
      <c r="H757" s="389"/>
      <c r="I757" s="8" t="b">
        <v>0</v>
      </c>
      <c r="J757" s="388" t="str">
        <f>IFERROR(__xludf.DUMMYFUNCTION("""COMPUTED_VALUE"""),"")</f>
        <v/>
      </c>
      <c r="K757" s="8"/>
      <c r="L757" s="8"/>
      <c r="M757" s="8" t="str">
        <f>IFERROR(__xludf.DUMMYFUNCTION("""COMPUTED_VALUE"""),"")</f>
        <v/>
      </c>
      <c r="N757" s="8" t="str">
        <f>IFERROR(__xludf.DUMMYFUNCTION("""COMPUTED_VALUE"""),"")</f>
        <v/>
      </c>
      <c r="O757" s="8"/>
      <c r="P757" s="8"/>
    </row>
    <row r="758">
      <c r="A758" s="8"/>
      <c r="B758" s="25"/>
      <c r="C758" s="385"/>
      <c r="D758" s="385"/>
      <c r="E758" s="392"/>
      <c r="F758" s="8"/>
      <c r="G758" s="8"/>
      <c r="H758" s="389"/>
      <c r="I758" s="8" t="b">
        <v>0</v>
      </c>
      <c r="J758" s="388" t="str">
        <f>IFERROR(__xludf.DUMMYFUNCTION("""COMPUTED_VALUE"""),"")</f>
        <v/>
      </c>
      <c r="K758" s="8"/>
      <c r="L758" s="8"/>
      <c r="M758" s="8" t="str">
        <f>IFERROR(__xludf.DUMMYFUNCTION("""COMPUTED_VALUE"""),"")</f>
        <v/>
      </c>
      <c r="N758" s="8" t="str">
        <f>IFERROR(__xludf.DUMMYFUNCTION("""COMPUTED_VALUE"""),"")</f>
        <v/>
      </c>
      <c r="O758" s="8"/>
      <c r="P758" s="8"/>
    </row>
    <row r="759">
      <c r="A759" s="8"/>
      <c r="B759" s="25"/>
      <c r="C759" s="385"/>
      <c r="D759" s="385"/>
      <c r="E759" s="392"/>
      <c r="F759" s="8"/>
      <c r="G759" s="8"/>
      <c r="H759" s="389"/>
      <c r="I759" s="8" t="b">
        <v>0</v>
      </c>
      <c r="J759" s="388" t="str">
        <f>IFERROR(__xludf.DUMMYFUNCTION("""COMPUTED_VALUE"""),"")</f>
        <v/>
      </c>
      <c r="K759" s="8"/>
      <c r="L759" s="8"/>
      <c r="M759" s="8" t="str">
        <f>IFERROR(__xludf.DUMMYFUNCTION("""COMPUTED_VALUE"""),"")</f>
        <v/>
      </c>
      <c r="N759" s="8" t="str">
        <f>IFERROR(__xludf.DUMMYFUNCTION("""COMPUTED_VALUE"""),"")</f>
        <v/>
      </c>
      <c r="O759" s="8"/>
      <c r="P759" s="8"/>
    </row>
    <row r="760">
      <c r="A760" s="8"/>
      <c r="B760" s="25"/>
      <c r="C760" s="385"/>
      <c r="D760" s="385"/>
      <c r="E760" s="392"/>
      <c r="F760" s="8"/>
      <c r="G760" s="8"/>
      <c r="H760" s="389"/>
      <c r="I760" s="8" t="b">
        <v>0</v>
      </c>
      <c r="J760" s="388" t="str">
        <f>IFERROR(__xludf.DUMMYFUNCTION("""COMPUTED_VALUE"""),"")</f>
        <v/>
      </c>
      <c r="K760" s="8"/>
      <c r="L760" s="8"/>
      <c r="M760" s="8" t="str">
        <f>IFERROR(__xludf.DUMMYFUNCTION("""COMPUTED_VALUE"""),"")</f>
        <v/>
      </c>
      <c r="N760" s="8" t="str">
        <f>IFERROR(__xludf.DUMMYFUNCTION("""COMPUTED_VALUE"""),"")</f>
        <v/>
      </c>
      <c r="O760" s="8"/>
      <c r="P760" s="8"/>
    </row>
    <row r="761">
      <c r="A761" s="8"/>
      <c r="B761" s="25"/>
      <c r="C761" s="385"/>
      <c r="D761" s="385"/>
      <c r="E761" s="392"/>
      <c r="F761" s="8"/>
      <c r="G761" s="8"/>
      <c r="H761" s="389"/>
      <c r="I761" s="8" t="b">
        <v>0</v>
      </c>
      <c r="J761" s="388" t="str">
        <f>IFERROR(__xludf.DUMMYFUNCTION("""COMPUTED_VALUE"""),"")</f>
        <v/>
      </c>
      <c r="K761" s="8"/>
      <c r="L761" s="8"/>
      <c r="M761" s="8" t="str">
        <f>IFERROR(__xludf.DUMMYFUNCTION("""COMPUTED_VALUE"""),"")</f>
        <v/>
      </c>
      <c r="N761" s="8" t="str">
        <f>IFERROR(__xludf.DUMMYFUNCTION("""COMPUTED_VALUE"""),"")</f>
        <v/>
      </c>
      <c r="O761" s="8"/>
      <c r="P761" s="8"/>
    </row>
    <row r="762">
      <c r="A762" s="8"/>
      <c r="B762" s="25"/>
      <c r="C762" s="385"/>
      <c r="D762" s="385"/>
      <c r="E762" s="392"/>
      <c r="F762" s="8"/>
      <c r="G762" s="8"/>
      <c r="H762" s="389"/>
      <c r="I762" s="8" t="b">
        <v>0</v>
      </c>
      <c r="J762" s="388" t="str">
        <f>IFERROR(__xludf.DUMMYFUNCTION("""COMPUTED_VALUE"""),"")</f>
        <v/>
      </c>
      <c r="K762" s="8"/>
      <c r="L762" s="8"/>
      <c r="M762" s="8" t="str">
        <f>IFERROR(__xludf.DUMMYFUNCTION("""COMPUTED_VALUE"""),"")</f>
        <v/>
      </c>
      <c r="N762" s="8" t="str">
        <f>IFERROR(__xludf.DUMMYFUNCTION("""COMPUTED_VALUE"""),"")</f>
        <v/>
      </c>
      <c r="O762" s="8"/>
      <c r="P762" s="8"/>
    </row>
    <row r="763">
      <c r="A763" s="8"/>
      <c r="B763" s="25"/>
      <c r="C763" s="385"/>
      <c r="D763" s="385"/>
      <c r="E763" s="392"/>
      <c r="F763" s="8"/>
      <c r="G763" s="8"/>
      <c r="H763" s="389"/>
      <c r="I763" s="8" t="b">
        <v>0</v>
      </c>
      <c r="J763" s="388" t="str">
        <f>IFERROR(__xludf.DUMMYFUNCTION("""COMPUTED_VALUE"""),"")</f>
        <v/>
      </c>
      <c r="K763" s="8"/>
      <c r="L763" s="8"/>
      <c r="M763" s="8" t="str">
        <f>IFERROR(__xludf.DUMMYFUNCTION("""COMPUTED_VALUE"""),"")</f>
        <v/>
      </c>
      <c r="N763" s="8" t="str">
        <f>IFERROR(__xludf.DUMMYFUNCTION("""COMPUTED_VALUE"""),"")</f>
        <v/>
      </c>
      <c r="O763" s="8"/>
      <c r="P763" s="8"/>
    </row>
    <row r="764">
      <c r="A764" s="8"/>
      <c r="B764" s="25"/>
      <c r="C764" s="385"/>
      <c r="D764" s="385"/>
      <c r="E764" s="392"/>
      <c r="F764" s="8"/>
      <c r="G764" s="8"/>
      <c r="H764" s="389"/>
      <c r="I764" s="8" t="b">
        <v>0</v>
      </c>
      <c r="J764" s="388" t="str">
        <f>IFERROR(__xludf.DUMMYFUNCTION("""COMPUTED_VALUE"""),"")</f>
        <v/>
      </c>
      <c r="K764" s="8"/>
      <c r="L764" s="8"/>
      <c r="M764" s="8" t="str">
        <f>IFERROR(__xludf.DUMMYFUNCTION("""COMPUTED_VALUE"""),"")</f>
        <v/>
      </c>
      <c r="N764" s="8" t="str">
        <f>IFERROR(__xludf.DUMMYFUNCTION("""COMPUTED_VALUE"""),"")</f>
        <v/>
      </c>
      <c r="O764" s="8"/>
      <c r="P764" s="8"/>
    </row>
    <row r="765">
      <c r="A765" s="8"/>
      <c r="B765" s="25"/>
      <c r="C765" s="385"/>
      <c r="D765" s="385"/>
      <c r="E765" s="392"/>
      <c r="F765" s="8"/>
      <c r="G765" s="8"/>
      <c r="H765" s="389"/>
      <c r="I765" s="8" t="b">
        <v>0</v>
      </c>
      <c r="J765" s="388" t="str">
        <f>IFERROR(__xludf.DUMMYFUNCTION("""COMPUTED_VALUE"""),"")</f>
        <v/>
      </c>
      <c r="K765" s="8"/>
      <c r="L765" s="8"/>
      <c r="M765" s="8" t="str">
        <f>IFERROR(__xludf.DUMMYFUNCTION("""COMPUTED_VALUE"""),"")</f>
        <v/>
      </c>
      <c r="N765" s="8" t="str">
        <f>IFERROR(__xludf.DUMMYFUNCTION("""COMPUTED_VALUE"""),"")</f>
        <v/>
      </c>
      <c r="O765" s="8"/>
      <c r="P765" s="8"/>
    </row>
    <row r="766">
      <c r="A766" s="8"/>
      <c r="B766" s="25"/>
      <c r="C766" s="385"/>
      <c r="D766" s="385"/>
      <c r="E766" s="392"/>
      <c r="F766" s="8"/>
      <c r="G766" s="8"/>
      <c r="H766" s="389"/>
      <c r="I766" s="8" t="b">
        <v>0</v>
      </c>
      <c r="J766" s="388" t="str">
        <f>IFERROR(__xludf.DUMMYFUNCTION("""COMPUTED_VALUE"""),"")</f>
        <v/>
      </c>
      <c r="K766" s="8"/>
      <c r="L766" s="8"/>
      <c r="M766" s="8" t="str">
        <f>IFERROR(__xludf.DUMMYFUNCTION("""COMPUTED_VALUE"""),"")</f>
        <v/>
      </c>
      <c r="N766" s="8" t="str">
        <f>IFERROR(__xludf.DUMMYFUNCTION("""COMPUTED_VALUE"""),"")</f>
        <v/>
      </c>
      <c r="O766" s="8"/>
      <c r="P766" s="8"/>
    </row>
    <row r="767">
      <c r="A767" s="8"/>
      <c r="B767" s="25"/>
      <c r="C767" s="385"/>
      <c r="D767" s="385"/>
      <c r="E767" s="392"/>
      <c r="F767" s="8"/>
      <c r="G767" s="8"/>
      <c r="H767" s="389"/>
      <c r="I767" s="8" t="b">
        <v>0</v>
      </c>
      <c r="J767" s="388" t="str">
        <f>IFERROR(__xludf.DUMMYFUNCTION("""COMPUTED_VALUE"""),"")</f>
        <v/>
      </c>
      <c r="K767" s="8"/>
      <c r="L767" s="8"/>
      <c r="M767" s="8" t="str">
        <f>IFERROR(__xludf.DUMMYFUNCTION("""COMPUTED_VALUE"""),"")</f>
        <v/>
      </c>
      <c r="N767" s="8" t="str">
        <f>IFERROR(__xludf.DUMMYFUNCTION("""COMPUTED_VALUE"""),"")</f>
        <v/>
      </c>
      <c r="O767" s="8"/>
      <c r="P767" s="8"/>
    </row>
    <row r="768">
      <c r="A768" s="8"/>
      <c r="B768" s="25"/>
      <c r="C768" s="385"/>
      <c r="D768" s="385"/>
      <c r="E768" s="392"/>
      <c r="F768" s="8"/>
      <c r="G768" s="8"/>
      <c r="H768" s="389"/>
      <c r="I768" s="8" t="b">
        <v>0</v>
      </c>
      <c r="J768" s="388" t="str">
        <f>IFERROR(__xludf.DUMMYFUNCTION("""COMPUTED_VALUE"""),"")</f>
        <v/>
      </c>
      <c r="K768" s="8"/>
      <c r="L768" s="8"/>
      <c r="M768" s="8" t="str">
        <f>IFERROR(__xludf.DUMMYFUNCTION("""COMPUTED_VALUE"""),"")</f>
        <v/>
      </c>
      <c r="N768" s="8" t="str">
        <f>IFERROR(__xludf.DUMMYFUNCTION("""COMPUTED_VALUE"""),"")</f>
        <v/>
      </c>
      <c r="O768" s="8"/>
      <c r="P768" s="8"/>
    </row>
    <row r="769">
      <c r="A769" s="8"/>
      <c r="B769" s="25"/>
      <c r="C769" s="385"/>
      <c r="D769" s="385"/>
      <c r="E769" s="392"/>
      <c r="F769" s="8"/>
      <c r="G769" s="8"/>
      <c r="H769" s="389"/>
      <c r="I769" s="8" t="b">
        <v>0</v>
      </c>
      <c r="J769" s="388" t="str">
        <f>IFERROR(__xludf.DUMMYFUNCTION("""COMPUTED_VALUE"""),"")</f>
        <v/>
      </c>
      <c r="K769" s="8"/>
      <c r="L769" s="8"/>
      <c r="M769" s="8" t="str">
        <f>IFERROR(__xludf.DUMMYFUNCTION("""COMPUTED_VALUE"""),"")</f>
        <v/>
      </c>
      <c r="N769" s="8" t="str">
        <f>IFERROR(__xludf.DUMMYFUNCTION("""COMPUTED_VALUE"""),"")</f>
        <v/>
      </c>
      <c r="O769" s="8"/>
      <c r="P769" s="8"/>
    </row>
    <row r="770">
      <c r="A770" s="8"/>
      <c r="B770" s="25"/>
      <c r="C770" s="385"/>
      <c r="D770" s="385"/>
      <c r="E770" s="392"/>
      <c r="F770" s="8"/>
      <c r="G770" s="8"/>
      <c r="H770" s="389"/>
      <c r="I770" s="8" t="b">
        <v>0</v>
      </c>
      <c r="J770" s="388" t="str">
        <f>IFERROR(__xludf.DUMMYFUNCTION("""COMPUTED_VALUE"""),"")</f>
        <v/>
      </c>
      <c r="K770" s="8"/>
      <c r="L770" s="8"/>
      <c r="M770" s="8" t="str">
        <f>IFERROR(__xludf.DUMMYFUNCTION("""COMPUTED_VALUE"""),"")</f>
        <v/>
      </c>
      <c r="N770" s="8" t="str">
        <f>IFERROR(__xludf.DUMMYFUNCTION("""COMPUTED_VALUE"""),"")</f>
        <v/>
      </c>
      <c r="O770" s="8"/>
      <c r="P770" s="8"/>
    </row>
    <row r="771">
      <c r="A771" s="8"/>
      <c r="B771" s="25"/>
      <c r="C771" s="385"/>
      <c r="D771" s="385"/>
      <c r="E771" s="392"/>
      <c r="F771" s="8"/>
      <c r="G771" s="8"/>
      <c r="H771" s="389"/>
      <c r="I771" s="8" t="b">
        <v>0</v>
      </c>
      <c r="J771" s="388" t="str">
        <f>IFERROR(__xludf.DUMMYFUNCTION("""COMPUTED_VALUE"""),"")</f>
        <v/>
      </c>
      <c r="K771" s="8"/>
      <c r="L771" s="8"/>
      <c r="M771" s="8" t="str">
        <f>IFERROR(__xludf.DUMMYFUNCTION("""COMPUTED_VALUE"""),"")</f>
        <v/>
      </c>
      <c r="N771" s="8" t="str">
        <f>IFERROR(__xludf.DUMMYFUNCTION("""COMPUTED_VALUE"""),"")</f>
        <v/>
      </c>
      <c r="O771" s="8"/>
      <c r="P771" s="8"/>
    </row>
    <row r="772">
      <c r="A772" s="8"/>
      <c r="B772" s="25"/>
      <c r="C772" s="385"/>
      <c r="D772" s="385"/>
      <c r="E772" s="392"/>
      <c r="F772" s="8"/>
      <c r="G772" s="8"/>
      <c r="H772" s="389"/>
      <c r="I772" s="8" t="b">
        <v>0</v>
      </c>
      <c r="J772" s="388" t="str">
        <f>IFERROR(__xludf.DUMMYFUNCTION("""COMPUTED_VALUE"""),"")</f>
        <v/>
      </c>
      <c r="K772" s="8"/>
      <c r="L772" s="8"/>
      <c r="M772" s="8" t="str">
        <f>IFERROR(__xludf.DUMMYFUNCTION("""COMPUTED_VALUE"""),"")</f>
        <v/>
      </c>
      <c r="N772" s="8" t="str">
        <f>IFERROR(__xludf.DUMMYFUNCTION("""COMPUTED_VALUE"""),"")</f>
        <v/>
      </c>
      <c r="O772" s="8"/>
      <c r="P772" s="8"/>
    </row>
    <row r="773">
      <c r="A773" s="8"/>
      <c r="B773" s="25"/>
      <c r="C773" s="385"/>
      <c r="D773" s="385"/>
      <c r="E773" s="392"/>
      <c r="F773" s="8"/>
      <c r="G773" s="8"/>
      <c r="H773" s="389"/>
      <c r="I773" s="8" t="b">
        <v>0</v>
      </c>
      <c r="J773" s="388" t="str">
        <f>IFERROR(__xludf.DUMMYFUNCTION("""COMPUTED_VALUE"""),"")</f>
        <v/>
      </c>
      <c r="K773" s="8"/>
      <c r="L773" s="8"/>
      <c r="M773" s="8" t="str">
        <f>IFERROR(__xludf.DUMMYFUNCTION("""COMPUTED_VALUE"""),"")</f>
        <v/>
      </c>
      <c r="N773" s="8" t="str">
        <f>IFERROR(__xludf.DUMMYFUNCTION("""COMPUTED_VALUE"""),"")</f>
        <v/>
      </c>
      <c r="O773" s="8"/>
      <c r="P773" s="8"/>
    </row>
    <row r="774">
      <c r="A774" s="8"/>
      <c r="B774" s="25"/>
      <c r="C774" s="385"/>
      <c r="D774" s="385"/>
      <c r="E774" s="392"/>
      <c r="F774" s="8"/>
      <c r="G774" s="8"/>
      <c r="H774" s="389"/>
      <c r="I774" s="8" t="b">
        <v>0</v>
      </c>
      <c r="J774" s="388" t="str">
        <f>IFERROR(__xludf.DUMMYFUNCTION("""COMPUTED_VALUE"""),"")</f>
        <v/>
      </c>
      <c r="K774" s="8"/>
      <c r="L774" s="8"/>
      <c r="M774" s="8" t="str">
        <f>IFERROR(__xludf.DUMMYFUNCTION("""COMPUTED_VALUE"""),"")</f>
        <v/>
      </c>
      <c r="N774" s="8" t="str">
        <f>IFERROR(__xludf.DUMMYFUNCTION("""COMPUTED_VALUE"""),"")</f>
        <v/>
      </c>
      <c r="O774" s="8"/>
      <c r="P774" s="8"/>
    </row>
    <row r="775">
      <c r="A775" s="8"/>
      <c r="B775" s="25"/>
      <c r="C775" s="385"/>
      <c r="D775" s="385"/>
      <c r="E775" s="392"/>
      <c r="F775" s="8"/>
      <c r="G775" s="8"/>
      <c r="H775" s="389"/>
      <c r="I775" s="8" t="b">
        <v>0</v>
      </c>
      <c r="J775" s="388" t="str">
        <f>IFERROR(__xludf.DUMMYFUNCTION("""COMPUTED_VALUE"""),"")</f>
        <v/>
      </c>
      <c r="K775" s="8"/>
      <c r="L775" s="8"/>
      <c r="M775" s="8" t="str">
        <f>IFERROR(__xludf.DUMMYFUNCTION("""COMPUTED_VALUE"""),"")</f>
        <v/>
      </c>
      <c r="N775" s="8" t="str">
        <f>IFERROR(__xludf.DUMMYFUNCTION("""COMPUTED_VALUE"""),"")</f>
        <v/>
      </c>
      <c r="O775" s="8"/>
      <c r="P775" s="8"/>
    </row>
    <row r="776">
      <c r="A776" s="8"/>
      <c r="B776" s="25"/>
      <c r="C776" s="385"/>
      <c r="D776" s="385"/>
      <c r="E776" s="392"/>
      <c r="F776" s="8"/>
      <c r="G776" s="8"/>
      <c r="H776" s="389"/>
      <c r="I776" s="8" t="b">
        <v>0</v>
      </c>
      <c r="J776" s="388" t="str">
        <f>IFERROR(__xludf.DUMMYFUNCTION("""COMPUTED_VALUE"""),"")</f>
        <v/>
      </c>
      <c r="K776" s="8"/>
      <c r="L776" s="8"/>
      <c r="M776" s="8" t="str">
        <f>IFERROR(__xludf.DUMMYFUNCTION("""COMPUTED_VALUE"""),"")</f>
        <v/>
      </c>
      <c r="N776" s="8" t="str">
        <f>IFERROR(__xludf.DUMMYFUNCTION("""COMPUTED_VALUE"""),"")</f>
        <v/>
      </c>
      <c r="O776" s="8"/>
      <c r="P776" s="8"/>
    </row>
    <row r="777">
      <c r="A777" s="8"/>
      <c r="B777" s="25"/>
      <c r="C777" s="385"/>
      <c r="D777" s="385"/>
      <c r="E777" s="392"/>
      <c r="F777" s="8"/>
      <c r="G777" s="8"/>
      <c r="H777" s="389"/>
      <c r="I777" s="8" t="b">
        <v>0</v>
      </c>
      <c r="J777" s="388" t="str">
        <f>IFERROR(__xludf.DUMMYFUNCTION("""COMPUTED_VALUE"""),"")</f>
        <v/>
      </c>
      <c r="K777" s="8"/>
      <c r="L777" s="8"/>
      <c r="M777" s="8" t="str">
        <f>IFERROR(__xludf.DUMMYFUNCTION("""COMPUTED_VALUE"""),"")</f>
        <v/>
      </c>
      <c r="N777" s="8" t="str">
        <f>IFERROR(__xludf.DUMMYFUNCTION("""COMPUTED_VALUE"""),"")</f>
        <v/>
      </c>
      <c r="O777" s="8"/>
      <c r="P777" s="8"/>
    </row>
    <row r="778">
      <c r="A778" s="8"/>
      <c r="B778" s="25"/>
      <c r="C778" s="385"/>
      <c r="D778" s="385"/>
      <c r="E778" s="392"/>
      <c r="F778" s="8"/>
      <c r="G778" s="8"/>
      <c r="H778" s="389"/>
      <c r="I778" s="8" t="b">
        <v>0</v>
      </c>
      <c r="J778" s="388" t="str">
        <f>IFERROR(__xludf.DUMMYFUNCTION("""COMPUTED_VALUE"""),"")</f>
        <v/>
      </c>
      <c r="K778" s="8"/>
      <c r="L778" s="8"/>
      <c r="M778" s="8" t="str">
        <f>IFERROR(__xludf.DUMMYFUNCTION("""COMPUTED_VALUE"""),"")</f>
        <v/>
      </c>
      <c r="N778" s="8" t="str">
        <f>IFERROR(__xludf.DUMMYFUNCTION("""COMPUTED_VALUE"""),"")</f>
        <v/>
      </c>
      <c r="O778" s="8"/>
      <c r="P778" s="8"/>
    </row>
    <row r="779">
      <c r="A779" s="8"/>
      <c r="B779" s="25"/>
      <c r="C779" s="385"/>
      <c r="D779" s="385"/>
      <c r="E779" s="392"/>
      <c r="F779" s="8"/>
      <c r="G779" s="8"/>
      <c r="H779" s="389"/>
      <c r="I779" s="8" t="b">
        <v>0</v>
      </c>
      <c r="J779" s="388" t="str">
        <f>IFERROR(__xludf.DUMMYFUNCTION("""COMPUTED_VALUE"""),"")</f>
        <v/>
      </c>
      <c r="K779" s="8"/>
      <c r="L779" s="8"/>
      <c r="M779" s="8" t="str">
        <f>IFERROR(__xludf.DUMMYFUNCTION("""COMPUTED_VALUE"""),"")</f>
        <v/>
      </c>
      <c r="N779" s="8" t="str">
        <f>IFERROR(__xludf.DUMMYFUNCTION("""COMPUTED_VALUE"""),"")</f>
        <v/>
      </c>
      <c r="O779" s="8"/>
      <c r="P779" s="8"/>
    </row>
    <row r="780">
      <c r="A780" s="8"/>
      <c r="B780" s="25"/>
      <c r="C780" s="385"/>
      <c r="D780" s="385"/>
      <c r="E780" s="392"/>
      <c r="F780" s="8"/>
      <c r="G780" s="8"/>
      <c r="H780" s="389"/>
      <c r="I780" s="8" t="b">
        <v>0</v>
      </c>
      <c r="J780" s="388" t="str">
        <f>IFERROR(__xludf.DUMMYFUNCTION("""COMPUTED_VALUE"""),"")</f>
        <v/>
      </c>
      <c r="K780" s="8"/>
      <c r="L780" s="8"/>
      <c r="M780" s="8" t="str">
        <f>IFERROR(__xludf.DUMMYFUNCTION("""COMPUTED_VALUE"""),"")</f>
        <v/>
      </c>
      <c r="N780" s="8" t="str">
        <f>IFERROR(__xludf.DUMMYFUNCTION("""COMPUTED_VALUE"""),"")</f>
        <v/>
      </c>
      <c r="O780" s="8"/>
      <c r="P780" s="8"/>
    </row>
    <row r="781">
      <c r="A781" s="8"/>
      <c r="B781" s="25"/>
      <c r="C781" s="385"/>
      <c r="D781" s="385"/>
      <c r="E781" s="392"/>
      <c r="F781" s="8"/>
      <c r="G781" s="8"/>
      <c r="H781" s="389"/>
      <c r="I781" s="8" t="b">
        <v>0</v>
      </c>
      <c r="J781" s="388" t="str">
        <f>IFERROR(__xludf.DUMMYFUNCTION("""COMPUTED_VALUE"""),"")</f>
        <v/>
      </c>
      <c r="K781" s="8"/>
      <c r="L781" s="8"/>
      <c r="M781" s="8" t="str">
        <f>IFERROR(__xludf.DUMMYFUNCTION("""COMPUTED_VALUE"""),"")</f>
        <v/>
      </c>
      <c r="N781" s="8" t="str">
        <f>IFERROR(__xludf.DUMMYFUNCTION("""COMPUTED_VALUE"""),"")</f>
        <v/>
      </c>
      <c r="O781" s="8"/>
      <c r="P781" s="8"/>
    </row>
    <row r="782">
      <c r="A782" s="8"/>
      <c r="B782" s="25"/>
      <c r="C782" s="385"/>
      <c r="D782" s="385"/>
      <c r="E782" s="392"/>
      <c r="F782" s="8"/>
      <c r="G782" s="8"/>
      <c r="H782" s="389"/>
      <c r="I782" s="8" t="b">
        <v>0</v>
      </c>
      <c r="J782" s="388" t="str">
        <f>IFERROR(__xludf.DUMMYFUNCTION("""COMPUTED_VALUE"""),"")</f>
        <v/>
      </c>
      <c r="K782" s="8"/>
      <c r="L782" s="8"/>
      <c r="M782" s="8" t="str">
        <f>IFERROR(__xludf.DUMMYFUNCTION("""COMPUTED_VALUE"""),"")</f>
        <v/>
      </c>
      <c r="N782" s="8" t="str">
        <f>IFERROR(__xludf.DUMMYFUNCTION("""COMPUTED_VALUE"""),"")</f>
        <v/>
      </c>
      <c r="O782" s="8"/>
      <c r="P782" s="8"/>
    </row>
    <row r="783">
      <c r="A783" s="8"/>
      <c r="B783" s="25"/>
      <c r="C783" s="385"/>
      <c r="D783" s="385"/>
      <c r="E783" s="392"/>
      <c r="F783" s="8"/>
      <c r="G783" s="8"/>
      <c r="H783" s="389"/>
      <c r="I783" s="8" t="b">
        <v>0</v>
      </c>
      <c r="J783" s="388" t="str">
        <f>IFERROR(__xludf.DUMMYFUNCTION("""COMPUTED_VALUE"""),"")</f>
        <v/>
      </c>
      <c r="K783" s="8"/>
      <c r="L783" s="8"/>
      <c r="M783" s="8" t="str">
        <f>IFERROR(__xludf.DUMMYFUNCTION("""COMPUTED_VALUE"""),"")</f>
        <v/>
      </c>
      <c r="N783" s="8" t="str">
        <f>IFERROR(__xludf.DUMMYFUNCTION("""COMPUTED_VALUE"""),"")</f>
        <v/>
      </c>
      <c r="O783" s="8"/>
      <c r="P783" s="8"/>
    </row>
    <row r="784">
      <c r="A784" s="8"/>
      <c r="B784" s="25"/>
      <c r="C784" s="385"/>
      <c r="D784" s="385"/>
      <c r="E784" s="392"/>
      <c r="F784" s="8"/>
      <c r="G784" s="8"/>
      <c r="H784" s="389"/>
      <c r="I784" s="8" t="b">
        <v>0</v>
      </c>
      <c r="J784" s="388" t="str">
        <f>IFERROR(__xludf.DUMMYFUNCTION("""COMPUTED_VALUE"""),"")</f>
        <v/>
      </c>
      <c r="K784" s="8"/>
      <c r="L784" s="8"/>
      <c r="M784" s="8" t="str">
        <f>IFERROR(__xludf.DUMMYFUNCTION("""COMPUTED_VALUE"""),"")</f>
        <v/>
      </c>
      <c r="N784" s="8" t="str">
        <f>IFERROR(__xludf.DUMMYFUNCTION("""COMPUTED_VALUE"""),"")</f>
        <v/>
      </c>
      <c r="O784" s="8"/>
      <c r="P784" s="8"/>
    </row>
    <row r="785">
      <c r="A785" s="8"/>
      <c r="B785" s="25"/>
      <c r="C785" s="385"/>
      <c r="D785" s="385"/>
      <c r="E785" s="392"/>
      <c r="F785" s="8"/>
      <c r="G785" s="8"/>
      <c r="H785" s="389"/>
      <c r="I785" s="8" t="b">
        <v>0</v>
      </c>
      <c r="J785" s="388" t="str">
        <f>IFERROR(__xludf.DUMMYFUNCTION("""COMPUTED_VALUE"""),"")</f>
        <v/>
      </c>
      <c r="K785" s="8"/>
      <c r="L785" s="8"/>
      <c r="M785" s="8" t="str">
        <f>IFERROR(__xludf.DUMMYFUNCTION("""COMPUTED_VALUE"""),"")</f>
        <v/>
      </c>
      <c r="N785" s="8" t="str">
        <f>IFERROR(__xludf.DUMMYFUNCTION("""COMPUTED_VALUE"""),"")</f>
        <v/>
      </c>
      <c r="O785" s="8"/>
      <c r="P785" s="8"/>
    </row>
    <row r="786">
      <c r="A786" s="8"/>
      <c r="B786" s="25"/>
      <c r="C786" s="385"/>
      <c r="D786" s="385"/>
      <c r="E786" s="392"/>
      <c r="F786" s="8"/>
      <c r="G786" s="8"/>
      <c r="H786" s="389"/>
      <c r="I786" s="8" t="b">
        <v>0</v>
      </c>
      <c r="J786" s="388" t="str">
        <f>IFERROR(__xludf.DUMMYFUNCTION("""COMPUTED_VALUE"""),"")</f>
        <v/>
      </c>
      <c r="K786" s="8"/>
      <c r="L786" s="8"/>
      <c r="M786" s="8" t="str">
        <f>IFERROR(__xludf.DUMMYFUNCTION("""COMPUTED_VALUE"""),"")</f>
        <v/>
      </c>
      <c r="N786" s="8" t="str">
        <f>IFERROR(__xludf.DUMMYFUNCTION("""COMPUTED_VALUE"""),"")</f>
        <v/>
      </c>
      <c r="O786" s="8"/>
      <c r="P786" s="8"/>
    </row>
    <row r="787">
      <c r="A787" s="8"/>
      <c r="B787" s="25"/>
      <c r="C787" s="385"/>
      <c r="D787" s="385"/>
      <c r="E787" s="392"/>
      <c r="F787" s="8"/>
      <c r="G787" s="8"/>
      <c r="H787" s="389"/>
      <c r="I787" s="8" t="b">
        <v>0</v>
      </c>
      <c r="J787" s="388" t="str">
        <f>IFERROR(__xludf.DUMMYFUNCTION("""COMPUTED_VALUE"""),"")</f>
        <v/>
      </c>
      <c r="K787" s="8"/>
      <c r="L787" s="8"/>
      <c r="M787" s="8" t="str">
        <f>IFERROR(__xludf.DUMMYFUNCTION("""COMPUTED_VALUE"""),"")</f>
        <v/>
      </c>
      <c r="N787" s="8" t="str">
        <f>IFERROR(__xludf.DUMMYFUNCTION("""COMPUTED_VALUE"""),"")</f>
        <v/>
      </c>
      <c r="O787" s="8"/>
      <c r="P787" s="8"/>
    </row>
    <row r="788">
      <c r="A788" s="8"/>
      <c r="B788" s="25"/>
      <c r="C788" s="385"/>
      <c r="D788" s="385"/>
      <c r="E788" s="392"/>
      <c r="F788" s="8"/>
      <c r="G788" s="8"/>
      <c r="H788" s="389"/>
      <c r="I788" s="8" t="b">
        <v>0</v>
      </c>
      <c r="J788" s="388" t="str">
        <f>IFERROR(__xludf.DUMMYFUNCTION("""COMPUTED_VALUE"""),"")</f>
        <v/>
      </c>
      <c r="K788" s="8"/>
      <c r="L788" s="8"/>
      <c r="M788" s="8" t="str">
        <f>IFERROR(__xludf.DUMMYFUNCTION("""COMPUTED_VALUE"""),"")</f>
        <v/>
      </c>
      <c r="N788" s="8" t="str">
        <f>IFERROR(__xludf.DUMMYFUNCTION("""COMPUTED_VALUE"""),"")</f>
        <v/>
      </c>
      <c r="O788" s="8"/>
      <c r="P788" s="8"/>
    </row>
    <row r="789">
      <c r="A789" s="8"/>
      <c r="B789" s="25"/>
      <c r="C789" s="385"/>
      <c r="D789" s="385"/>
      <c r="E789" s="392"/>
      <c r="F789" s="8"/>
      <c r="G789" s="8"/>
      <c r="H789" s="389"/>
      <c r="I789" s="8" t="b">
        <v>0</v>
      </c>
      <c r="J789" s="388" t="str">
        <f>IFERROR(__xludf.DUMMYFUNCTION("""COMPUTED_VALUE"""),"")</f>
        <v/>
      </c>
      <c r="K789" s="8"/>
      <c r="L789" s="8"/>
      <c r="M789" s="8" t="str">
        <f>IFERROR(__xludf.DUMMYFUNCTION("""COMPUTED_VALUE"""),"")</f>
        <v/>
      </c>
      <c r="N789" s="8" t="str">
        <f>IFERROR(__xludf.DUMMYFUNCTION("""COMPUTED_VALUE"""),"")</f>
        <v/>
      </c>
      <c r="O789" s="8"/>
      <c r="P789" s="8"/>
    </row>
    <row r="790">
      <c r="A790" s="8"/>
      <c r="B790" s="25"/>
      <c r="C790" s="385"/>
      <c r="D790" s="385"/>
      <c r="E790" s="392"/>
      <c r="F790" s="8"/>
      <c r="G790" s="8"/>
      <c r="H790" s="389"/>
      <c r="I790" s="8" t="b">
        <v>0</v>
      </c>
      <c r="J790" s="388" t="str">
        <f>IFERROR(__xludf.DUMMYFUNCTION("""COMPUTED_VALUE"""),"")</f>
        <v/>
      </c>
      <c r="K790" s="8"/>
      <c r="L790" s="8"/>
      <c r="M790" s="8" t="str">
        <f>IFERROR(__xludf.DUMMYFUNCTION("""COMPUTED_VALUE"""),"")</f>
        <v/>
      </c>
      <c r="N790" s="8" t="str">
        <f>IFERROR(__xludf.DUMMYFUNCTION("""COMPUTED_VALUE"""),"")</f>
        <v/>
      </c>
      <c r="O790" s="8"/>
      <c r="P790" s="8"/>
    </row>
    <row r="791">
      <c r="A791" s="8"/>
      <c r="B791" s="25"/>
      <c r="C791" s="385"/>
      <c r="D791" s="385"/>
      <c r="E791" s="392"/>
      <c r="F791" s="8"/>
      <c r="G791" s="8"/>
      <c r="H791" s="389"/>
      <c r="I791" s="8" t="b">
        <v>0</v>
      </c>
      <c r="J791" s="388" t="str">
        <f>IFERROR(__xludf.DUMMYFUNCTION("""COMPUTED_VALUE"""),"")</f>
        <v/>
      </c>
      <c r="K791" s="8"/>
      <c r="L791" s="8"/>
      <c r="M791" s="8" t="str">
        <f>IFERROR(__xludf.DUMMYFUNCTION("""COMPUTED_VALUE"""),"")</f>
        <v/>
      </c>
      <c r="N791" s="8" t="str">
        <f>IFERROR(__xludf.DUMMYFUNCTION("""COMPUTED_VALUE"""),"")</f>
        <v/>
      </c>
      <c r="O791" s="8"/>
      <c r="P791" s="8"/>
    </row>
    <row r="792">
      <c r="A792" s="8"/>
      <c r="B792" s="25"/>
      <c r="C792" s="385"/>
      <c r="D792" s="385"/>
      <c r="E792" s="392"/>
      <c r="F792" s="8"/>
      <c r="G792" s="8"/>
      <c r="H792" s="389"/>
      <c r="I792" s="8" t="b">
        <v>0</v>
      </c>
      <c r="J792" s="388" t="str">
        <f>IFERROR(__xludf.DUMMYFUNCTION("""COMPUTED_VALUE"""),"")</f>
        <v/>
      </c>
      <c r="K792" s="8"/>
      <c r="L792" s="8"/>
      <c r="M792" s="8" t="str">
        <f>IFERROR(__xludf.DUMMYFUNCTION("""COMPUTED_VALUE"""),"")</f>
        <v/>
      </c>
      <c r="N792" s="8" t="str">
        <f>IFERROR(__xludf.DUMMYFUNCTION("""COMPUTED_VALUE"""),"")</f>
        <v/>
      </c>
      <c r="O792" s="8"/>
      <c r="P792" s="8"/>
    </row>
    <row r="793">
      <c r="A793" s="8"/>
      <c r="B793" s="25"/>
      <c r="C793" s="385"/>
      <c r="D793" s="385"/>
      <c r="E793" s="392"/>
      <c r="F793" s="8"/>
      <c r="G793" s="8"/>
      <c r="H793" s="389"/>
      <c r="I793" s="8" t="b">
        <v>0</v>
      </c>
      <c r="J793" s="388" t="str">
        <f>IFERROR(__xludf.DUMMYFUNCTION("""COMPUTED_VALUE"""),"")</f>
        <v/>
      </c>
      <c r="K793" s="8"/>
      <c r="L793" s="8"/>
      <c r="M793" s="8" t="str">
        <f>IFERROR(__xludf.DUMMYFUNCTION("""COMPUTED_VALUE"""),"")</f>
        <v/>
      </c>
      <c r="N793" s="8" t="str">
        <f>IFERROR(__xludf.DUMMYFUNCTION("""COMPUTED_VALUE"""),"")</f>
        <v/>
      </c>
      <c r="O793" s="8"/>
      <c r="P793" s="8"/>
    </row>
    <row r="794">
      <c r="A794" s="8"/>
      <c r="B794" s="25"/>
      <c r="C794" s="385"/>
      <c r="D794" s="385"/>
      <c r="E794" s="392"/>
      <c r="F794" s="8"/>
      <c r="G794" s="8"/>
      <c r="H794" s="389"/>
      <c r="I794" s="8" t="b">
        <v>0</v>
      </c>
      <c r="J794" s="388" t="str">
        <f>IFERROR(__xludf.DUMMYFUNCTION("""COMPUTED_VALUE"""),"")</f>
        <v/>
      </c>
      <c r="K794" s="8"/>
      <c r="L794" s="8"/>
      <c r="M794" s="8" t="str">
        <f>IFERROR(__xludf.DUMMYFUNCTION("""COMPUTED_VALUE"""),"")</f>
        <v/>
      </c>
      <c r="N794" s="8" t="str">
        <f>IFERROR(__xludf.DUMMYFUNCTION("""COMPUTED_VALUE"""),"")</f>
        <v/>
      </c>
      <c r="O794" s="8"/>
      <c r="P794" s="8"/>
    </row>
    <row r="795">
      <c r="A795" s="8"/>
      <c r="B795" s="25"/>
      <c r="C795" s="385"/>
      <c r="D795" s="385"/>
      <c r="E795" s="392"/>
      <c r="F795" s="8"/>
      <c r="G795" s="8"/>
      <c r="H795" s="389"/>
      <c r="I795" s="8" t="b">
        <v>0</v>
      </c>
      <c r="J795" s="388" t="str">
        <f>IFERROR(__xludf.DUMMYFUNCTION("""COMPUTED_VALUE"""),"")</f>
        <v/>
      </c>
      <c r="K795" s="8"/>
      <c r="L795" s="8"/>
      <c r="M795" s="8" t="str">
        <f>IFERROR(__xludf.DUMMYFUNCTION("""COMPUTED_VALUE"""),"")</f>
        <v/>
      </c>
      <c r="N795" s="8" t="str">
        <f>IFERROR(__xludf.DUMMYFUNCTION("""COMPUTED_VALUE"""),"")</f>
        <v/>
      </c>
      <c r="O795" s="8"/>
      <c r="P795" s="8"/>
    </row>
    <row r="796">
      <c r="A796" s="8"/>
      <c r="B796" s="25"/>
      <c r="C796" s="385"/>
      <c r="D796" s="385"/>
      <c r="E796" s="392"/>
      <c r="F796" s="8"/>
      <c r="G796" s="8"/>
      <c r="H796" s="389"/>
      <c r="I796" s="8" t="b">
        <v>0</v>
      </c>
      <c r="J796" s="388" t="str">
        <f>IFERROR(__xludf.DUMMYFUNCTION("""COMPUTED_VALUE"""),"")</f>
        <v/>
      </c>
      <c r="K796" s="8"/>
      <c r="L796" s="8"/>
      <c r="M796" s="8" t="str">
        <f>IFERROR(__xludf.DUMMYFUNCTION("""COMPUTED_VALUE"""),"")</f>
        <v/>
      </c>
      <c r="N796" s="8" t="str">
        <f>IFERROR(__xludf.DUMMYFUNCTION("""COMPUTED_VALUE"""),"")</f>
        <v/>
      </c>
      <c r="O796" s="8"/>
      <c r="P796" s="8"/>
    </row>
    <row r="797">
      <c r="A797" s="8"/>
      <c r="B797" s="25"/>
      <c r="C797" s="385"/>
      <c r="D797" s="385"/>
      <c r="E797" s="392"/>
      <c r="F797" s="8"/>
      <c r="G797" s="8"/>
      <c r="H797" s="389"/>
      <c r="I797" s="8" t="b">
        <v>0</v>
      </c>
      <c r="J797" s="388" t="str">
        <f>IFERROR(__xludf.DUMMYFUNCTION("""COMPUTED_VALUE"""),"")</f>
        <v/>
      </c>
      <c r="K797" s="8"/>
      <c r="L797" s="8"/>
      <c r="M797" s="8" t="str">
        <f>IFERROR(__xludf.DUMMYFUNCTION("""COMPUTED_VALUE"""),"")</f>
        <v/>
      </c>
      <c r="N797" s="8" t="str">
        <f>IFERROR(__xludf.DUMMYFUNCTION("""COMPUTED_VALUE"""),"")</f>
        <v/>
      </c>
      <c r="O797" s="8"/>
      <c r="P797" s="8"/>
    </row>
    <row r="798">
      <c r="A798" s="8"/>
      <c r="B798" s="25"/>
      <c r="C798" s="385"/>
      <c r="D798" s="385"/>
      <c r="E798" s="392"/>
      <c r="F798" s="8"/>
      <c r="G798" s="8"/>
      <c r="H798" s="389"/>
      <c r="I798" s="8" t="b">
        <v>0</v>
      </c>
      <c r="J798" s="388" t="str">
        <f>IFERROR(__xludf.DUMMYFUNCTION("""COMPUTED_VALUE"""),"")</f>
        <v/>
      </c>
      <c r="K798" s="8"/>
      <c r="L798" s="8"/>
      <c r="M798" s="8" t="str">
        <f>IFERROR(__xludf.DUMMYFUNCTION("""COMPUTED_VALUE"""),"")</f>
        <v/>
      </c>
      <c r="N798" s="8" t="str">
        <f>IFERROR(__xludf.DUMMYFUNCTION("""COMPUTED_VALUE"""),"")</f>
        <v/>
      </c>
      <c r="O798" s="8"/>
      <c r="P798" s="8"/>
    </row>
    <row r="799">
      <c r="A799" s="8"/>
      <c r="B799" s="25"/>
      <c r="C799" s="385"/>
      <c r="D799" s="385"/>
      <c r="E799" s="392"/>
      <c r="F799" s="8"/>
      <c r="G799" s="8"/>
      <c r="H799" s="389"/>
      <c r="I799" s="8" t="b">
        <v>0</v>
      </c>
      <c r="J799" s="388" t="str">
        <f>IFERROR(__xludf.DUMMYFUNCTION("""COMPUTED_VALUE"""),"")</f>
        <v/>
      </c>
      <c r="K799" s="8"/>
      <c r="L799" s="8"/>
      <c r="M799" s="8" t="str">
        <f>IFERROR(__xludf.DUMMYFUNCTION("""COMPUTED_VALUE"""),"")</f>
        <v/>
      </c>
      <c r="N799" s="8" t="str">
        <f>IFERROR(__xludf.DUMMYFUNCTION("""COMPUTED_VALUE"""),"")</f>
        <v/>
      </c>
      <c r="O799" s="8"/>
      <c r="P799" s="8"/>
    </row>
    <row r="800">
      <c r="A800" s="8"/>
      <c r="B800" s="25"/>
      <c r="C800" s="385"/>
      <c r="D800" s="385"/>
      <c r="E800" s="392"/>
      <c r="F800" s="8"/>
      <c r="G800" s="8"/>
      <c r="H800" s="389"/>
      <c r="I800" s="8" t="b">
        <v>0</v>
      </c>
      <c r="J800" s="388" t="str">
        <f>IFERROR(__xludf.DUMMYFUNCTION("""COMPUTED_VALUE"""),"")</f>
        <v/>
      </c>
      <c r="K800" s="8"/>
      <c r="L800" s="8"/>
      <c r="M800" s="8" t="str">
        <f>IFERROR(__xludf.DUMMYFUNCTION("""COMPUTED_VALUE"""),"")</f>
        <v/>
      </c>
      <c r="N800" s="8" t="str">
        <f>IFERROR(__xludf.DUMMYFUNCTION("""COMPUTED_VALUE"""),"")</f>
        <v/>
      </c>
      <c r="O800" s="8"/>
      <c r="P800" s="8"/>
    </row>
    <row r="801">
      <c r="A801" s="8"/>
      <c r="B801" s="25"/>
      <c r="C801" s="385"/>
      <c r="D801" s="385"/>
      <c r="E801" s="392"/>
      <c r="F801" s="8"/>
      <c r="G801" s="8"/>
      <c r="H801" s="389"/>
      <c r="I801" s="8" t="b">
        <v>0</v>
      </c>
      <c r="J801" s="388" t="str">
        <f>IFERROR(__xludf.DUMMYFUNCTION("""COMPUTED_VALUE"""),"")</f>
        <v/>
      </c>
      <c r="K801" s="8"/>
      <c r="L801" s="8"/>
      <c r="M801" s="8" t="str">
        <f>IFERROR(__xludf.DUMMYFUNCTION("""COMPUTED_VALUE"""),"")</f>
        <v/>
      </c>
      <c r="N801" s="8" t="str">
        <f>IFERROR(__xludf.DUMMYFUNCTION("""COMPUTED_VALUE"""),"")</f>
        <v/>
      </c>
      <c r="O801" s="8"/>
      <c r="P801" s="8"/>
    </row>
    <row r="802">
      <c r="A802" s="8"/>
      <c r="B802" s="25"/>
      <c r="C802" s="385"/>
      <c r="D802" s="385"/>
      <c r="E802" s="392"/>
      <c r="F802" s="8"/>
      <c r="G802" s="8"/>
      <c r="H802" s="389"/>
      <c r="I802" s="8" t="b">
        <v>0</v>
      </c>
      <c r="J802" s="388" t="str">
        <f>IFERROR(__xludf.DUMMYFUNCTION("""COMPUTED_VALUE"""),"")</f>
        <v/>
      </c>
      <c r="K802" s="8"/>
      <c r="L802" s="8"/>
      <c r="M802" s="8" t="str">
        <f>IFERROR(__xludf.DUMMYFUNCTION("""COMPUTED_VALUE"""),"")</f>
        <v/>
      </c>
      <c r="N802" s="8" t="str">
        <f>IFERROR(__xludf.DUMMYFUNCTION("""COMPUTED_VALUE"""),"")</f>
        <v/>
      </c>
      <c r="O802" s="8"/>
      <c r="P802" s="8"/>
    </row>
    <row r="803">
      <c r="A803" s="8"/>
      <c r="B803" s="25"/>
      <c r="C803" s="385"/>
      <c r="D803" s="385"/>
      <c r="E803" s="392"/>
      <c r="F803" s="8"/>
      <c r="G803" s="8"/>
      <c r="H803" s="389"/>
      <c r="I803" s="8" t="b">
        <v>0</v>
      </c>
      <c r="J803" s="388" t="str">
        <f>IFERROR(__xludf.DUMMYFUNCTION("""COMPUTED_VALUE"""),"")</f>
        <v/>
      </c>
      <c r="K803" s="8"/>
      <c r="L803" s="8"/>
      <c r="M803" s="8" t="str">
        <f>IFERROR(__xludf.DUMMYFUNCTION("""COMPUTED_VALUE"""),"")</f>
        <v/>
      </c>
      <c r="N803" s="8" t="str">
        <f>IFERROR(__xludf.DUMMYFUNCTION("""COMPUTED_VALUE"""),"")</f>
        <v/>
      </c>
      <c r="O803" s="8"/>
      <c r="P803" s="8"/>
    </row>
    <row r="804">
      <c r="A804" s="8"/>
      <c r="B804" s="25"/>
      <c r="C804" s="385"/>
      <c r="D804" s="385"/>
      <c r="E804" s="392"/>
      <c r="F804" s="8"/>
      <c r="G804" s="8"/>
      <c r="H804" s="389"/>
      <c r="I804" s="8" t="b">
        <v>0</v>
      </c>
      <c r="J804" s="388" t="str">
        <f>IFERROR(__xludf.DUMMYFUNCTION("""COMPUTED_VALUE"""),"")</f>
        <v/>
      </c>
      <c r="K804" s="8"/>
      <c r="L804" s="8"/>
      <c r="M804" s="8" t="str">
        <f>IFERROR(__xludf.DUMMYFUNCTION("""COMPUTED_VALUE"""),"")</f>
        <v/>
      </c>
      <c r="N804" s="8" t="str">
        <f>IFERROR(__xludf.DUMMYFUNCTION("""COMPUTED_VALUE"""),"")</f>
        <v/>
      </c>
      <c r="O804" s="8"/>
      <c r="P804" s="8"/>
    </row>
    <row r="805">
      <c r="A805" s="8"/>
      <c r="B805" s="25"/>
      <c r="C805" s="385"/>
      <c r="D805" s="385"/>
      <c r="E805" s="392"/>
      <c r="F805" s="8"/>
      <c r="G805" s="8"/>
      <c r="H805" s="389"/>
      <c r="I805" s="8" t="b">
        <v>0</v>
      </c>
      <c r="J805" s="388" t="str">
        <f>IFERROR(__xludf.DUMMYFUNCTION("""COMPUTED_VALUE"""),"")</f>
        <v/>
      </c>
      <c r="K805" s="8"/>
      <c r="L805" s="8"/>
      <c r="M805" s="8" t="str">
        <f>IFERROR(__xludf.DUMMYFUNCTION("""COMPUTED_VALUE"""),"")</f>
        <v/>
      </c>
      <c r="N805" s="8" t="str">
        <f>IFERROR(__xludf.DUMMYFUNCTION("""COMPUTED_VALUE"""),"")</f>
        <v/>
      </c>
      <c r="O805" s="8"/>
      <c r="P805" s="8"/>
    </row>
    <row r="806">
      <c r="A806" s="8"/>
      <c r="B806" s="25"/>
      <c r="C806" s="385"/>
      <c r="D806" s="385"/>
      <c r="E806" s="392"/>
      <c r="F806" s="8"/>
      <c r="G806" s="8"/>
      <c r="H806" s="389"/>
      <c r="I806" s="8" t="b">
        <v>0</v>
      </c>
      <c r="J806" s="388" t="str">
        <f>IFERROR(__xludf.DUMMYFUNCTION("""COMPUTED_VALUE"""),"")</f>
        <v/>
      </c>
      <c r="K806" s="8"/>
      <c r="L806" s="8"/>
      <c r="M806" s="8" t="str">
        <f>IFERROR(__xludf.DUMMYFUNCTION("""COMPUTED_VALUE"""),"")</f>
        <v/>
      </c>
      <c r="N806" s="8" t="str">
        <f>IFERROR(__xludf.DUMMYFUNCTION("""COMPUTED_VALUE"""),"")</f>
        <v/>
      </c>
      <c r="O806" s="8"/>
      <c r="P806" s="8"/>
    </row>
    <row r="807">
      <c r="A807" s="8"/>
      <c r="B807" s="25"/>
      <c r="C807" s="385"/>
      <c r="D807" s="385"/>
      <c r="E807" s="392"/>
      <c r="F807" s="8"/>
      <c r="G807" s="8"/>
      <c r="H807" s="389"/>
      <c r="I807" s="8" t="b">
        <v>0</v>
      </c>
      <c r="J807" s="388" t="str">
        <f>IFERROR(__xludf.DUMMYFUNCTION("""COMPUTED_VALUE"""),"")</f>
        <v/>
      </c>
      <c r="K807" s="8"/>
      <c r="L807" s="8"/>
      <c r="M807" s="8" t="str">
        <f>IFERROR(__xludf.DUMMYFUNCTION("""COMPUTED_VALUE"""),"")</f>
        <v/>
      </c>
      <c r="N807" s="8" t="str">
        <f>IFERROR(__xludf.DUMMYFUNCTION("""COMPUTED_VALUE"""),"")</f>
        <v/>
      </c>
      <c r="O807" s="8"/>
      <c r="P807" s="8"/>
    </row>
    <row r="808">
      <c r="A808" s="8"/>
      <c r="B808" s="25"/>
      <c r="C808" s="385"/>
      <c r="D808" s="385"/>
      <c r="E808" s="392"/>
      <c r="F808" s="8"/>
      <c r="G808" s="8"/>
      <c r="H808" s="389"/>
      <c r="I808" s="8" t="b">
        <v>0</v>
      </c>
      <c r="J808" s="388" t="str">
        <f>IFERROR(__xludf.DUMMYFUNCTION("""COMPUTED_VALUE"""),"")</f>
        <v/>
      </c>
      <c r="K808" s="8"/>
      <c r="L808" s="8"/>
      <c r="M808" s="8" t="str">
        <f>IFERROR(__xludf.DUMMYFUNCTION("""COMPUTED_VALUE"""),"")</f>
        <v/>
      </c>
      <c r="N808" s="8" t="str">
        <f>IFERROR(__xludf.DUMMYFUNCTION("""COMPUTED_VALUE"""),"")</f>
        <v/>
      </c>
      <c r="O808" s="8"/>
      <c r="P808" s="8"/>
    </row>
    <row r="809">
      <c r="A809" s="8"/>
      <c r="B809" s="25"/>
      <c r="C809" s="385"/>
      <c r="D809" s="385"/>
      <c r="E809" s="392"/>
      <c r="F809" s="8"/>
      <c r="G809" s="8"/>
      <c r="H809" s="389"/>
      <c r="I809" s="8" t="b">
        <v>0</v>
      </c>
      <c r="J809" s="388" t="str">
        <f>IFERROR(__xludf.DUMMYFUNCTION("""COMPUTED_VALUE"""),"")</f>
        <v/>
      </c>
      <c r="K809" s="8"/>
      <c r="L809" s="8"/>
      <c r="M809" s="8" t="str">
        <f>IFERROR(__xludf.DUMMYFUNCTION("""COMPUTED_VALUE"""),"")</f>
        <v/>
      </c>
      <c r="N809" s="8" t="str">
        <f>IFERROR(__xludf.DUMMYFUNCTION("""COMPUTED_VALUE"""),"")</f>
        <v/>
      </c>
      <c r="O809" s="8"/>
      <c r="P809" s="8"/>
    </row>
    <row r="810">
      <c r="A810" s="8"/>
      <c r="B810" s="25"/>
      <c r="C810" s="385"/>
      <c r="D810" s="385"/>
      <c r="E810" s="392"/>
      <c r="F810" s="8"/>
      <c r="G810" s="8"/>
      <c r="H810" s="389"/>
      <c r="I810" s="8" t="b">
        <v>0</v>
      </c>
      <c r="J810" s="388" t="str">
        <f>IFERROR(__xludf.DUMMYFUNCTION("""COMPUTED_VALUE"""),"")</f>
        <v/>
      </c>
      <c r="K810" s="8"/>
      <c r="L810" s="8"/>
      <c r="M810" s="8" t="str">
        <f>IFERROR(__xludf.DUMMYFUNCTION("""COMPUTED_VALUE"""),"")</f>
        <v/>
      </c>
      <c r="N810" s="8" t="str">
        <f>IFERROR(__xludf.DUMMYFUNCTION("""COMPUTED_VALUE"""),"")</f>
        <v/>
      </c>
      <c r="O810" s="8"/>
      <c r="P810" s="8"/>
    </row>
    <row r="811">
      <c r="A811" s="8"/>
      <c r="B811" s="25"/>
      <c r="C811" s="385"/>
      <c r="D811" s="385"/>
      <c r="E811" s="392"/>
      <c r="F811" s="8"/>
      <c r="G811" s="8"/>
      <c r="H811" s="389"/>
      <c r="I811" s="8" t="b">
        <v>0</v>
      </c>
      <c r="J811" s="388" t="str">
        <f>IFERROR(__xludf.DUMMYFUNCTION("""COMPUTED_VALUE"""),"")</f>
        <v/>
      </c>
      <c r="K811" s="8"/>
      <c r="L811" s="8"/>
      <c r="M811" s="8" t="str">
        <f>IFERROR(__xludf.DUMMYFUNCTION("""COMPUTED_VALUE"""),"")</f>
        <v/>
      </c>
      <c r="N811" s="8" t="str">
        <f>IFERROR(__xludf.DUMMYFUNCTION("""COMPUTED_VALUE"""),"")</f>
        <v/>
      </c>
      <c r="O811" s="8"/>
      <c r="P811" s="8"/>
    </row>
    <row r="812">
      <c r="A812" s="8"/>
      <c r="B812" s="25"/>
      <c r="C812" s="385"/>
      <c r="D812" s="385"/>
      <c r="E812" s="392"/>
      <c r="F812" s="8"/>
      <c r="G812" s="8"/>
      <c r="H812" s="389"/>
      <c r="I812" s="8" t="b">
        <v>0</v>
      </c>
      <c r="J812" s="388" t="str">
        <f>IFERROR(__xludf.DUMMYFUNCTION("""COMPUTED_VALUE"""),"")</f>
        <v/>
      </c>
      <c r="K812" s="8"/>
      <c r="L812" s="8"/>
      <c r="M812" s="8" t="str">
        <f>IFERROR(__xludf.DUMMYFUNCTION("""COMPUTED_VALUE"""),"")</f>
        <v/>
      </c>
      <c r="N812" s="8" t="str">
        <f>IFERROR(__xludf.DUMMYFUNCTION("""COMPUTED_VALUE"""),"")</f>
        <v/>
      </c>
      <c r="O812" s="8"/>
      <c r="P812" s="8"/>
    </row>
    <row r="813">
      <c r="A813" s="8"/>
      <c r="B813" s="25"/>
      <c r="C813" s="385"/>
      <c r="D813" s="385"/>
      <c r="E813" s="392"/>
      <c r="F813" s="8"/>
      <c r="G813" s="8"/>
      <c r="H813" s="389"/>
      <c r="I813" s="8" t="b">
        <v>0</v>
      </c>
      <c r="J813" s="388" t="str">
        <f>IFERROR(__xludf.DUMMYFUNCTION("""COMPUTED_VALUE"""),"")</f>
        <v/>
      </c>
      <c r="K813" s="8"/>
      <c r="L813" s="8"/>
      <c r="M813" s="8" t="str">
        <f>IFERROR(__xludf.DUMMYFUNCTION("""COMPUTED_VALUE"""),"")</f>
        <v/>
      </c>
      <c r="N813" s="8" t="str">
        <f>IFERROR(__xludf.DUMMYFUNCTION("""COMPUTED_VALUE"""),"")</f>
        <v/>
      </c>
      <c r="O813" s="8"/>
      <c r="P813" s="8"/>
    </row>
    <row r="814">
      <c r="A814" s="8"/>
      <c r="B814" s="25"/>
      <c r="C814" s="385"/>
      <c r="D814" s="385"/>
      <c r="E814" s="392"/>
      <c r="F814" s="8"/>
      <c r="G814" s="8"/>
      <c r="H814" s="389"/>
      <c r="I814" s="8" t="b">
        <v>0</v>
      </c>
      <c r="J814" s="388" t="str">
        <f>IFERROR(__xludf.DUMMYFUNCTION("""COMPUTED_VALUE"""),"")</f>
        <v/>
      </c>
      <c r="K814" s="8"/>
      <c r="L814" s="8"/>
      <c r="M814" s="8" t="str">
        <f>IFERROR(__xludf.DUMMYFUNCTION("""COMPUTED_VALUE"""),"")</f>
        <v/>
      </c>
      <c r="N814" s="8" t="str">
        <f>IFERROR(__xludf.DUMMYFUNCTION("""COMPUTED_VALUE"""),"")</f>
        <v/>
      </c>
      <c r="O814" s="8"/>
      <c r="P814" s="8"/>
    </row>
    <row r="815">
      <c r="A815" s="8"/>
      <c r="B815" s="25"/>
      <c r="C815" s="385"/>
      <c r="D815" s="385"/>
      <c r="E815" s="392"/>
      <c r="F815" s="8"/>
      <c r="G815" s="8"/>
      <c r="H815" s="389"/>
      <c r="I815" s="8" t="b">
        <v>0</v>
      </c>
      <c r="J815" s="388" t="str">
        <f>IFERROR(__xludf.DUMMYFUNCTION("""COMPUTED_VALUE"""),"")</f>
        <v/>
      </c>
      <c r="K815" s="8"/>
      <c r="L815" s="8"/>
      <c r="M815" s="8" t="str">
        <f>IFERROR(__xludf.DUMMYFUNCTION("""COMPUTED_VALUE"""),"")</f>
        <v/>
      </c>
      <c r="N815" s="8" t="str">
        <f>IFERROR(__xludf.DUMMYFUNCTION("""COMPUTED_VALUE"""),"")</f>
        <v/>
      </c>
      <c r="O815" s="8"/>
      <c r="P815" s="8"/>
    </row>
    <row r="816">
      <c r="A816" s="8"/>
      <c r="B816" s="25"/>
      <c r="C816" s="385"/>
      <c r="D816" s="385"/>
      <c r="E816" s="392"/>
      <c r="F816" s="8"/>
      <c r="G816" s="8"/>
      <c r="H816" s="389"/>
      <c r="I816" s="8" t="b">
        <v>0</v>
      </c>
      <c r="J816" s="388" t="str">
        <f>IFERROR(__xludf.DUMMYFUNCTION("""COMPUTED_VALUE"""),"")</f>
        <v/>
      </c>
      <c r="K816" s="8"/>
      <c r="L816" s="8"/>
      <c r="M816" s="8" t="str">
        <f>IFERROR(__xludf.DUMMYFUNCTION("""COMPUTED_VALUE"""),"")</f>
        <v/>
      </c>
      <c r="N816" s="8" t="str">
        <f>IFERROR(__xludf.DUMMYFUNCTION("""COMPUTED_VALUE"""),"")</f>
        <v/>
      </c>
      <c r="O816" s="8"/>
      <c r="P816" s="8"/>
    </row>
    <row r="817">
      <c r="A817" s="8"/>
      <c r="B817" s="25"/>
      <c r="C817" s="385"/>
      <c r="D817" s="385"/>
      <c r="E817" s="392"/>
      <c r="F817" s="8"/>
      <c r="G817" s="8"/>
      <c r="H817" s="389"/>
      <c r="I817" s="8" t="b">
        <v>0</v>
      </c>
      <c r="J817" s="388" t="str">
        <f>IFERROR(__xludf.DUMMYFUNCTION("""COMPUTED_VALUE"""),"")</f>
        <v/>
      </c>
      <c r="K817" s="8"/>
      <c r="L817" s="8"/>
      <c r="M817" s="8" t="str">
        <f>IFERROR(__xludf.DUMMYFUNCTION("""COMPUTED_VALUE"""),"")</f>
        <v/>
      </c>
      <c r="N817" s="8" t="str">
        <f>IFERROR(__xludf.DUMMYFUNCTION("""COMPUTED_VALUE"""),"")</f>
        <v/>
      </c>
      <c r="O817" s="8"/>
      <c r="P817" s="8"/>
    </row>
    <row r="818">
      <c r="A818" s="8"/>
      <c r="B818" s="25"/>
      <c r="C818" s="385"/>
      <c r="D818" s="385"/>
      <c r="E818" s="392"/>
      <c r="F818" s="8"/>
      <c r="G818" s="8"/>
      <c r="H818" s="389"/>
      <c r="I818" s="8" t="b">
        <v>0</v>
      </c>
      <c r="J818" s="388" t="str">
        <f>IFERROR(__xludf.DUMMYFUNCTION("""COMPUTED_VALUE"""),"")</f>
        <v/>
      </c>
      <c r="K818" s="8"/>
      <c r="L818" s="8"/>
      <c r="M818" s="8" t="str">
        <f>IFERROR(__xludf.DUMMYFUNCTION("""COMPUTED_VALUE"""),"")</f>
        <v/>
      </c>
      <c r="N818" s="8" t="str">
        <f>IFERROR(__xludf.DUMMYFUNCTION("""COMPUTED_VALUE"""),"")</f>
        <v/>
      </c>
      <c r="O818" s="8"/>
      <c r="P818" s="8"/>
    </row>
    <row r="819">
      <c r="A819" s="8"/>
      <c r="B819" s="25"/>
      <c r="C819" s="385"/>
      <c r="D819" s="385"/>
      <c r="E819" s="392"/>
      <c r="F819" s="8"/>
      <c r="G819" s="8"/>
      <c r="H819" s="389"/>
      <c r="I819" s="8" t="b">
        <v>0</v>
      </c>
      <c r="J819" s="388" t="str">
        <f>IFERROR(__xludf.DUMMYFUNCTION("""COMPUTED_VALUE"""),"")</f>
        <v/>
      </c>
      <c r="K819" s="8"/>
      <c r="L819" s="8"/>
      <c r="M819" s="8" t="str">
        <f>IFERROR(__xludf.DUMMYFUNCTION("""COMPUTED_VALUE"""),"")</f>
        <v/>
      </c>
      <c r="N819" s="8" t="str">
        <f>IFERROR(__xludf.DUMMYFUNCTION("""COMPUTED_VALUE"""),"")</f>
        <v/>
      </c>
      <c r="O819" s="8"/>
      <c r="P819" s="8"/>
    </row>
    <row r="820">
      <c r="A820" s="8"/>
      <c r="B820" s="25"/>
      <c r="C820" s="385"/>
      <c r="D820" s="385"/>
      <c r="E820" s="392"/>
      <c r="F820" s="8"/>
      <c r="G820" s="8"/>
      <c r="H820" s="389"/>
      <c r="I820" s="8" t="b">
        <v>0</v>
      </c>
      <c r="J820" s="388" t="str">
        <f>IFERROR(__xludf.DUMMYFUNCTION("""COMPUTED_VALUE"""),"")</f>
        <v/>
      </c>
      <c r="K820" s="8"/>
      <c r="L820" s="8"/>
      <c r="M820" s="8" t="str">
        <f>IFERROR(__xludf.DUMMYFUNCTION("""COMPUTED_VALUE"""),"")</f>
        <v/>
      </c>
      <c r="N820" s="8" t="str">
        <f>IFERROR(__xludf.DUMMYFUNCTION("""COMPUTED_VALUE"""),"")</f>
        <v/>
      </c>
      <c r="O820" s="8"/>
      <c r="P820" s="8"/>
    </row>
    <row r="821">
      <c r="A821" s="8"/>
      <c r="B821" s="25"/>
      <c r="C821" s="385"/>
      <c r="D821" s="385"/>
      <c r="E821" s="392"/>
      <c r="F821" s="8"/>
      <c r="G821" s="8"/>
      <c r="H821" s="389"/>
      <c r="I821" s="8" t="b">
        <v>0</v>
      </c>
      <c r="J821" s="388" t="str">
        <f>IFERROR(__xludf.DUMMYFUNCTION("""COMPUTED_VALUE"""),"")</f>
        <v/>
      </c>
      <c r="K821" s="8"/>
      <c r="L821" s="8"/>
      <c r="M821" s="8" t="str">
        <f>IFERROR(__xludf.DUMMYFUNCTION("""COMPUTED_VALUE"""),"")</f>
        <v/>
      </c>
      <c r="N821" s="8" t="str">
        <f>IFERROR(__xludf.DUMMYFUNCTION("""COMPUTED_VALUE"""),"")</f>
        <v/>
      </c>
      <c r="O821" s="8"/>
      <c r="P821" s="8"/>
    </row>
    <row r="822">
      <c r="A822" s="8"/>
      <c r="B822" s="25"/>
      <c r="C822" s="385"/>
      <c r="D822" s="385"/>
      <c r="E822" s="392"/>
      <c r="F822" s="8"/>
      <c r="G822" s="8"/>
      <c r="H822" s="389"/>
      <c r="I822" s="8" t="b">
        <v>0</v>
      </c>
      <c r="J822" s="388" t="str">
        <f>IFERROR(__xludf.DUMMYFUNCTION("""COMPUTED_VALUE"""),"")</f>
        <v/>
      </c>
      <c r="K822" s="8"/>
      <c r="L822" s="8"/>
      <c r="M822" s="8" t="str">
        <f>IFERROR(__xludf.DUMMYFUNCTION("""COMPUTED_VALUE"""),"")</f>
        <v/>
      </c>
      <c r="N822" s="8" t="str">
        <f>IFERROR(__xludf.DUMMYFUNCTION("""COMPUTED_VALUE"""),"")</f>
        <v/>
      </c>
      <c r="O822" s="8"/>
      <c r="P822" s="8"/>
    </row>
    <row r="823">
      <c r="A823" s="8"/>
      <c r="B823" s="25"/>
      <c r="C823" s="385"/>
      <c r="D823" s="385"/>
      <c r="E823" s="392"/>
      <c r="F823" s="8"/>
      <c r="G823" s="8"/>
      <c r="H823" s="389"/>
      <c r="I823" s="8" t="b">
        <v>0</v>
      </c>
      <c r="J823" s="388" t="str">
        <f>IFERROR(__xludf.DUMMYFUNCTION("""COMPUTED_VALUE"""),"")</f>
        <v/>
      </c>
      <c r="K823" s="8"/>
      <c r="L823" s="8"/>
      <c r="M823" s="8" t="str">
        <f>IFERROR(__xludf.DUMMYFUNCTION("""COMPUTED_VALUE"""),"")</f>
        <v/>
      </c>
      <c r="N823" s="8" t="str">
        <f>IFERROR(__xludf.DUMMYFUNCTION("""COMPUTED_VALUE"""),"")</f>
        <v/>
      </c>
      <c r="O823" s="8"/>
      <c r="P823" s="8"/>
    </row>
    <row r="824">
      <c r="A824" s="8"/>
      <c r="B824" s="25"/>
      <c r="C824" s="385"/>
      <c r="D824" s="385"/>
      <c r="E824" s="392"/>
      <c r="F824" s="8"/>
      <c r="G824" s="8"/>
      <c r="H824" s="389"/>
      <c r="I824" s="8" t="b">
        <v>0</v>
      </c>
      <c r="J824" s="388" t="str">
        <f>IFERROR(__xludf.DUMMYFUNCTION("""COMPUTED_VALUE"""),"")</f>
        <v/>
      </c>
      <c r="K824" s="8"/>
      <c r="L824" s="8"/>
      <c r="M824" s="8" t="str">
        <f>IFERROR(__xludf.DUMMYFUNCTION("""COMPUTED_VALUE"""),"")</f>
        <v/>
      </c>
      <c r="N824" s="8" t="str">
        <f>IFERROR(__xludf.DUMMYFUNCTION("""COMPUTED_VALUE"""),"")</f>
        <v/>
      </c>
      <c r="O824" s="8"/>
      <c r="P824" s="8"/>
    </row>
    <row r="825">
      <c r="A825" s="8"/>
      <c r="B825" s="25"/>
      <c r="C825" s="385"/>
      <c r="D825" s="385"/>
      <c r="E825" s="392"/>
      <c r="F825" s="8"/>
      <c r="G825" s="8"/>
      <c r="H825" s="389"/>
      <c r="I825" s="8" t="b">
        <v>0</v>
      </c>
      <c r="J825" s="388" t="str">
        <f>IFERROR(__xludf.DUMMYFUNCTION("""COMPUTED_VALUE"""),"")</f>
        <v/>
      </c>
      <c r="K825" s="8"/>
      <c r="L825" s="8"/>
      <c r="M825" s="8" t="str">
        <f>IFERROR(__xludf.DUMMYFUNCTION("""COMPUTED_VALUE"""),"")</f>
        <v/>
      </c>
      <c r="N825" s="8" t="str">
        <f>IFERROR(__xludf.DUMMYFUNCTION("""COMPUTED_VALUE"""),"")</f>
        <v/>
      </c>
      <c r="O825" s="8"/>
      <c r="P825" s="8"/>
    </row>
    <row r="826">
      <c r="A826" s="8"/>
      <c r="B826" s="25"/>
      <c r="C826" s="385"/>
      <c r="D826" s="385"/>
      <c r="E826" s="392"/>
      <c r="F826" s="8"/>
      <c r="G826" s="8"/>
      <c r="H826" s="389"/>
      <c r="I826" s="8" t="b">
        <v>0</v>
      </c>
      <c r="J826" s="388" t="str">
        <f>IFERROR(__xludf.DUMMYFUNCTION("""COMPUTED_VALUE"""),"")</f>
        <v/>
      </c>
      <c r="K826" s="8"/>
      <c r="L826" s="8"/>
      <c r="M826" s="8" t="str">
        <f>IFERROR(__xludf.DUMMYFUNCTION("""COMPUTED_VALUE"""),"")</f>
        <v/>
      </c>
      <c r="N826" s="8" t="str">
        <f>IFERROR(__xludf.DUMMYFUNCTION("""COMPUTED_VALUE"""),"")</f>
        <v/>
      </c>
      <c r="O826" s="8"/>
      <c r="P826" s="8"/>
    </row>
    <row r="827">
      <c r="A827" s="8"/>
      <c r="B827" s="25"/>
      <c r="C827" s="385"/>
      <c r="D827" s="385"/>
      <c r="E827" s="392"/>
      <c r="F827" s="8"/>
      <c r="G827" s="8"/>
      <c r="H827" s="389"/>
      <c r="I827" s="8" t="b">
        <v>0</v>
      </c>
      <c r="J827" s="388" t="str">
        <f>IFERROR(__xludf.DUMMYFUNCTION("""COMPUTED_VALUE"""),"")</f>
        <v/>
      </c>
      <c r="K827" s="8"/>
      <c r="L827" s="8"/>
      <c r="M827" s="8" t="str">
        <f>IFERROR(__xludf.DUMMYFUNCTION("""COMPUTED_VALUE"""),"")</f>
        <v/>
      </c>
      <c r="N827" s="8" t="str">
        <f>IFERROR(__xludf.DUMMYFUNCTION("""COMPUTED_VALUE"""),"")</f>
        <v/>
      </c>
      <c r="O827" s="8"/>
      <c r="P827" s="8"/>
    </row>
    <row r="828">
      <c r="A828" s="8"/>
      <c r="B828" s="25"/>
      <c r="C828" s="385"/>
      <c r="D828" s="385"/>
      <c r="E828" s="392"/>
      <c r="F828" s="8"/>
      <c r="G828" s="8"/>
      <c r="H828" s="389"/>
      <c r="I828" s="8" t="b">
        <v>0</v>
      </c>
      <c r="J828" s="388" t="str">
        <f>IFERROR(__xludf.DUMMYFUNCTION("""COMPUTED_VALUE"""),"")</f>
        <v/>
      </c>
      <c r="K828" s="8"/>
      <c r="L828" s="8"/>
      <c r="M828" s="8" t="str">
        <f>IFERROR(__xludf.DUMMYFUNCTION("""COMPUTED_VALUE"""),"")</f>
        <v/>
      </c>
      <c r="N828" s="8" t="str">
        <f>IFERROR(__xludf.DUMMYFUNCTION("""COMPUTED_VALUE"""),"")</f>
        <v/>
      </c>
      <c r="O828" s="8"/>
      <c r="P828" s="8"/>
    </row>
    <row r="829">
      <c r="A829" s="8"/>
      <c r="B829" s="25"/>
      <c r="C829" s="385"/>
      <c r="D829" s="385"/>
      <c r="E829" s="392"/>
      <c r="F829" s="8"/>
      <c r="G829" s="8"/>
      <c r="H829" s="389"/>
      <c r="I829" s="8" t="b">
        <v>0</v>
      </c>
      <c r="J829" s="388" t="str">
        <f>IFERROR(__xludf.DUMMYFUNCTION("""COMPUTED_VALUE"""),"")</f>
        <v/>
      </c>
      <c r="K829" s="8"/>
      <c r="L829" s="8"/>
      <c r="M829" s="8" t="str">
        <f>IFERROR(__xludf.DUMMYFUNCTION("""COMPUTED_VALUE"""),"")</f>
        <v/>
      </c>
      <c r="N829" s="8" t="str">
        <f>IFERROR(__xludf.DUMMYFUNCTION("""COMPUTED_VALUE"""),"")</f>
        <v/>
      </c>
      <c r="O829" s="8"/>
      <c r="P829" s="8"/>
    </row>
    <row r="830">
      <c r="A830" s="8"/>
      <c r="B830" s="25"/>
      <c r="C830" s="385"/>
      <c r="D830" s="385"/>
      <c r="E830" s="392"/>
      <c r="F830" s="8"/>
      <c r="G830" s="8"/>
      <c r="H830" s="389"/>
      <c r="I830" s="8" t="b">
        <v>0</v>
      </c>
      <c r="J830" s="388" t="str">
        <f>IFERROR(__xludf.DUMMYFUNCTION("""COMPUTED_VALUE"""),"")</f>
        <v/>
      </c>
      <c r="K830" s="8"/>
      <c r="L830" s="8"/>
      <c r="M830" s="8" t="str">
        <f>IFERROR(__xludf.DUMMYFUNCTION("""COMPUTED_VALUE"""),"")</f>
        <v/>
      </c>
      <c r="N830" s="8" t="str">
        <f>IFERROR(__xludf.DUMMYFUNCTION("""COMPUTED_VALUE"""),"")</f>
        <v/>
      </c>
      <c r="O830" s="8"/>
      <c r="P830" s="8"/>
    </row>
    <row r="831">
      <c r="A831" s="8"/>
      <c r="B831" s="25"/>
      <c r="C831" s="385"/>
      <c r="D831" s="385"/>
      <c r="E831" s="392"/>
      <c r="F831" s="8"/>
      <c r="G831" s="8"/>
      <c r="H831" s="389"/>
      <c r="I831" s="8" t="b">
        <v>0</v>
      </c>
      <c r="J831" s="388" t="str">
        <f>IFERROR(__xludf.DUMMYFUNCTION("""COMPUTED_VALUE"""),"")</f>
        <v/>
      </c>
      <c r="K831" s="8"/>
      <c r="L831" s="8"/>
      <c r="M831" s="8" t="str">
        <f>IFERROR(__xludf.DUMMYFUNCTION("""COMPUTED_VALUE"""),"")</f>
        <v/>
      </c>
      <c r="N831" s="8" t="str">
        <f>IFERROR(__xludf.DUMMYFUNCTION("""COMPUTED_VALUE"""),"")</f>
        <v/>
      </c>
      <c r="O831" s="8"/>
      <c r="P831" s="8"/>
    </row>
    <row r="832">
      <c r="A832" s="8"/>
      <c r="B832" s="25"/>
      <c r="C832" s="385"/>
      <c r="D832" s="385"/>
      <c r="E832" s="392"/>
      <c r="F832" s="8"/>
      <c r="G832" s="8"/>
      <c r="H832" s="389"/>
      <c r="I832" s="8" t="b">
        <v>0</v>
      </c>
      <c r="J832" s="388" t="str">
        <f>IFERROR(__xludf.DUMMYFUNCTION("""COMPUTED_VALUE"""),"")</f>
        <v/>
      </c>
      <c r="K832" s="8"/>
      <c r="L832" s="8"/>
      <c r="M832" s="8" t="str">
        <f>IFERROR(__xludf.DUMMYFUNCTION("""COMPUTED_VALUE"""),"")</f>
        <v/>
      </c>
      <c r="N832" s="8" t="str">
        <f>IFERROR(__xludf.DUMMYFUNCTION("""COMPUTED_VALUE"""),"")</f>
        <v/>
      </c>
      <c r="O832" s="8"/>
      <c r="P832" s="8"/>
    </row>
    <row r="833">
      <c r="A833" s="8"/>
      <c r="B833" s="25"/>
      <c r="C833" s="385"/>
      <c r="D833" s="385"/>
      <c r="E833" s="392"/>
      <c r="F833" s="8"/>
      <c r="G833" s="8"/>
      <c r="H833" s="389"/>
      <c r="I833" s="8" t="b">
        <v>0</v>
      </c>
      <c r="J833" s="388" t="str">
        <f>IFERROR(__xludf.DUMMYFUNCTION("""COMPUTED_VALUE"""),"")</f>
        <v/>
      </c>
      <c r="K833" s="8"/>
      <c r="L833" s="8"/>
      <c r="M833" s="8" t="str">
        <f>IFERROR(__xludf.DUMMYFUNCTION("""COMPUTED_VALUE"""),"")</f>
        <v/>
      </c>
      <c r="N833" s="8" t="str">
        <f>IFERROR(__xludf.DUMMYFUNCTION("""COMPUTED_VALUE"""),"")</f>
        <v/>
      </c>
      <c r="O833" s="8"/>
      <c r="P833" s="8"/>
    </row>
    <row r="834">
      <c r="A834" s="8"/>
      <c r="B834" s="25"/>
      <c r="C834" s="385"/>
      <c r="D834" s="385"/>
      <c r="E834" s="392"/>
      <c r="F834" s="8"/>
      <c r="G834" s="8"/>
      <c r="H834" s="389"/>
      <c r="I834" s="8" t="b">
        <v>0</v>
      </c>
      <c r="J834" s="388" t="str">
        <f>IFERROR(__xludf.DUMMYFUNCTION("""COMPUTED_VALUE"""),"")</f>
        <v/>
      </c>
      <c r="K834" s="8"/>
      <c r="L834" s="8"/>
      <c r="M834" s="8" t="str">
        <f>IFERROR(__xludf.DUMMYFUNCTION("""COMPUTED_VALUE"""),"")</f>
        <v/>
      </c>
      <c r="N834" s="8" t="str">
        <f>IFERROR(__xludf.DUMMYFUNCTION("""COMPUTED_VALUE"""),"")</f>
        <v/>
      </c>
      <c r="O834" s="8"/>
      <c r="P834" s="8"/>
    </row>
    <row r="835">
      <c r="A835" s="8"/>
      <c r="B835" s="25"/>
      <c r="C835" s="385"/>
      <c r="D835" s="385"/>
      <c r="E835" s="392"/>
      <c r="F835" s="8"/>
      <c r="G835" s="8"/>
      <c r="H835" s="389"/>
      <c r="I835" s="8" t="b">
        <v>0</v>
      </c>
      <c r="J835" s="388" t="str">
        <f>IFERROR(__xludf.DUMMYFUNCTION("""COMPUTED_VALUE"""),"")</f>
        <v/>
      </c>
      <c r="K835" s="8"/>
      <c r="L835" s="8"/>
      <c r="M835" s="8" t="str">
        <f>IFERROR(__xludf.DUMMYFUNCTION("""COMPUTED_VALUE"""),"")</f>
        <v/>
      </c>
      <c r="N835" s="8" t="str">
        <f>IFERROR(__xludf.DUMMYFUNCTION("""COMPUTED_VALUE"""),"")</f>
        <v/>
      </c>
      <c r="O835" s="8"/>
      <c r="P835" s="8"/>
    </row>
    <row r="836">
      <c r="A836" s="8"/>
      <c r="B836" s="25"/>
      <c r="C836" s="385"/>
      <c r="D836" s="385"/>
      <c r="E836" s="392"/>
      <c r="F836" s="8"/>
      <c r="G836" s="8"/>
      <c r="H836" s="389"/>
      <c r="I836" s="8" t="b">
        <v>0</v>
      </c>
      <c r="J836" s="388" t="str">
        <f>IFERROR(__xludf.DUMMYFUNCTION("""COMPUTED_VALUE"""),"")</f>
        <v/>
      </c>
      <c r="K836" s="8"/>
      <c r="L836" s="8"/>
      <c r="M836" s="8" t="str">
        <f>IFERROR(__xludf.DUMMYFUNCTION("""COMPUTED_VALUE"""),"")</f>
        <v/>
      </c>
      <c r="N836" s="8" t="str">
        <f>IFERROR(__xludf.DUMMYFUNCTION("""COMPUTED_VALUE"""),"")</f>
        <v/>
      </c>
      <c r="O836" s="8"/>
      <c r="P836" s="8"/>
    </row>
    <row r="837">
      <c r="A837" s="8"/>
      <c r="B837" s="25"/>
      <c r="C837" s="385"/>
      <c r="D837" s="385"/>
      <c r="E837" s="392"/>
      <c r="F837" s="8"/>
      <c r="G837" s="8"/>
      <c r="H837" s="389"/>
      <c r="I837" s="8" t="b">
        <v>0</v>
      </c>
      <c r="J837" s="388" t="str">
        <f>IFERROR(__xludf.DUMMYFUNCTION("""COMPUTED_VALUE"""),"")</f>
        <v/>
      </c>
      <c r="K837" s="8"/>
      <c r="L837" s="8"/>
      <c r="M837" s="8" t="str">
        <f>IFERROR(__xludf.DUMMYFUNCTION("""COMPUTED_VALUE"""),"")</f>
        <v/>
      </c>
      <c r="N837" s="8" t="str">
        <f>IFERROR(__xludf.DUMMYFUNCTION("""COMPUTED_VALUE"""),"")</f>
        <v/>
      </c>
      <c r="O837" s="8"/>
      <c r="P837" s="8"/>
    </row>
    <row r="838">
      <c r="A838" s="8"/>
      <c r="B838" s="25"/>
      <c r="C838" s="385"/>
      <c r="D838" s="385"/>
      <c r="E838" s="392"/>
      <c r="F838" s="8"/>
      <c r="G838" s="8"/>
      <c r="H838" s="389"/>
      <c r="I838" s="8" t="b">
        <v>0</v>
      </c>
      <c r="J838" s="388" t="str">
        <f>IFERROR(__xludf.DUMMYFUNCTION("""COMPUTED_VALUE"""),"")</f>
        <v/>
      </c>
      <c r="K838" s="8"/>
      <c r="L838" s="8"/>
      <c r="M838" s="8" t="str">
        <f>IFERROR(__xludf.DUMMYFUNCTION("""COMPUTED_VALUE"""),"")</f>
        <v/>
      </c>
      <c r="N838" s="8" t="str">
        <f>IFERROR(__xludf.DUMMYFUNCTION("""COMPUTED_VALUE"""),"")</f>
        <v/>
      </c>
      <c r="O838" s="8"/>
      <c r="P838" s="8"/>
    </row>
    <row r="839">
      <c r="A839" s="8"/>
      <c r="B839" s="25"/>
      <c r="C839" s="385"/>
      <c r="D839" s="385"/>
      <c r="E839" s="392"/>
      <c r="F839" s="8"/>
      <c r="G839" s="8"/>
      <c r="H839" s="389"/>
      <c r="I839" s="8" t="b">
        <v>0</v>
      </c>
      <c r="J839" s="388" t="str">
        <f>IFERROR(__xludf.DUMMYFUNCTION("""COMPUTED_VALUE"""),"")</f>
        <v/>
      </c>
      <c r="K839" s="8"/>
      <c r="L839" s="8"/>
      <c r="M839" s="8" t="str">
        <f>IFERROR(__xludf.DUMMYFUNCTION("""COMPUTED_VALUE"""),"")</f>
        <v/>
      </c>
      <c r="N839" s="8" t="str">
        <f>IFERROR(__xludf.DUMMYFUNCTION("""COMPUTED_VALUE"""),"")</f>
        <v/>
      </c>
      <c r="O839" s="8"/>
      <c r="P839" s="8"/>
    </row>
    <row r="840">
      <c r="A840" s="8"/>
      <c r="B840" s="25"/>
      <c r="C840" s="385"/>
      <c r="D840" s="385"/>
      <c r="E840" s="392"/>
      <c r="F840" s="8"/>
      <c r="G840" s="8"/>
      <c r="H840" s="389"/>
      <c r="I840" s="8" t="b">
        <v>0</v>
      </c>
      <c r="J840" s="388" t="str">
        <f>IFERROR(__xludf.DUMMYFUNCTION("""COMPUTED_VALUE"""),"")</f>
        <v/>
      </c>
      <c r="K840" s="8"/>
      <c r="L840" s="8"/>
      <c r="M840" s="8" t="str">
        <f>IFERROR(__xludf.DUMMYFUNCTION("""COMPUTED_VALUE"""),"")</f>
        <v/>
      </c>
      <c r="N840" s="8" t="str">
        <f>IFERROR(__xludf.DUMMYFUNCTION("""COMPUTED_VALUE"""),"")</f>
        <v/>
      </c>
      <c r="O840" s="8"/>
      <c r="P840" s="8"/>
    </row>
    <row r="841">
      <c r="A841" s="8"/>
      <c r="B841" s="25"/>
      <c r="C841" s="385"/>
      <c r="D841" s="385"/>
      <c r="E841" s="392"/>
      <c r="F841" s="8"/>
      <c r="G841" s="8"/>
      <c r="H841" s="389"/>
      <c r="I841" s="8" t="b">
        <v>0</v>
      </c>
      <c r="J841" s="388" t="str">
        <f>IFERROR(__xludf.DUMMYFUNCTION("""COMPUTED_VALUE"""),"")</f>
        <v/>
      </c>
      <c r="K841" s="8"/>
      <c r="L841" s="8"/>
      <c r="M841" s="8" t="str">
        <f>IFERROR(__xludf.DUMMYFUNCTION("""COMPUTED_VALUE"""),"")</f>
        <v/>
      </c>
      <c r="N841" s="8" t="str">
        <f>IFERROR(__xludf.DUMMYFUNCTION("""COMPUTED_VALUE"""),"")</f>
        <v/>
      </c>
      <c r="O841" s="8"/>
      <c r="P841" s="8"/>
    </row>
    <row r="842">
      <c r="A842" s="8"/>
      <c r="B842" s="25"/>
      <c r="C842" s="385"/>
      <c r="D842" s="385"/>
      <c r="E842" s="392"/>
      <c r="F842" s="8"/>
      <c r="G842" s="8"/>
      <c r="H842" s="389"/>
      <c r="I842" s="8" t="b">
        <v>0</v>
      </c>
      <c r="J842" s="388" t="str">
        <f>IFERROR(__xludf.DUMMYFUNCTION("""COMPUTED_VALUE"""),"")</f>
        <v/>
      </c>
      <c r="K842" s="8"/>
      <c r="L842" s="8"/>
      <c r="M842" s="8" t="str">
        <f>IFERROR(__xludf.DUMMYFUNCTION("""COMPUTED_VALUE"""),"")</f>
        <v/>
      </c>
      <c r="N842" s="8" t="str">
        <f>IFERROR(__xludf.DUMMYFUNCTION("""COMPUTED_VALUE"""),"")</f>
        <v/>
      </c>
      <c r="O842" s="8"/>
      <c r="P842" s="8"/>
    </row>
    <row r="843">
      <c r="A843" s="8"/>
      <c r="B843" s="25"/>
      <c r="C843" s="385"/>
      <c r="D843" s="385"/>
      <c r="E843" s="392"/>
      <c r="F843" s="8"/>
      <c r="G843" s="8"/>
      <c r="H843" s="389"/>
      <c r="I843" s="8" t="b">
        <v>0</v>
      </c>
      <c r="J843" s="388" t="str">
        <f>IFERROR(__xludf.DUMMYFUNCTION("""COMPUTED_VALUE"""),"")</f>
        <v/>
      </c>
      <c r="K843" s="8"/>
      <c r="L843" s="8"/>
      <c r="M843" s="8" t="str">
        <f>IFERROR(__xludf.DUMMYFUNCTION("""COMPUTED_VALUE"""),"")</f>
        <v/>
      </c>
      <c r="N843" s="8" t="str">
        <f>IFERROR(__xludf.DUMMYFUNCTION("""COMPUTED_VALUE"""),"")</f>
        <v/>
      </c>
      <c r="O843" s="8"/>
      <c r="P843" s="8"/>
    </row>
    <row r="844">
      <c r="A844" s="8"/>
      <c r="B844" s="25"/>
      <c r="C844" s="385"/>
      <c r="D844" s="385"/>
      <c r="E844" s="392"/>
      <c r="F844" s="8"/>
      <c r="G844" s="8"/>
      <c r="H844" s="389"/>
      <c r="I844" s="8" t="b">
        <v>0</v>
      </c>
      <c r="J844" s="388" t="str">
        <f>IFERROR(__xludf.DUMMYFUNCTION("""COMPUTED_VALUE"""),"")</f>
        <v/>
      </c>
      <c r="K844" s="8"/>
      <c r="L844" s="8"/>
      <c r="M844" s="8" t="str">
        <f>IFERROR(__xludf.DUMMYFUNCTION("""COMPUTED_VALUE"""),"")</f>
        <v/>
      </c>
      <c r="N844" s="8" t="str">
        <f>IFERROR(__xludf.DUMMYFUNCTION("""COMPUTED_VALUE"""),"")</f>
        <v/>
      </c>
      <c r="O844" s="8"/>
      <c r="P844" s="8"/>
    </row>
    <row r="845">
      <c r="A845" s="8"/>
      <c r="B845" s="25"/>
      <c r="C845" s="385"/>
      <c r="D845" s="385"/>
      <c r="E845" s="392"/>
      <c r="F845" s="8"/>
      <c r="G845" s="8"/>
      <c r="H845" s="389"/>
      <c r="I845" s="8" t="b">
        <v>0</v>
      </c>
      <c r="J845" s="388" t="str">
        <f>IFERROR(__xludf.DUMMYFUNCTION("""COMPUTED_VALUE"""),"")</f>
        <v/>
      </c>
      <c r="K845" s="8"/>
      <c r="L845" s="8"/>
      <c r="M845" s="8" t="str">
        <f>IFERROR(__xludf.DUMMYFUNCTION("""COMPUTED_VALUE"""),"")</f>
        <v/>
      </c>
      <c r="N845" s="8" t="str">
        <f>IFERROR(__xludf.DUMMYFUNCTION("""COMPUTED_VALUE"""),"")</f>
        <v/>
      </c>
      <c r="O845" s="8"/>
      <c r="P845" s="8"/>
    </row>
    <row r="846">
      <c r="A846" s="8"/>
      <c r="B846" s="25"/>
      <c r="C846" s="385"/>
      <c r="D846" s="385"/>
      <c r="E846" s="392"/>
      <c r="F846" s="8"/>
      <c r="G846" s="8"/>
      <c r="H846" s="389"/>
      <c r="I846" s="8" t="b">
        <v>0</v>
      </c>
      <c r="J846" s="388" t="str">
        <f>IFERROR(__xludf.DUMMYFUNCTION("""COMPUTED_VALUE"""),"")</f>
        <v/>
      </c>
      <c r="K846" s="8"/>
      <c r="L846" s="8"/>
      <c r="M846" s="8" t="str">
        <f>IFERROR(__xludf.DUMMYFUNCTION("""COMPUTED_VALUE"""),"")</f>
        <v/>
      </c>
      <c r="N846" s="8" t="str">
        <f>IFERROR(__xludf.DUMMYFUNCTION("""COMPUTED_VALUE"""),"")</f>
        <v/>
      </c>
      <c r="O846" s="8"/>
      <c r="P846" s="8"/>
    </row>
    <row r="847">
      <c r="A847" s="8"/>
      <c r="B847" s="25"/>
      <c r="C847" s="385"/>
      <c r="D847" s="385"/>
      <c r="E847" s="392"/>
      <c r="F847" s="8"/>
      <c r="G847" s="8"/>
      <c r="H847" s="389"/>
      <c r="I847" s="8" t="b">
        <v>0</v>
      </c>
      <c r="J847" s="388" t="str">
        <f>IFERROR(__xludf.DUMMYFUNCTION("""COMPUTED_VALUE"""),"")</f>
        <v/>
      </c>
      <c r="K847" s="8"/>
      <c r="L847" s="8"/>
      <c r="M847" s="8" t="str">
        <f>IFERROR(__xludf.DUMMYFUNCTION("""COMPUTED_VALUE"""),"")</f>
        <v/>
      </c>
      <c r="N847" s="8" t="str">
        <f>IFERROR(__xludf.DUMMYFUNCTION("""COMPUTED_VALUE"""),"")</f>
        <v/>
      </c>
      <c r="O847" s="8"/>
      <c r="P847" s="8"/>
    </row>
    <row r="848">
      <c r="A848" s="8"/>
      <c r="B848" s="25"/>
      <c r="C848" s="385"/>
      <c r="D848" s="385"/>
      <c r="E848" s="392"/>
      <c r="F848" s="8"/>
      <c r="G848" s="8"/>
      <c r="H848" s="389"/>
      <c r="I848" s="8" t="b">
        <v>0</v>
      </c>
      <c r="J848" s="388" t="str">
        <f>IFERROR(__xludf.DUMMYFUNCTION("""COMPUTED_VALUE"""),"")</f>
        <v/>
      </c>
      <c r="K848" s="8"/>
      <c r="L848" s="8"/>
      <c r="M848" s="8" t="str">
        <f>IFERROR(__xludf.DUMMYFUNCTION("""COMPUTED_VALUE"""),"")</f>
        <v/>
      </c>
      <c r="N848" s="8" t="str">
        <f>IFERROR(__xludf.DUMMYFUNCTION("""COMPUTED_VALUE"""),"")</f>
        <v/>
      </c>
      <c r="O848" s="8"/>
      <c r="P848" s="8"/>
    </row>
    <row r="849">
      <c r="A849" s="8"/>
      <c r="B849" s="25"/>
      <c r="C849" s="385"/>
      <c r="D849" s="385"/>
      <c r="E849" s="392"/>
      <c r="F849" s="8"/>
      <c r="G849" s="8"/>
      <c r="H849" s="389"/>
      <c r="I849" s="8" t="b">
        <v>0</v>
      </c>
      <c r="J849" s="388" t="str">
        <f>IFERROR(__xludf.DUMMYFUNCTION("""COMPUTED_VALUE"""),"")</f>
        <v/>
      </c>
      <c r="K849" s="8"/>
      <c r="L849" s="8"/>
      <c r="M849" s="8" t="str">
        <f>IFERROR(__xludf.DUMMYFUNCTION("""COMPUTED_VALUE"""),"")</f>
        <v/>
      </c>
      <c r="N849" s="8" t="str">
        <f>IFERROR(__xludf.DUMMYFUNCTION("""COMPUTED_VALUE"""),"")</f>
        <v/>
      </c>
      <c r="O849" s="8"/>
      <c r="P849" s="8"/>
    </row>
    <row r="850">
      <c r="A850" s="8"/>
      <c r="B850" s="25"/>
      <c r="C850" s="385"/>
      <c r="D850" s="385"/>
      <c r="E850" s="392"/>
      <c r="F850" s="8"/>
      <c r="G850" s="8"/>
      <c r="H850" s="389"/>
      <c r="I850" s="8" t="b">
        <v>0</v>
      </c>
      <c r="J850" s="388" t="str">
        <f>IFERROR(__xludf.DUMMYFUNCTION("""COMPUTED_VALUE"""),"")</f>
        <v/>
      </c>
      <c r="K850" s="8"/>
      <c r="L850" s="8"/>
      <c r="M850" s="8" t="str">
        <f>IFERROR(__xludf.DUMMYFUNCTION("""COMPUTED_VALUE"""),"")</f>
        <v/>
      </c>
      <c r="N850" s="8" t="str">
        <f>IFERROR(__xludf.DUMMYFUNCTION("""COMPUTED_VALUE"""),"")</f>
        <v/>
      </c>
      <c r="O850" s="8"/>
      <c r="P850" s="8"/>
    </row>
    <row r="851">
      <c r="A851" s="8"/>
      <c r="B851" s="25"/>
      <c r="C851" s="385"/>
      <c r="D851" s="385"/>
      <c r="E851" s="392"/>
      <c r="F851" s="8"/>
      <c r="G851" s="8"/>
      <c r="H851" s="389"/>
      <c r="I851" s="8" t="b">
        <v>0</v>
      </c>
      <c r="J851" s="388" t="str">
        <f>IFERROR(__xludf.DUMMYFUNCTION("""COMPUTED_VALUE"""),"")</f>
        <v/>
      </c>
      <c r="K851" s="8"/>
      <c r="L851" s="8"/>
      <c r="M851" s="8" t="str">
        <f>IFERROR(__xludf.DUMMYFUNCTION("""COMPUTED_VALUE"""),"")</f>
        <v/>
      </c>
      <c r="N851" s="8" t="str">
        <f>IFERROR(__xludf.DUMMYFUNCTION("""COMPUTED_VALUE"""),"")</f>
        <v/>
      </c>
      <c r="O851" s="8"/>
      <c r="P851" s="8"/>
    </row>
    <row r="852">
      <c r="A852" s="8"/>
      <c r="B852" s="25"/>
      <c r="C852" s="385"/>
      <c r="D852" s="385"/>
      <c r="E852" s="392"/>
      <c r="F852" s="8"/>
      <c r="G852" s="8"/>
      <c r="H852" s="389"/>
      <c r="I852" s="8" t="b">
        <v>0</v>
      </c>
      <c r="J852" s="388" t="str">
        <f>IFERROR(__xludf.DUMMYFUNCTION("""COMPUTED_VALUE"""),"")</f>
        <v/>
      </c>
      <c r="K852" s="8"/>
      <c r="L852" s="8"/>
      <c r="M852" s="8" t="str">
        <f>IFERROR(__xludf.DUMMYFUNCTION("""COMPUTED_VALUE"""),"")</f>
        <v/>
      </c>
      <c r="N852" s="8" t="str">
        <f>IFERROR(__xludf.DUMMYFUNCTION("""COMPUTED_VALUE"""),"")</f>
        <v/>
      </c>
      <c r="O852" s="8"/>
      <c r="P852" s="8"/>
    </row>
    <row r="853">
      <c r="A853" s="8"/>
      <c r="B853" s="25"/>
      <c r="C853" s="385"/>
      <c r="D853" s="385"/>
      <c r="E853" s="392"/>
      <c r="F853" s="8"/>
      <c r="G853" s="8"/>
      <c r="H853" s="389"/>
      <c r="I853" s="8" t="b">
        <v>0</v>
      </c>
      <c r="J853" s="388" t="str">
        <f>IFERROR(__xludf.DUMMYFUNCTION("""COMPUTED_VALUE"""),"")</f>
        <v/>
      </c>
      <c r="K853" s="8"/>
      <c r="L853" s="8"/>
      <c r="M853" s="8" t="str">
        <f>IFERROR(__xludf.DUMMYFUNCTION("""COMPUTED_VALUE"""),"")</f>
        <v/>
      </c>
      <c r="N853" s="8" t="str">
        <f>IFERROR(__xludf.DUMMYFUNCTION("""COMPUTED_VALUE"""),"")</f>
        <v/>
      </c>
      <c r="O853" s="8"/>
      <c r="P853" s="8"/>
    </row>
    <row r="854">
      <c r="A854" s="8"/>
      <c r="B854" s="25"/>
      <c r="C854" s="385"/>
      <c r="D854" s="385"/>
      <c r="E854" s="392"/>
      <c r="F854" s="8"/>
      <c r="G854" s="8"/>
      <c r="H854" s="389"/>
      <c r="I854" s="8" t="b">
        <v>0</v>
      </c>
      <c r="J854" s="388" t="str">
        <f>IFERROR(__xludf.DUMMYFUNCTION("""COMPUTED_VALUE"""),"")</f>
        <v/>
      </c>
      <c r="K854" s="8"/>
      <c r="L854" s="8"/>
      <c r="M854" s="8" t="str">
        <f>IFERROR(__xludf.DUMMYFUNCTION("""COMPUTED_VALUE"""),"")</f>
        <v/>
      </c>
      <c r="N854" s="8" t="str">
        <f>IFERROR(__xludf.DUMMYFUNCTION("""COMPUTED_VALUE"""),"")</f>
        <v/>
      </c>
      <c r="O854" s="8"/>
      <c r="P854" s="8"/>
    </row>
    <row r="855">
      <c r="A855" s="8"/>
      <c r="B855" s="25"/>
      <c r="C855" s="385"/>
      <c r="D855" s="385"/>
      <c r="E855" s="392"/>
      <c r="F855" s="8"/>
      <c r="G855" s="8"/>
      <c r="H855" s="389"/>
      <c r="I855" s="8" t="b">
        <v>0</v>
      </c>
      <c r="J855" s="388" t="str">
        <f>IFERROR(__xludf.DUMMYFUNCTION("""COMPUTED_VALUE"""),"")</f>
        <v/>
      </c>
      <c r="K855" s="8"/>
      <c r="L855" s="8"/>
      <c r="M855" s="8" t="str">
        <f>IFERROR(__xludf.DUMMYFUNCTION("""COMPUTED_VALUE"""),"")</f>
        <v/>
      </c>
      <c r="N855" s="8" t="str">
        <f>IFERROR(__xludf.DUMMYFUNCTION("""COMPUTED_VALUE"""),"")</f>
        <v/>
      </c>
      <c r="O855" s="8"/>
      <c r="P855" s="8"/>
    </row>
    <row r="856">
      <c r="A856" s="8"/>
      <c r="B856" s="25"/>
      <c r="C856" s="385"/>
      <c r="D856" s="385"/>
      <c r="E856" s="392"/>
      <c r="F856" s="8"/>
      <c r="G856" s="8"/>
      <c r="H856" s="389"/>
      <c r="I856" s="8" t="b">
        <v>0</v>
      </c>
      <c r="J856" s="388" t="str">
        <f>IFERROR(__xludf.DUMMYFUNCTION("""COMPUTED_VALUE"""),"")</f>
        <v/>
      </c>
      <c r="K856" s="8"/>
      <c r="L856" s="8"/>
      <c r="M856" s="8" t="str">
        <f>IFERROR(__xludf.DUMMYFUNCTION("""COMPUTED_VALUE"""),"")</f>
        <v/>
      </c>
      <c r="N856" s="8" t="str">
        <f>IFERROR(__xludf.DUMMYFUNCTION("""COMPUTED_VALUE"""),"")</f>
        <v/>
      </c>
      <c r="O856" s="8"/>
      <c r="P856" s="8"/>
    </row>
    <row r="857">
      <c r="A857" s="8"/>
      <c r="B857" s="25"/>
      <c r="C857" s="385"/>
      <c r="D857" s="385"/>
      <c r="E857" s="392"/>
      <c r="F857" s="8"/>
      <c r="G857" s="8"/>
      <c r="H857" s="389"/>
      <c r="I857" s="8" t="b">
        <v>0</v>
      </c>
      <c r="J857" s="388" t="str">
        <f>IFERROR(__xludf.DUMMYFUNCTION("""COMPUTED_VALUE"""),"")</f>
        <v/>
      </c>
      <c r="K857" s="8"/>
      <c r="L857" s="8"/>
      <c r="M857" s="8" t="str">
        <f>IFERROR(__xludf.DUMMYFUNCTION("""COMPUTED_VALUE"""),"")</f>
        <v/>
      </c>
      <c r="N857" s="8" t="str">
        <f>IFERROR(__xludf.DUMMYFUNCTION("""COMPUTED_VALUE"""),"")</f>
        <v/>
      </c>
      <c r="O857" s="8"/>
      <c r="P857" s="8"/>
    </row>
    <row r="858">
      <c r="A858" s="8"/>
      <c r="B858" s="25"/>
      <c r="C858" s="385"/>
      <c r="D858" s="385"/>
      <c r="E858" s="392"/>
      <c r="F858" s="8"/>
      <c r="G858" s="8"/>
      <c r="H858" s="389"/>
      <c r="I858" s="8" t="b">
        <v>0</v>
      </c>
      <c r="J858" s="388" t="str">
        <f>IFERROR(__xludf.DUMMYFUNCTION("""COMPUTED_VALUE"""),"")</f>
        <v/>
      </c>
      <c r="K858" s="8"/>
      <c r="L858" s="8"/>
      <c r="M858" s="8" t="str">
        <f>IFERROR(__xludf.DUMMYFUNCTION("""COMPUTED_VALUE"""),"")</f>
        <v/>
      </c>
      <c r="N858" s="8" t="str">
        <f>IFERROR(__xludf.DUMMYFUNCTION("""COMPUTED_VALUE"""),"")</f>
        <v/>
      </c>
      <c r="O858" s="8"/>
      <c r="P858" s="8"/>
    </row>
    <row r="859">
      <c r="A859" s="8"/>
      <c r="B859" s="25"/>
      <c r="C859" s="385"/>
      <c r="D859" s="385"/>
      <c r="E859" s="392"/>
      <c r="F859" s="8"/>
      <c r="G859" s="8"/>
      <c r="H859" s="389"/>
      <c r="I859" s="8" t="b">
        <v>0</v>
      </c>
      <c r="J859" s="388" t="str">
        <f>IFERROR(__xludf.DUMMYFUNCTION("""COMPUTED_VALUE"""),"")</f>
        <v/>
      </c>
      <c r="K859" s="8"/>
      <c r="L859" s="8"/>
      <c r="M859" s="8" t="str">
        <f>IFERROR(__xludf.DUMMYFUNCTION("""COMPUTED_VALUE"""),"")</f>
        <v/>
      </c>
      <c r="N859" s="8" t="str">
        <f>IFERROR(__xludf.DUMMYFUNCTION("""COMPUTED_VALUE"""),"")</f>
        <v/>
      </c>
      <c r="O859" s="8"/>
      <c r="P859" s="8"/>
    </row>
    <row r="860">
      <c r="A860" s="8"/>
      <c r="B860" s="25"/>
      <c r="C860" s="385"/>
      <c r="D860" s="385"/>
      <c r="E860" s="392"/>
      <c r="F860" s="8"/>
      <c r="G860" s="8"/>
      <c r="H860" s="389"/>
      <c r="I860" s="8" t="b">
        <v>0</v>
      </c>
      <c r="J860" s="388" t="str">
        <f>IFERROR(__xludf.DUMMYFUNCTION("""COMPUTED_VALUE"""),"")</f>
        <v/>
      </c>
      <c r="K860" s="8"/>
      <c r="L860" s="8"/>
      <c r="M860" s="8" t="str">
        <f>IFERROR(__xludf.DUMMYFUNCTION("""COMPUTED_VALUE"""),"")</f>
        <v/>
      </c>
      <c r="N860" s="8" t="str">
        <f>IFERROR(__xludf.DUMMYFUNCTION("""COMPUTED_VALUE"""),"")</f>
        <v/>
      </c>
      <c r="O860" s="8"/>
      <c r="P860" s="8"/>
    </row>
    <row r="861">
      <c r="A861" s="8"/>
      <c r="B861" s="25"/>
      <c r="C861" s="385"/>
      <c r="D861" s="385"/>
      <c r="E861" s="392"/>
      <c r="F861" s="8"/>
      <c r="G861" s="8"/>
      <c r="H861" s="389"/>
      <c r="I861" s="8" t="b">
        <v>0</v>
      </c>
      <c r="J861" s="388" t="str">
        <f>IFERROR(__xludf.DUMMYFUNCTION("""COMPUTED_VALUE"""),"")</f>
        <v/>
      </c>
      <c r="K861" s="8"/>
      <c r="L861" s="8"/>
      <c r="M861" s="8" t="str">
        <f>IFERROR(__xludf.DUMMYFUNCTION("""COMPUTED_VALUE"""),"")</f>
        <v/>
      </c>
      <c r="N861" s="8" t="str">
        <f>IFERROR(__xludf.DUMMYFUNCTION("""COMPUTED_VALUE"""),"")</f>
        <v/>
      </c>
      <c r="O861" s="8"/>
      <c r="P861" s="8"/>
    </row>
    <row r="862">
      <c r="A862" s="8"/>
      <c r="B862" s="25"/>
      <c r="C862" s="385"/>
      <c r="D862" s="385"/>
      <c r="E862" s="392"/>
      <c r="F862" s="8"/>
      <c r="G862" s="8"/>
      <c r="H862" s="389"/>
      <c r="I862" s="8" t="b">
        <v>0</v>
      </c>
      <c r="J862" s="388" t="str">
        <f>IFERROR(__xludf.DUMMYFUNCTION("""COMPUTED_VALUE"""),"")</f>
        <v/>
      </c>
      <c r="K862" s="8"/>
      <c r="L862" s="8"/>
      <c r="M862" s="8" t="str">
        <f>IFERROR(__xludf.DUMMYFUNCTION("""COMPUTED_VALUE"""),"")</f>
        <v/>
      </c>
      <c r="N862" s="8" t="str">
        <f>IFERROR(__xludf.DUMMYFUNCTION("""COMPUTED_VALUE"""),"")</f>
        <v/>
      </c>
      <c r="O862" s="8"/>
      <c r="P862" s="8"/>
    </row>
    <row r="863">
      <c r="A863" s="8"/>
      <c r="B863" s="25"/>
      <c r="C863" s="385"/>
      <c r="D863" s="385"/>
      <c r="E863" s="392"/>
      <c r="F863" s="8"/>
      <c r="G863" s="8"/>
      <c r="H863" s="389"/>
      <c r="I863" s="8" t="b">
        <v>0</v>
      </c>
      <c r="J863" s="388" t="str">
        <f>IFERROR(__xludf.DUMMYFUNCTION("""COMPUTED_VALUE"""),"")</f>
        <v/>
      </c>
      <c r="K863" s="8"/>
      <c r="L863" s="8"/>
      <c r="M863" s="8" t="str">
        <f>IFERROR(__xludf.DUMMYFUNCTION("""COMPUTED_VALUE"""),"")</f>
        <v/>
      </c>
      <c r="N863" s="8" t="str">
        <f>IFERROR(__xludf.DUMMYFUNCTION("""COMPUTED_VALUE"""),"")</f>
        <v/>
      </c>
      <c r="O863" s="8"/>
      <c r="P863" s="8"/>
    </row>
    <row r="864">
      <c r="A864" s="8"/>
      <c r="B864" s="25"/>
      <c r="C864" s="385"/>
      <c r="D864" s="385"/>
      <c r="E864" s="392"/>
      <c r="F864" s="8"/>
      <c r="G864" s="8"/>
      <c r="H864" s="389"/>
      <c r="I864" s="8" t="b">
        <v>0</v>
      </c>
      <c r="J864" s="388" t="str">
        <f>IFERROR(__xludf.DUMMYFUNCTION("""COMPUTED_VALUE"""),"")</f>
        <v/>
      </c>
      <c r="K864" s="8"/>
      <c r="L864" s="8"/>
      <c r="M864" s="8" t="str">
        <f>IFERROR(__xludf.DUMMYFUNCTION("""COMPUTED_VALUE"""),"")</f>
        <v/>
      </c>
      <c r="N864" s="8" t="str">
        <f>IFERROR(__xludf.DUMMYFUNCTION("""COMPUTED_VALUE"""),"")</f>
        <v/>
      </c>
      <c r="O864" s="8"/>
      <c r="P864" s="8"/>
    </row>
    <row r="865">
      <c r="A865" s="8"/>
      <c r="B865" s="25"/>
      <c r="C865" s="385"/>
      <c r="D865" s="385"/>
      <c r="E865" s="392"/>
      <c r="F865" s="8"/>
      <c r="G865" s="8"/>
      <c r="H865" s="389"/>
      <c r="I865" s="8" t="b">
        <v>0</v>
      </c>
      <c r="J865" s="388" t="str">
        <f>IFERROR(__xludf.DUMMYFUNCTION("""COMPUTED_VALUE"""),"")</f>
        <v/>
      </c>
      <c r="K865" s="8"/>
      <c r="L865" s="8"/>
      <c r="M865" s="8" t="str">
        <f>IFERROR(__xludf.DUMMYFUNCTION("""COMPUTED_VALUE"""),"")</f>
        <v/>
      </c>
      <c r="N865" s="8" t="str">
        <f>IFERROR(__xludf.DUMMYFUNCTION("""COMPUTED_VALUE"""),"")</f>
        <v/>
      </c>
      <c r="O865" s="8"/>
      <c r="P865" s="8"/>
    </row>
    <row r="866">
      <c r="A866" s="8"/>
      <c r="B866" s="25"/>
      <c r="C866" s="385"/>
      <c r="D866" s="385"/>
      <c r="E866" s="392"/>
      <c r="F866" s="8"/>
      <c r="G866" s="8"/>
      <c r="H866" s="389"/>
      <c r="I866" s="8" t="b">
        <v>0</v>
      </c>
      <c r="J866" s="388" t="str">
        <f>IFERROR(__xludf.DUMMYFUNCTION("""COMPUTED_VALUE"""),"")</f>
        <v/>
      </c>
      <c r="K866" s="8"/>
      <c r="L866" s="8"/>
      <c r="M866" s="8" t="str">
        <f>IFERROR(__xludf.DUMMYFUNCTION("""COMPUTED_VALUE"""),"")</f>
        <v/>
      </c>
      <c r="N866" s="8" t="str">
        <f>IFERROR(__xludf.DUMMYFUNCTION("""COMPUTED_VALUE"""),"")</f>
        <v/>
      </c>
      <c r="O866" s="8"/>
      <c r="P866" s="8"/>
    </row>
    <row r="867">
      <c r="A867" s="8"/>
      <c r="B867" s="25"/>
      <c r="C867" s="385"/>
      <c r="D867" s="385"/>
      <c r="E867" s="392"/>
      <c r="F867" s="8"/>
      <c r="G867" s="8"/>
      <c r="H867" s="389"/>
      <c r="I867" s="8" t="b">
        <v>0</v>
      </c>
      <c r="J867" s="388" t="str">
        <f>IFERROR(__xludf.DUMMYFUNCTION("""COMPUTED_VALUE"""),"")</f>
        <v/>
      </c>
      <c r="K867" s="8"/>
      <c r="L867" s="8"/>
      <c r="M867" s="8" t="str">
        <f>IFERROR(__xludf.DUMMYFUNCTION("""COMPUTED_VALUE"""),"")</f>
        <v/>
      </c>
      <c r="N867" s="8" t="str">
        <f>IFERROR(__xludf.DUMMYFUNCTION("""COMPUTED_VALUE"""),"")</f>
        <v/>
      </c>
      <c r="O867" s="8"/>
      <c r="P867" s="8"/>
    </row>
    <row r="868">
      <c r="A868" s="8"/>
      <c r="B868" s="25"/>
      <c r="C868" s="385"/>
      <c r="D868" s="385"/>
      <c r="E868" s="392"/>
      <c r="F868" s="8"/>
      <c r="G868" s="8"/>
      <c r="H868" s="389"/>
      <c r="I868" s="8" t="b">
        <v>0</v>
      </c>
      <c r="J868" s="388" t="str">
        <f>IFERROR(__xludf.DUMMYFUNCTION("""COMPUTED_VALUE"""),"")</f>
        <v/>
      </c>
      <c r="K868" s="8"/>
      <c r="L868" s="8"/>
      <c r="M868" s="8" t="str">
        <f>IFERROR(__xludf.DUMMYFUNCTION("""COMPUTED_VALUE"""),"")</f>
        <v/>
      </c>
      <c r="N868" s="8" t="str">
        <f>IFERROR(__xludf.DUMMYFUNCTION("""COMPUTED_VALUE"""),"")</f>
        <v/>
      </c>
      <c r="O868" s="8"/>
      <c r="P868" s="8"/>
    </row>
    <row r="869">
      <c r="A869" s="8"/>
      <c r="B869" s="25"/>
      <c r="C869" s="385"/>
      <c r="D869" s="385"/>
      <c r="E869" s="392"/>
      <c r="F869" s="8"/>
      <c r="G869" s="8"/>
      <c r="H869" s="389"/>
      <c r="I869" s="8" t="b">
        <v>0</v>
      </c>
      <c r="J869" s="388" t="str">
        <f>IFERROR(__xludf.DUMMYFUNCTION("""COMPUTED_VALUE"""),"")</f>
        <v/>
      </c>
      <c r="K869" s="8"/>
      <c r="L869" s="8"/>
      <c r="M869" s="8" t="str">
        <f>IFERROR(__xludf.DUMMYFUNCTION("""COMPUTED_VALUE"""),"")</f>
        <v/>
      </c>
      <c r="N869" s="8" t="str">
        <f>IFERROR(__xludf.DUMMYFUNCTION("""COMPUTED_VALUE"""),"")</f>
        <v/>
      </c>
      <c r="O869" s="8"/>
      <c r="P869" s="8"/>
    </row>
    <row r="870">
      <c r="A870" s="8"/>
      <c r="B870" s="25"/>
      <c r="C870" s="385"/>
      <c r="D870" s="385"/>
      <c r="E870" s="392"/>
      <c r="F870" s="8"/>
      <c r="G870" s="8"/>
      <c r="H870" s="389"/>
      <c r="I870" s="8" t="b">
        <v>0</v>
      </c>
      <c r="J870" s="388" t="str">
        <f>IFERROR(__xludf.DUMMYFUNCTION("""COMPUTED_VALUE"""),"")</f>
        <v/>
      </c>
      <c r="K870" s="8"/>
      <c r="L870" s="8"/>
      <c r="M870" s="8" t="str">
        <f>IFERROR(__xludf.DUMMYFUNCTION("""COMPUTED_VALUE"""),"")</f>
        <v/>
      </c>
      <c r="N870" s="8" t="str">
        <f>IFERROR(__xludf.DUMMYFUNCTION("""COMPUTED_VALUE"""),"")</f>
        <v/>
      </c>
      <c r="O870" s="8"/>
      <c r="P870" s="8"/>
    </row>
    <row r="871">
      <c r="A871" s="8"/>
      <c r="B871" s="25"/>
      <c r="C871" s="385"/>
      <c r="D871" s="385"/>
      <c r="E871" s="392"/>
      <c r="F871" s="8"/>
      <c r="G871" s="8"/>
      <c r="H871" s="389"/>
      <c r="I871" s="8" t="b">
        <v>0</v>
      </c>
      <c r="J871" s="388" t="str">
        <f>IFERROR(__xludf.DUMMYFUNCTION("""COMPUTED_VALUE"""),"")</f>
        <v/>
      </c>
      <c r="K871" s="8"/>
      <c r="L871" s="8"/>
      <c r="M871" s="8" t="str">
        <f>IFERROR(__xludf.DUMMYFUNCTION("""COMPUTED_VALUE"""),"")</f>
        <v/>
      </c>
      <c r="N871" s="8" t="str">
        <f>IFERROR(__xludf.DUMMYFUNCTION("""COMPUTED_VALUE"""),"")</f>
        <v/>
      </c>
      <c r="O871" s="8"/>
      <c r="P871" s="8"/>
    </row>
    <row r="872">
      <c r="A872" s="8"/>
      <c r="B872" s="25"/>
      <c r="C872" s="385"/>
      <c r="D872" s="385"/>
      <c r="E872" s="392"/>
      <c r="F872" s="8"/>
      <c r="G872" s="8"/>
      <c r="H872" s="389"/>
      <c r="I872" s="8" t="b">
        <v>0</v>
      </c>
      <c r="J872" s="388" t="str">
        <f>IFERROR(__xludf.DUMMYFUNCTION("""COMPUTED_VALUE"""),"")</f>
        <v/>
      </c>
      <c r="K872" s="8"/>
      <c r="L872" s="8"/>
      <c r="M872" s="8" t="str">
        <f>IFERROR(__xludf.DUMMYFUNCTION("""COMPUTED_VALUE"""),"")</f>
        <v/>
      </c>
      <c r="N872" s="8" t="str">
        <f>IFERROR(__xludf.DUMMYFUNCTION("""COMPUTED_VALUE"""),"")</f>
        <v/>
      </c>
      <c r="O872" s="8"/>
      <c r="P872" s="8"/>
    </row>
    <row r="873">
      <c r="A873" s="8"/>
      <c r="B873" s="25"/>
      <c r="C873" s="385"/>
      <c r="D873" s="385"/>
      <c r="E873" s="392"/>
      <c r="F873" s="8"/>
      <c r="G873" s="8"/>
      <c r="H873" s="389"/>
      <c r="I873" s="8" t="b">
        <v>0</v>
      </c>
      <c r="J873" s="388" t="str">
        <f>IFERROR(__xludf.DUMMYFUNCTION("""COMPUTED_VALUE"""),"")</f>
        <v/>
      </c>
      <c r="K873" s="8"/>
      <c r="L873" s="8"/>
      <c r="M873" s="8" t="str">
        <f>IFERROR(__xludf.DUMMYFUNCTION("""COMPUTED_VALUE"""),"")</f>
        <v/>
      </c>
      <c r="N873" s="8" t="str">
        <f>IFERROR(__xludf.DUMMYFUNCTION("""COMPUTED_VALUE"""),"")</f>
        <v/>
      </c>
      <c r="O873" s="8"/>
      <c r="P873" s="8"/>
    </row>
    <row r="874">
      <c r="A874" s="8"/>
      <c r="B874" s="25"/>
      <c r="C874" s="385"/>
      <c r="D874" s="385"/>
      <c r="E874" s="392"/>
      <c r="F874" s="8"/>
      <c r="G874" s="8"/>
      <c r="H874" s="389"/>
      <c r="I874" s="8" t="b">
        <v>0</v>
      </c>
      <c r="J874" s="388" t="str">
        <f>IFERROR(__xludf.DUMMYFUNCTION("""COMPUTED_VALUE"""),"")</f>
        <v/>
      </c>
      <c r="K874" s="8"/>
      <c r="L874" s="8"/>
      <c r="M874" s="8" t="str">
        <f>IFERROR(__xludf.DUMMYFUNCTION("""COMPUTED_VALUE"""),"")</f>
        <v/>
      </c>
      <c r="N874" s="8" t="str">
        <f>IFERROR(__xludf.DUMMYFUNCTION("""COMPUTED_VALUE"""),"")</f>
        <v/>
      </c>
      <c r="O874" s="8"/>
      <c r="P874" s="8"/>
    </row>
    <row r="875">
      <c r="A875" s="8"/>
      <c r="B875" s="25"/>
      <c r="C875" s="385"/>
      <c r="D875" s="385"/>
      <c r="E875" s="392"/>
      <c r="F875" s="8"/>
      <c r="G875" s="8"/>
      <c r="H875" s="389"/>
      <c r="I875" s="8" t="b">
        <v>0</v>
      </c>
      <c r="J875" s="388" t="str">
        <f>IFERROR(__xludf.DUMMYFUNCTION("""COMPUTED_VALUE"""),"")</f>
        <v/>
      </c>
      <c r="K875" s="8"/>
      <c r="L875" s="8"/>
      <c r="M875" s="8" t="str">
        <f>IFERROR(__xludf.DUMMYFUNCTION("""COMPUTED_VALUE"""),"")</f>
        <v/>
      </c>
      <c r="N875" s="8" t="str">
        <f>IFERROR(__xludf.DUMMYFUNCTION("""COMPUTED_VALUE"""),"")</f>
        <v/>
      </c>
      <c r="O875" s="8"/>
      <c r="P875" s="8"/>
    </row>
    <row r="876">
      <c r="A876" s="8"/>
      <c r="B876" s="25"/>
      <c r="C876" s="385"/>
      <c r="D876" s="385"/>
      <c r="E876" s="392"/>
      <c r="F876" s="8"/>
      <c r="G876" s="8"/>
      <c r="H876" s="389"/>
      <c r="I876" s="8" t="b">
        <v>0</v>
      </c>
      <c r="J876" s="388" t="str">
        <f>IFERROR(__xludf.DUMMYFUNCTION("""COMPUTED_VALUE"""),"")</f>
        <v/>
      </c>
      <c r="K876" s="8"/>
      <c r="L876" s="8"/>
      <c r="M876" s="8" t="str">
        <f>IFERROR(__xludf.DUMMYFUNCTION("""COMPUTED_VALUE"""),"")</f>
        <v/>
      </c>
      <c r="N876" s="8" t="str">
        <f>IFERROR(__xludf.DUMMYFUNCTION("""COMPUTED_VALUE"""),"")</f>
        <v/>
      </c>
      <c r="O876" s="8"/>
      <c r="P876" s="8"/>
    </row>
    <row r="877">
      <c r="A877" s="8"/>
      <c r="B877" s="25"/>
      <c r="C877" s="385"/>
      <c r="D877" s="385"/>
      <c r="E877" s="392"/>
      <c r="F877" s="8"/>
      <c r="G877" s="8"/>
      <c r="H877" s="389"/>
      <c r="I877" s="8" t="b">
        <v>0</v>
      </c>
      <c r="J877" s="388" t="str">
        <f>IFERROR(__xludf.DUMMYFUNCTION("""COMPUTED_VALUE"""),"")</f>
        <v/>
      </c>
      <c r="K877" s="8"/>
      <c r="L877" s="8"/>
      <c r="M877" s="8" t="str">
        <f>IFERROR(__xludf.DUMMYFUNCTION("""COMPUTED_VALUE"""),"")</f>
        <v/>
      </c>
      <c r="N877" s="8" t="str">
        <f>IFERROR(__xludf.DUMMYFUNCTION("""COMPUTED_VALUE"""),"")</f>
        <v/>
      </c>
      <c r="O877" s="8"/>
      <c r="P877" s="8"/>
    </row>
    <row r="878">
      <c r="A878" s="8"/>
      <c r="B878" s="25"/>
      <c r="C878" s="385"/>
      <c r="D878" s="385"/>
      <c r="E878" s="392"/>
      <c r="F878" s="8"/>
      <c r="G878" s="8"/>
      <c r="H878" s="389"/>
      <c r="I878" s="8" t="b">
        <v>0</v>
      </c>
      <c r="J878" s="388" t="str">
        <f>IFERROR(__xludf.DUMMYFUNCTION("""COMPUTED_VALUE"""),"")</f>
        <v/>
      </c>
      <c r="K878" s="8"/>
      <c r="L878" s="8"/>
      <c r="M878" s="8" t="str">
        <f>IFERROR(__xludf.DUMMYFUNCTION("""COMPUTED_VALUE"""),"")</f>
        <v/>
      </c>
      <c r="N878" s="8" t="str">
        <f>IFERROR(__xludf.DUMMYFUNCTION("""COMPUTED_VALUE"""),"")</f>
        <v/>
      </c>
      <c r="O878" s="8"/>
      <c r="P878" s="8"/>
    </row>
    <row r="879">
      <c r="A879" s="8"/>
      <c r="B879" s="25"/>
      <c r="C879" s="385"/>
      <c r="D879" s="385"/>
      <c r="E879" s="392"/>
      <c r="F879" s="8"/>
      <c r="G879" s="8"/>
      <c r="H879" s="389"/>
      <c r="I879" s="8" t="b">
        <v>0</v>
      </c>
      <c r="J879" s="388" t="str">
        <f>IFERROR(__xludf.DUMMYFUNCTION("""COMPUTED_VALUE"""),"")</f>
        <v/>
      </c>
      <c r="K879" s="8"/>
      <c r="L879" s="8"/>
      <c r="M879" s="8" t="str">
        <f>IFERROR(__xludf.DUMMYFUNCTION("""COMPUTED_VALUE"""),"")</f>
        <v/>
      </c>
      <c r="N879" s="8" t="str">
        <f>IFERROR(__xludf.DUMMYFUNCTION("""COMPUTED_VALUE"""),"")</f>
        <v/>
      </c>
      <c r="O879" s="8"/>
      <c r="P879" s="8"/>
    </row>
    <row r="880">
      <c r="A880" s="8"/>
      <c r="B880" s="25"/>
      <c r="C880" s="385"/>
      <c r="D880" s="385"/>
      <c r="E880" s="392"/>
      <c r="F880" s="8"/>
      <c r="G880" s="8"/>
      <c r="H880" s="389"/>
      <c r="I880" s="8" t="b">
        <v>0</v>
      </c>
      <c r="J880" s="388" t="str">
        <f>IFERROR(__xludf.DUMMYFUNCTION("""COMPUTED_VALUE"""),"")</f>
        <v/>
      </c>
      <c r="K880" s="8"/>
      <c r="L880" s="8"/>
      <c r="M880" s="8" t="str">
        <f>IFERROR(__xludf.DUMMYFUNCTION("""COMPUTED_VALUE"""),"")</f>
        <v/>
      </c>
      <c r="N880" s="8" t="str">
        <f>IFERROR(__xludf.DUMMYFUNCTION("""COMPUTED_VALUE"""),"")</f>
        <v/>
      </c>
      <c r="O880" s="8"/>
      <c r="P880" s="8"/>
    </row>
    <row r="881">
      <c r="A881" s="8"/>
      <c r="B881" s="25"/>
      <c r="C881" s="385"/>
      <c r="D881" s="385"/>
      <c r="E881" s="392"/>
      <c r="F881" s="8"/>
      <c r="G881" s="8"/>
      <c r="H881" s="389"/>
      <c r="I881" s="8" t="b">
        <v>0</v>
      </c>
      <c r="J881" s="388" t="str">
        <f>IFERROR(__xludf.DUMMYFUNCTION("""COMPUTED_VALUE"""),"")</f>
        <v/>
      </c>
      <c r="K881" s="8"/>
      <c r="L881" s="8"/>
      <c r="M881" s="8" t="str">
        <f>IFERROR(__xludf.DUMMYFUNCTION("""COMPUTED_VALUE"""),"")</f>
        <v/>
      </c>
      <c r="N881" s="8" t="str">
        <f>IFERROR(__xludf.DUMMYFUNCTION("""COMPUTED_VALUE"""),"")</f>
        <v/>
      </c>
      <c r="O881" s="8"/>
      <c r="P881" s="8"/>
    </row>
    <row r="882">
      <c r="A882" s="8"/>
      <c r="B882" s="25"/>
      <c r="C882" s="385"/>
      <c r="D882" s="385"/>
      <c r="E882" s="392"/>
      <c r="F882" s="8"/>
      <c r="G882" s="8"/>
      <c r="H882" s="389"/>
      <c r="I882" s="8" t="b">
        <v>0</v>
      </c>
      <c r="J882" s="388" t="str">
        <f>IFERROR(__xludf.DUMMYFUNCTION("""COMPUTED_VALUE"""),"")</f>
        <v/>
      </c>
      <c r="K882" s="8"/>
      <c r="L882" s="8"/>
      <c r="M882" s="8" t="str">
        <f>IFERROR(__xludf.DUMMYFUNCTION("""COMPUTED_VALUE"""),"")</f>
        <v/>
      </c>
      <c r="N882" s="8" t="str">
        <f>IFERROR(__xludf.DUMMYFUNCTION("""COMPUTED_VALUE"""),"")</f>
        <v/>
      </c>
      <c r="O882" s="8"/>
      <c r="P882" s="8"/>
    </row>
    <row r="883">
      <c r="A883" s="8"/>
      <c r="B883" s="25"/>
      <c r="C883" s="385"/>
      <c r="D883" s="385"/>
      <c r="E883" s="392"/>
      <c r="F883" s="8"/>
      <c r="G883" s="8"/>
      <c r="H883" s="389"/>
      <c r="I883" s="8" t="b">
        <v>0</v>
      </c>
      <c r="J883" s="388" t="str">
        <f>IFERROR(__xludf.DUMMYFUNCTION("""COMPUTED_VALUE"""),"")</f>
        <v/>
      </c>
      <c r="K883" s="8"/>
      <c r="L883" s="8"/>
      <c r="M883" s="8" t="str">
        <f>IFERROR(__xludf.DUMMYFUNCTION("""COMPUTED_VALUE"""),"")</f>
        <v/>
      </c>
      <c r="N883" s="8" t="str">
        <f>IFERROR(__xludf.DUMMYFUNCTION("""COMPUTED_VALUE"""),"")</f>
        <v/>
      </c>
      <c r="O883" s="8"/>
      <c r="P883" s="8"/>
    </row>
    <row r="884">
      <c r="A884" s="8"/>
      <c r="B884" s="25"/>
      <c r="C884" s="385"/>
      <c r="D884" s="385"/>
      <c r="E884" s="392"/>
      <c r="F884" s="8"/>
      <c r="G884" s="8"/>
      <c r="H884" s="389"/>
      <c r="I884" s="8" t="b">
        <v>0</v>
      </c>
      <c r="J884" s="388" t="str">
        <f>IFERROR(__xludf.DUMMYFUNCTION("""COMPUTED_VALUE"""),"")</f>
        <v/>
      </c>
      <c r="K884" s="8"/>
      <c r="L884" s="8"/>
      <c r="M884" s="8" t="str">
        <f>IFERROR(__xludf.DUMMYFUNCTION("""COMPUTED_VALUE"""),"")</f>
        <v/>
      </c>
      <c r="N884" s="8" t="str">
        <f>IFERROR(__xludf.DUMMYFUNCTION("""COMPUTED_VALUE"""),"")</f>
        <v/>
      </c>
      <c r="O884" s="8"/>
      <c r="P884" s="8"/>
    </row>
    <row r="885">
      <c r="A885" s="8"/>
      <c r="B885" s="25"/>
      <c r="C885" s="385"/>
      <c r="D885" s="385"/>
      <c r="E885" s="392"/>
      <c r="F885" s="8"/>
      <c r="G885" s="8"/>
      <c r="H885" s="389"/>
      <c r="I885" s="8" t="b">
        <v>0</v>
      </c>
      <c r="J885" s="388" t="str">
        <f>IFERROR(__xludf.DUMMYFUNCTION("""COMPUTED_VALUE"""),"")</f>
        <v/>
      </c>
      <c r="K885" s="8"/>
      <c r="L885" s="8"/>
      <c r="M885" s="8" t="str">
        <f>IFERROR(__xludf.DUMMYFUNCTION("""COMPUTED_VALUE"""),"")</f>
        <v/>
      </c>
      <c r="N885" s="8" t="str">
        <f>IFERROR(__xludf.DUMMYFUNCTION("""COMPUTED_VALUE"""),"")</f>
        <v/>
      </c>
      <c r="O885" s="8"/>
      <c r="P885" s="8"/>
    </row>
    <row r="886">
      <c r="A886" s="8"/>
      <c r="B886" s="25"/>
      <c r="C886" s="385"/>
      <c r="D886" s="385"/>
      <c r="E886" s="392"/>
      <c r="F886" s="8"/>
      <c r="G886" s="8"/>
      <c r="H886" s="389"/>
      <c r="I886" s="8" t="b">
        <v>0</v>
      </c>
      <c r="J886" s="388" t="str">
        <f>IFERROR(__xludf.DUMMYFUNCTION("""COMPUTED_VALUE"""),"")</f>
        <v/>
      </c>
      <c r="K886" s="8"/>
      <c r="L886" s="8"/>
      <c r="M886" s="8" t="str">
        <f>IFERROR(__xludf.DUMMYFUNCTION("""COMPUTED_VALUE"""),"")</f>
        <v/>
      </c>
      <c r="N886" s="8" t="str">
        <f>IFERROR(__xludf.DUMMYFUNCTION("""COMPUTED_VALUE"""),"")</f>
        <v/>
      </c>
      <c r="O886" s="8"/>
      <c r="P886" s="8"/>
    </row>
    <row r="887">
      <c r="A887" s="8"/>
      <c r="B887" s="25"/>
      <c r="C887" s="385"/>
      <c r="D887" s="385"/>
      <c r="E887" s="392"/>
      <c r="F887" s="8"/>
      <c r="G887" s="8"/>
      <c r="H887" s="389"/>
      <c r="I887" s="8" t="b">
        <v>0</v>
      </c>
      <c r="J887" s="388" t="str">
        <f>IFERROR(__xludf.DUMMYFUNCTION("""COMPUTED_VALUE"""),"")</f>
        <v/>
      </c>
      <c r="K887" s="8"/>
      <c r="L887" s="8"/>
      <c r="M887" s="8" t="str">
        <f>IFERROR(__xludf.DUMMYFUNCTION("""COMPUTED_VALUE"""),"")</f>
        <v/>
      </c>
      <c r="N887" s="8" t="str">
        <f>IFERROR(__xludf.DUMMYFUNCTION("""COMPUTED_VALUE"""),"")</f>
        <v/>
      </c>
      <c r="O887" s="8"/>
      <c r="P887" s="8"/>
    </row>
    <row r="888">
      <c r="A888" s="8"/>
      <c r="B888" s="25"/>
      <c r="C888" s="385"/>
      <c r="D888" s="385"/>
      <c r="E888" s="392"/>
      <c r="F888" s="8"/>
      <c r="G888" s="8"/>
      <c r="H888" s="389"/>
      <c r="I888" s="8" t="b">
        <v>0</v>
      </c>
      <c r="J888" s="388" t="str">
        <f>IFERROR(__xludf.DUMMYFUNCTION("""COMPUTED_VALUE"""),"")</f>
        <v/>
      </c>
      <c r="K888" s="8"/>
      <c r="L888" s="8"/>
      <c r="M888" s="8" t="str">
        <f>IFERROR(__xludf.DUMMYFUNCTION("""COMPUTED_VALUE"""),"")</f>
        <v/>
      </c>
      <c r="N888" s="8" t="str">
        <f>IFERROR(__xludf.DUMMYFUNCTION("""COMPUTED_VALUE"""),"")</f>
        <v/>
      </c>
      <c r="O888" s="8"/>
      <c r="P888" s="8"/>
    </row>
    <row r="889">
      <c r="A889" s="8"/>
      <c r="B889" s="25"/>
      <c r="C889" s="385"/>
      <c r="D889" s="385"/>
      <c r="E889" s="392"/>
      <c r="F889" s="8"/>
      <c r="G889" s="8"/>
      <c r="H889" s="389"/>
      <c r="I889" s="8" t="b">
        <v>0</v>
      </c>
      <c r="J889" s="388" t="str">
        <f>IFERROR(__xludf.DUMMYFUNCTION("""COMPUTED_VALUE"""),"")</f>
        <v/>
      </c>
      <c r="K889" s="8"/>
      <c r="L889" s="8"/>
      <c r="M889" s="8" t="str">
        <f>IFERROR(__xludf.DUMMYFUNCTION("""COMPUTED_VALUE"""),"")</f>
        <v/>
      </c>
      <c r="N889" s="8" t="str">
        <f>IFERROR(__xludf.DUMMYFUNCTION("""COMPUTED_VALUE"""),"")</f>
        <v/>
      </c>
      <c r="O889" s="8"/>
      <c r="P889" s="8"/>
    </row>
    <row r="890">
      <c r="A890" s="8"/>
      <c r="B890" s="25"/>
      <c r="C890" s="385"/>
      <c r="D890" s="385"/>
      <c r="E890" s="392"/>
      <c r="F890" s="8"/>
      <c r="G890" s="8"/>
      <c r="H890" s="389"/>
      <c r="I890" s="8" t="b">
        <v>0</v>
      </c>
      <c r="J890" s="388" t="str">
        <f>IFERROR(__xludf.DUMMYFUNCTION("""COMPUTED_VALUE"""),"")</f>
        <v/>
      </c>
      <c r="K890" s="8"/>
      <c r="L890" s="8"/>
      <c r="M890" s="8" t="str">
        <f>IFERROR(__xludf.DUMMYFUNCTION("""COMPUTED_VALUE"""),"")</f>
        <v/>
      </c>
      <c r="N890" s="8" t="str">
        <f>IFERROR(__xludf.DUMMYFUNCTION("""COMPUTED_VALUE"""),"")</f>
        <v/>
      </c>
      <c r="O890" s="8"/>
      <c r="P890" s="8"/>
    </row>
    <row r="891">
      <c r="A891" s="8"/>
      <c r="B891" s="25"/>
      <c r="C891" s="385"/>
      <c r="D891" s="385"/>
      <c r="E891" s="392"/>
      <c r="F891" s="8"/>
      <c r="G891" s="8"/>
      <c r="H891" s="389"/>
      <c r="I891" s="8" t="b">
        <v>0</v>
      </c>
      <c r="J891" s="388" t="str">
        <f>IFERROR(__xludf.DUMMYFUNCTION("""COMPUTED_VALUE"""),"")</f>
        <v/>
      </c>
      <c r="K891" s="8"/>
      <c r="L891" s="8"/>
      <c r="M891" s="8" t="str">
        <f>IFERROR(__xludf.DUMMYFUNCTION("""COMPUTED_VALUE"""),"")</f>
        <v/>
      </c>
      <c r="N891" s="8" t="str">
        <f>IFERROR(__xludf.DUMMYFUNCTION("""COMPUTED_VALUE"""),"")</f>
        <v/>
      </c>
      <c r="O891" s="8"/>
      <c r="P891" s="8"/>
    </row>
    <row r="892">
      <c r="A892" s="8"/>
      <c r="B892" s="25"/>
      <c r="C892" s="385"/>
      <c r="D892" s="385"/>
      <c r="E892" s="392"/>
      <c r="F892" s="8"/>
      <c r="G892" s="8"/>
      <c r="H892" s="389"/>
      <c r="I892" s="8" t="b">
        <v>0</v>
      </c>
      <c r="J892" s="388" t="str">
        <f>IFERROR(__xludf.DUMMYFUNCTION("""COMPUTED_VALUE"""),"")</f>
        <v/>
      </c>
      <c r="K892" s="8"/>
      <c r="L892" s="8"/>
      <c r="M892" s="8" t="str">
        <f>IFERROR(__xludf.DUMMYFUNCTION("""COMPUTED_VALUE"""),"")</f>
        <v/>
      </c>
      <c r="N892" s="8" t="str">
        <f>IFERROR(__xludf.DUMMYFUNCTION("""COMPUTED_VALUE"""),"")</f>
        <v/>
      </c>
      <c r="O892" s="8"/>
      <c r="P892" s="8"/>
    </row>
    <row r="893">
      <c r="A893" s="8"/>
      <c r="B893" s="25"/>
      <c r="C893" s="385"/>
      <c r="D893" s="385"/>
      <c r="E893" s="392"/>
      <c r="F893" s="8"/>
      <c r="G893" s="8"/>
      <c r="H893" s="389"/>
      <c r="I893" s="8" t="b">
        <v>0</v>
      </c>
      <c r="J893" s="388" t="str">
        <f>IFERROR(__xludf.DUMMYFUNCTION("""COMPUTED_VALUE"""),"")</f>
        <v/>
      </c>
      <c r="K893" s="8"/>
      <c r="L893" s="8"/>
      <c r="M893" s="8" t="str">
        <f>IFERROR(__xludf.DUMMYFUNCTION("""COMPUTED_VALUE"""),"")</f>
        <v/>
      </c>
      <c r="N893" s="8" t="str">
        <f>IFERROR(__xludf.DUMMYFUNCTION("""COMPUTED_VALUE"""),"")</f>
        <v/>
      </c>
      <c r="O893" s="8"/>
      <c r="P893" s="8"/>
    </row>
    <row r="894">
      <c r="A894" s="8"/>
      <c r="B894" s="25"/>
      <c r="C894" s="385"/>
      <c r="D894" s="385"/>
      <c r="E894" s="392"/>
      <c r="F894" s="8"/>
      <c r="G894" s="8"/>
      <c r="H894" s="389"/>
      <c r="I894" s="8" t="b">
        <v>0</v>
      </c>
      <c r="J894" s="388" t="str">
        <f>IFERROR(__xludf.DUMMYFUNCTION("""COMPUTED_VALUE"""),"")</f>
        <v/>
      </c>
      <c r="K894" s="8"/>
      <c r="L894" s="8"/>
      <c r="M894" s="8" t="str">
        <f>IFERROR(__xludf.DUMMYFUNCTION("""COMPUTED_VALUE"""),"")</f>
        <v/>
      </c>
      <c r="N894" s="8" t="str">
        <f>IFERROR(__xludf.DUMMYFUNCTION("""COMPUTED_VALUE"""),"")</f>
        <v/>
      </c>
      <c r="O894" s="8"/>
      <c r="P894" s="8"/>
    </row>
    <row r="895">
      <c r="A895" s="8"/>
      <c r="B895" s="25"/>
      <c r="C895" s="385"/>
      <c r="D895" s="385"/>
      <c r="E895" s="392"/>
      <c r="F895" s="8"/>
      <c r="G895" s="8"/>
      <c r="H895" s="389"/>
      <c r="I895" s="8" t="b">
        <v>0</v>
      </c>
      <c r="J895" s="388" t="str">
        <f>IFERROR(__xludf.DUMMYFUNCTION("""COMPUTED_VALUE"""),"")</f>
        <v/>
      </c>
      <c r="K895" s="8"/>
      <c r="L895" s="8"/>
      <c r="M895" s="8" t="str">
        <f>IFERROR(__xludf.DUMMYFUNCTION("""COMPUTED_VALUE"""),"")</f>
        <v/>
      </c>
      <c r="N895" s="8" t="str">
        <f>IFERROR(__xludf.DUMMYFUNCTION("""COMPUTED_VALUE"""),"")</f>
        <v/>
      </c>
      <c r="O895" s="8"/>
      <c r="P895" s="8"/>
    </row>
    <row r="896">
      <c r="A896" s="8"/>
      <c r="B896" s="25"/>
      <c r="C896" s="385"/>
      <c r="D896" s="385"/>
      <c r="E896" s="392"/>
      <c r="F896" s="8"/>
      <c r="G896" s="8"/>
      <c r="H896" s="389"/>
      <c r="I896" s="8" t="b">
        <v>0</v>
      </c>
      <c r="J896" s="388" t="str">
        <f>IFERROR(__xludf.DUMMYFUNCTION("""COMPUTED_VALUE"""),"")</f>
        <v/>
      </c>
      <c r="K896" s="8"/>
      <c r="L896" s="8"/>
      <c r="M896" s="8" t="str">
        <f>IFERROR(__xludf.DUMMYFUNCTION("""COMPUTED_VALUE"""),"")</f>
        <v/>
      </c>
      <c r="N896" s="8" t="str">
        <f>IFERROR(__xludf.DUMMYFUNCTION("""COMPUTED_VALUE"""),"")</f>
        <v/>
      </c>
      <c r="O896" s="8"/>
      <c r="P896" s="8"/>
    </row>
    <row r="897">
      <c r="A897" s="8"/>
      <c r="B897" s="25"/>
      <c r="C897" s="385"/>
      <c r="D897" s="385"/>
      <c r="E897" s="392"/>
      <c r="F897" s="8"/>
      <c r="G897" s="8"/>
      <c r="H897" s="389"/>
      <c r="I897" s="8" t="b">
        <v>0</v>
      </c>
      <c r="J897" s="388" t="str">
        <f>IFERROR(__xludf.DUMMYFUNCTION("""COMPUTED_VALUE"""),"")</f>
        <v/>
      </c>
      <c r="K897" s="8"/>
      <c r="L897" s="8"/>
      <c r="M897" s="8" t="str">
        <f>IFERROR(__xludf.DUMMYFUNCTION("""COMPUTED_VALUE"""),"")</f>
        <v/>
      </c>
      <c r="N897" s="8" t="str">
        <f>IFERROR(__xludf.DUMMYFUNCTION("""COMPUTED_VALUE"""),"")</f>
        <v/>
      </c>
      <c r="O897" s="8"/>
      <c r="P897" s="8"/>
    </row>
    <row r="898">
      <c r="A898" s="8"/>
      <c r="B898" s="25"/>
      <c r="C898" s="385"/>
      <c r="D898" s="385"/>
      <c r="E898" s="392"/>
      <c r="F898" s="8"/>
      <c r="G898" s="8"/>
      <c r="H898" s="389"/>
      <c r="I898" s="8" t="b">
        <v>0</v>
      </c>
      <c r="J898" s="388" t="str">
        <f>IFERROR(__xludf.DUMMYFUNCTION("""COMPUTED_VALUE"""),"")</f>
        <v/>
      </c>
      <c r="K898" s="8"/>
      <c r="L898" s="8"/>
      <c r="M898" s="8" t="str">
        <f>IFERROR(__xludf.DUMMYFUNCTION("""COMPUTED_VALUE"""),"")</f>
        <v/>
      </c>
      <c r="N898" s="8" t="str">
        <f>IFERROR(__xludf.DUMMYFUNCTION("""COMPUTED_VALUE"""),"")</f>
        <v/>
      </c>
      <c r="O898" s="8"/>
      <c r="P898" s="8"/>
    </row>
    <row r="899">
      <c r="A899" s="8"/>
      <c r="B899" s="25"/>
      <c r="C899" s="385"/>
      <c r="D899" s="385"/>
      <c r="E899" s="392"/>
      <c r="F899" s="8"/>
      <c r="G899" s="8"/>
      <c r="H899" s="389"/>
      <c r="I899" s="8" t="b">
        <v>0</v>
      </c>
      <c r="J899" s="388" t="str">
        <f>IFERROR(__xludf.DUMMYFUNCTION("""COMPUTED_VALUE"""),"")</f>
        <v/>
      </c>
      <c r="K899" s="8"/>
      <c r="L899" s="8"/>
      <c r="M899" s="8" t="str">
        <f>IFERROR(__xludf.DUMMYFUNCTION("""COMPUTED_VALUE"""),"")</f>
        <v/>
      </c>
      <c r="N899" s="8" t="str">
        <f>IFERROR(__xludf.DUMMYFUNCTION("""COMPUTED_VALUE"""),"")</f>
        <v/>
      </c>
      <c r="O899" s="8"/>
      <c r="P899" s="8"/>
    </row>
    <row r="900">
      <c r="A900" s="8"/>
      <c r="B900" s="25"/>
      <c r="C900" s="385"/>
      <c r="D900" s="385"/>
      <c r="E900" s="392"/>
      <c r="F900" s="8"/>
      <c r="G900" s="8"/>
      <c r="H900" s="389"/>
      <c r="I900" s="8" t="b">
        <v>0</v>
      </c>
      <c r="J900" s="388" t="str">
        <f>IFERROR(__xludf.DUMMYFUNCTION("""COMPUTED_VALUE"""),"")</f>
        <v/>
      </c>
      <c r="K900" s="8"/>
      <c r="L900" s="8"/>
      <c r="M900" s="8" t="str">
        <f>IFERROR(__xludf.DUMMYFUNCTION("""COMPUTED_VALUE"""),"")</f>
        <v/>
      </c>
      <c r="N900" s="8" t="str">
        <f>IFERROR(__xludf.DUMMYFUNCTION("""COMPUTED_VALUE"""),"")</f>
        <v/>
      </c>
      <c r="O900" s="8"/>
      <c r="P900" s="8"/>
    </row>
    <row r="901">
      <c r="A901" s="8"/>
      <c r="B901" s="25"/>
      <c r="C901" s="385"/>
      <c r="D901" s="385"/>
      <c r="E901" s="392"/>
      <c r="F901" s="8"/>
      <c r="G901" s="8"/>
      <c r="H901" s="389"/>
      <c r="I901" s="8" t="b">
        <v>0</v>
      </c>
      <c r="J901" s="388" t="str">
        <f>IFERROR(__xludf.DUMMYFUNCTION("""COMPUTED_VALUE"""),"")</f>
        <v/>
      </c>
      <c r="K901" s="8"/>
      <c r="L901" s="8"/>
      <c r="M901" s="8" t="str">
        <f>IFERROR(__xludf.DUMMYFUNCTION("""COMPUTED_VALUE"""),"")</f>
        <v/>
      </c>
      <c r="N901" s="8" t="str">
        <f>IFERROR(__xludf.DUMMYFUNCTION("""COMPUTED_VALUE"""),"")</f>
        <v/>
      </c>
      <c r="O901" s="8"/>
      <c r="P901" s="8"/>
    </row>
    <row r="902">
      <c r="A902" s="8"/>
      <c r="B902" s="25"/>
      <c r="C902" s="385"/>
      <c r="D902" s="385"/>
      <c r="E902" s="392"/>
      <c r="F902" s="8"/>
      <c r="G902" s="8"/>
      <c r="H902" s="389"/>
      <c r="I902" s="8" t="b">
        <v>0</v>
      </c>
      <c r="J902" s="388" t="str">
        <f>IFERROR(__xludf.DUMMYFUNCTION("""COMPUTED_VALUE"""),"")</f>
        <v/>
      </c>
      <c r="K902" s="8"/>
      <c r="L902" s="8"/>
      <c r="M902" s="8" t="str">
        <f>IFERROR(__xludf.DUMMYFUNCTION("""COMPUTED_VALUE"""),"")</f>
        <v/>
      </c>
      <c r="N902" s="8" t="str">
        <f>IFERROR(__xludf.DUMMYFUNCTION("""COMPUTED_VALUE"""),"")</f>
        <v/>
      </c>
      <c r="O902" s="8"/>
      <c r="P902" s="8"/>
    </row>
    <row r="903">
      <c r="A903" s="8"/>
      <c r="B903" s="25"/>
      <c r="C903" s="385"/>
      <c r="D903" s="385"/>
      <c r="E903" s="392"/>
      <c r="F903" s="8"/>
      <c r="G903" s="8"/>
      <c r="H903" s="389"/>
      <c r="I903" s="8" t="b">
        <v>0</v>
      </c>
      <c r="J903" s="388" t="str">
        <f>IFERROR(__xludf.DUMMYFUNCTION("""COMPUTED_VALUE"""),"")</f>
        <v/>
      </c>
      <c r="K903" s="8"/>
      <c r="L903" s="8"/>
      <c r="M903" s="8" t="str">
        <f>IFERROR(__xludf.DUMMYFUNCTION("""COMPUTED_VALUE"""),"")</f>
        <v/>
      </c>
      <c r="N903" s="8" t="str">
        <f>IFERROR(__xludf.DUMMYFUNCTION("""COMPUTED_VALUE"""),"")</f>
        <v/>
      </c>
      <c r="O903" s="8"/>
      <c r="P903" s="8"/>
    </row>
    <row r="904">
      <c r="A904" s="8"/>
      <c r="B904" s="25"/>
      <c r="C904" s="385"/>
      <c r="D904" s="385"/>
      <c r="E904" s="392"/>
      <c r="F904" s="8"/>
      <c r="G904" s="8"/>
      <c r="H904" s="389"/>
      <c r="I904" s="8" t="b">
        <v>0</v>
      </c>
      <c r="J904" s="388" t="str">
        <f>IFERROR(__xludf.DUMMYFUNCTION("""COMPUTED_VALUE"""),"")</f>
        <v/>
      </c>
      <c r="K904" s="8"/>
      <c r="L904" s="8"/>
      <c r="M904" s="8" t="str">
        <f>IFERROR(__xludf.DUMMYFUNCTION("""COMPUTED_VALUE"""),"")</f>
        <v/>
      </c>
      <c r="N904" s="8" t="str">
        <f>IFERROR(__xludf.DUMMYFUNCTION("""COMPUTED_VALUE"""),"")</f>
        <v/>
      </c>
      <c r="O904" s="8"/>
      <c r="P904" s="8"/>
    </row>
    <row r="905">
      <c r="A905" s="8"/>
      <c r="B905" s="25"/>
      <c r="C905" s="385"/>
      <c r="D905" s="385"/>
      <c r="E905" s="392"/>
      <c r="F905" s="8"/>
      <c r="G905" s="8"/>
      <c r="H905" s="389"/>
      <c r="I905" s="8" t="b">
        <v>0</v>
      </c>
      <c r="J905" s="388" t="str">
        <f>IFERROR(__xludf.DUMMYFUNCTION("""COMPUTED_VALUE"""),"")</f>
        <v/>
      </c>
      <c r="K905" s="8"/>
      <c r="L905" s="8"/>
      <c r="M905" s="8" t="str">
        <f>IFERROR(__xludf.DUMMYFUNCTION("""COMPUTED_VALUE"""),"")</f>
        <v/>
      </c>
      <c r="N905" s="8" t="str">
        <f>IFERROR(__xludf.DUMMYFUNCTION("""COMPUTED_VALUE"""),"")</f>
        <v/>
      </c>
      <c r="O905" s="8"/>
      <c r="P905" s="8"/>
    </row>
    <row r="906">
      <c r="A906" s="8"/>
      <c r="B906" s="25"/>
      <c r="C906" s="385"/>
      <c r="D906" s="385"/>
      <c r="E906" s="392"/>
      <c r="F906" s="8"/>
      <c r="G906" s="8"/>
      <c r="H906" s="389"/>
      <c r="I906" s="8" t="b">
        <v>0</v>
      </c>
      <c r="J906" s="388" t="str">
        <f>IFERROR(__xludf.DUMMYFUNCTION("""COMPUTED_VALUE"""),"")</f>
        <v/>
      </c>
      <c r="K906" s="8"/>
      <c r="L906" s="8"/>
      <c r="M906" s="8" t="str">
        <f>IFERROR(__xludf.DUMMYFUNCTION("""COMPUTED_VALUE"""),"")</f>
        <v/>
      </c>
      <c r="N906" s="8" t="str">
        <f>IFERROR(__xludf.DUMMYFUNCTION("""COMPUTED_VALUE"""),"")</f>
        <v/>
      </c>
      <c r="O906" s="8"/>
      <c r="P906" s="8"/>
    </row>
    <row r="907">
      <c r="A907" s="8"/>
      <c r="B907" s="25"/>
      <c r="C907" s="385"/>
      <c r="D907" s="385"/>
      <c r="E907" s="392"/>
      <c r="F907" s="8"/>
      <c r="G907" s="8"/>
      <c r="H907" s="389"/>
      <c r="I907" s="8" t="b">
        <v>0</v>
      </c>
      <c r="J907" s="388" t="str">
        <f>IFERROR(__xludf.DUMMYFUNCTION("""COMPUTED_VALUE"""),"")</f>
        <v/>
      </c>
      <c r="K907" s="8"/>
      <c r="L907" s="8"/>
      <c r="M907" s="8" t="str">
        <f>IFERROR(__xludf.DUMMYFUNCTION("""COMPUTED_VALUE"""),"")</f>
        <v/>
      </c>
      <c r="N907" s="8" t="str">
        <f>IFERROR(__xludf.DUMMYFUNCTION("""COMPUTED_VALUE"""),"")</f>
        <v/>
      </c>
      <c r="O907" s="8"/>
      <c r="P907" s="8"/>
    </row>
    <row r="908">
      <c r="A908" s="8"/>
      <c r="B908" s="25"/>
      <c r="C908" s="385"/>
      <c r="D908" s="385"/>
      <c r="E908" s="392"/>
      <c r="F908" s="8"/>
      <c r="G908" s="8"/>
      <c r="H908" s="389"/>
      <c r="I908" s="8" t="b">
        <v>0</v>
      </c>
      <c r="J908" s="388" t="str">
        <f>IFERROR(__xludf.DUMMYFUNCTION("""COMPUTED_VALUE"""),"")</f>
        <v/>
      </c>
      <c r="K908" s="8"/>
      <c r="L908" s="8"/>
      <c r="M908" s="8" t="str">
        <f>IFERROR(__xludf.DUMMYFUNCTION("""COMPUTED_VALUE"""),"")</f>
        <v/>
      </c>
      <c r="N908" s="8" t="str">
        <f>IFERROR(__xludf.DUMMYFUNCTION("""COMPUTED_VALUE"""),"")</f>
        <v/>
      </c>
      <c r="O908" s="8"/>
      <c r="P908" s="8"/>
    </row>
    <row r="909">
      <c r="A909" s="8"/>
      <c r="B909" s="25"/>
      <c r="C909" s="385"/>
      <c r="D909" s="385"/>
      <c r="E909" s="392"/>
      <c r="F909" s="8"/>
      <c r="G909" s="8"/>
      <c r="H909" s="389"/>
      <c r="I909" s="8" t="b">
        <v>0</v>
      </c>
      <c r="J909" s="388" t="str">
        <f>IFERROR(__xludf.DUMMYFUNCTION("""COMPUTED_VALUE"""),"")</f>
        <v/>
      </c>
      <c r="K909" s="8"/>
      <c r="L909" s="8"/>
      <c r="M909" s="8" t="str">
        <f>IFERROR(__xludf.DUMMYFUNCTION("""COMPUTED_VALUE"""),"")</f>
        <v/>
      </c>
      <c r="N909" s="8" t="str">
        <f>IFERROR(__xludf.DUMMYFUNCTION("""COMPUTED_VALUE"""),"")</f>
        <v/>
      </c>
      <c r="O909" s="8"/>
      <c r="P909" s="8"/>
    </row>
    <row r="910">
      <c r="A910" s="8"/>
      <c r="B910" s="25"/>
      <c r="C910" s="385"/>
      <c r="D910" s="385"/>
      <c r="E910" s="392"/>
      <c r="F910" s="8"/>
      <c r="G910" s="8"/>
      <c r="H910" s="389"/>
      <c r="I910" s="8" t="b">
        <v>0</v>
      </c>
      <c r="J910" s="388" t="str">
        <f>IFERROR(__xludf.DUMMYFUNCTION("""COMPUTED_VALUE"""),"")</f>
        <v/>
      </c>
      <c r="K910" s="8"/>
      <c r="L910" s="8"/>
      <c r="M910" s="8" t="str">
        <f>IFERROR(__xludf.DUMMYFUNCTION("""COMPUTED_VALUE"""),"")</f>
        <v/>
      </c>
      <c r="N910" s="8" t="str">
        <f>IFERROR(__xludf.DUMMYFUNCTION("""COMPUTED_VALUE"""),"")</f>
        <v/>
      </c>
      <c r="O910" s="8"/>
      <c r="P910" s="8"/>
    </row>
    <row r="911">
      <c r="A911" s="8"/>
      <c r="B911" s="25"/>
      <c r="C911" s="385"/>
      <c r="D911" s="385"/>
      <c r="E911" s="392"/>
      <c r="F911" s="8"/>
      <c r="G911" s="8"/>
      <c r="H911" s="389"/>
      <c r="I911" s="8" t="b">
        <v>0</v>
      </c>
      <c r="J911" s="388" t="str">
        <f>IFERROR(__xludf.DUMMYFUNCTION("""COMPUTED_VALUE"""),"")</f>
        <v/>
      </c>
      <c r="K911" s="8"/>
      <c r="L911" s="8"/>
      <c r="M911" s="8" t="str">
        <f>IFERROR(__xludf.DUMMYFUNCTION("""COMPUTED_VALUE"""),"")</f>
        <v/>
      </c>
      <c r="N911" s="8" t="str">
        <f>IFERROR(__xludf.DUMMYFUNCTION("""COMPUTED_VALUE"""),"")</f>
        <v/>
      </c>
      <c r="O911" s="8"/>
      <c r="P911" s="8"/>
    </row>
    <row r="912">
      <c r="A912" s="8"/>
      <c r="B912" s="25"/>
      <c r="C912" s="385"/>
      <c r="D912" s="385"/>
      <c r="E912" s="392"/>
      <c r="F912" s="8"/>
      <c r="G912" s="8"/>
      <c r="H912" s="389"/>
      <c r="I912" s="8" t="b">
        <v>0</v>
      </c>
      <c r="J912" s="388" t="str">
        <f>IFERROR(__xludf.DUMMYFUNCTION("""COMPUTED_VALUE"""),"")</f>
        <v/>
      </c>
      <c r="K912" s="8"/>
      <c r="L912" s="8"/>
      <c r="M912" s="8" t="str">
        <f>IFERROR(__xludf.DUMMYFUNCTION("""COMPUTED_VALUE"""),"")</f>
        <v/>
      </c>
      <c r="N912" s="8" t="str">
        <f>IFERROR(__xludf.DUMMYFUNCTION("""COMPUTED_VALUE"""),"")</f>
        <v/>
      </c>
      <c r="O912" s="8"/>
      <c r="P912" s="8"/>
    </row>
    <row r="913">
      <c r="A913" s="8"/>
      <c r="B913" s="25"/>
      <c r="C913" s="385"/>
      <c r="D913" s="385"/>
      <c r="E913" s="392"/>
      <c r="F913" s="8"/>
      <c r="G913" s="8"/>
      <c r="H913" s="389"/>
      <c r="I913" s="8" t="b">
        <v>0</v>
      </c>
      <c r="J913" s="388" t="str">
        <f>IFERROR(__xludf.DUMMYFUNCTION("""COMPUTED_VALUE"""),"")</f>
        <v/>
      </c>
      <c r="K913" s="8"/>
      <c r="L913" s="8"/>
      <c r="M913" s="8" t="str">
        <f>IFERROR(__xludf.DUMMYFUNCTION("""COMPUTED_VALUE"""),"")</f>
        <v/>
      </c>
      <c r="N913" s="8" t="str">
        <f>IFERROR(__xludf.DUMMYFUNCTION("""COMPUTED_VALUE"""),"")</f>
        <v/>
      </c>
      <c r="O913" s="8"/>
      <c r="P913" s="8"/>
    </row>
    <row r="914">
      <c r="A914" s="8"/>
      <c r="B914" s="25"/>
      <c r="C914" s="385"/>
      <c r="D914" s="385"/>
      <c r="E914" s="392"/>
      <c r="F914" s="8"/>
      <c r="G914" s="8"/>
      <c r="H914" s="389"/>
      <c r="I914" s="8" t="b">
        <v>0</v>
      </c>
      <c r="J914" s="388" t="str">
        <f>IFERROR(__xludf.DUMMYFUNCTION("""COMPUTED_VALUE"""),"")</f>
        <v/>
      </c>
      <c r="K914" s="8"/>
      <c r="L914" s="8"/>
      <c r="M914" s="8" t="str">
        <f>IFERROR(__xludf.DUMMYFUNCTION("""COMPUTED_VALUE"""),"")</f>
        <v/>
      </c>
      <c r="N914" s="8" t="str">
        <f>IFERROR(__xludf.DUMMYFUNCTION("""COMPUTED_VALUE"""),"")</f>
        <v/>
      </c>
      <c r="O914" s="8"/>
      <c r="P914" s="8"/>
    </row>
    <row r="915">
      <c r="A915" s="8"/>
      <c r="B915" s="25"/>
      <c r="C915" s="385"/>
      <c r="D915" s="385"/>
      <c r="E915" s="392"/>
      <c r="F915" s="8"/>
      <c r="G915" s="8"/>
      <c r="H915" s="389"/>
      <c r="I915" s="8" t="b">
        <v>0</v>
      </c>
      <c r="J915" s="388" t="str">
        <f>IFERROR(__xludf.DUMMYFUNCTION("""COMPUTED_VALUE"""),"")</f>
        <v/>
      </c>
      <c r="K915" s="8"/>
      <c r="L915" s="8"/>
      <c r="M915" s="8" t="str">
        <f>IFERROR(__xludf.DUMMYFUNCTION("""COMPUTED_VALUE"""),"")</f>
        <v/>
      </c>
      <c r="N915" s="8" t="str">
        <f>IFERROR(__xludf.DUMMYFUNCTION("""COMPUTED_VALUE"""),"")</f>
        <v/>
      </c>
      <c r="O915" s="8"/>
      <c r="P915" s="8"/>
    </row>
    <row r="916">
      <c r="A916" s="8"/>
      <c r="B916" s="25"/>
      <c r="C916" s="385"/>
      <c r="D916" s="385"/>
      <c r="E916" s="392"/>
      <c r="F916" s="8"/>
      <c r="G916" s="8"/>
      <c r="H916" s="389"/>
      <c r="I916" s="8" t="b">
        <v>0</v>
      </c>
      <c r="J916" s="388" t="str">
        <f>IFERROR(__xludf.DUMMYFUNCTION("""COMPUTED_VALUE"""),"")</f>
        <v/>
      </c>
      <c r="K916" s="8"/>
      <c r="L916" s="8"/>
      <c r="M916" s="8" t="str">
        <f>IFERROR(__xludf.DUMMYFUNCTION("""COMPUTED_VALUE"""),"")</f>
        <v/>
      </c>
      <c r="N916" s="8" t="str">
        <f>IFERROR(__xludf.DUMMYFUNCTION("""COMPUTED_VALUE"""),"")</f>
        <v/>
      </c>
      <c r="O916" s="8"/>
      <c r="P916" s="8"/>
    </row>
    <row r="917">
      <c r="A917" s="8"/>
      <c r="B917" s="25"/>
      <c r="C917" s="385"/>
      <c r="D917" s="385"/>
      <c r="E917" s="392"/>
      <c r="F917" s="8"/>
      <c r="G917" s="8"/>
      <c r="H917" s="389"/>
      <c r="I917" s="8" t="b">
        <v>0</v>
      </c>
      <c r="J917" s="388" t="str">
        <f>IFERROR(__xludf.DUMMYFUNCTION("""COMPUTED_VALUE"""),"")</f>
        <v/>
      </c>
      <c r="K917" s="8"/>
      <c r="L917" s="8"/>
      <c r="M917" s="8" t="str">
        <f>IFERROR(__xludf.DUMMYFUNCTION("""COMPUTED_VALUE"""),"")</f>
        <v/>
      </c>
      <c r="N917" s="8" t="str">
        <f>IFERROR(__xludf.DUMMYFUNCTION("""COMPUTED_VALUE"""),"")</f>
        <v/>
      </c>
      <c r="O917" s="8"/>
      <c r="P917" s="8"/>
    </row>
    <row r="918">
      <c r="A918" s="8"/>
      <c r="B918" s="25"/>
      <c r="C918" s="385"/>
      <c r="D918" s="385"/>
      <c r="E918" s="392"/>
      <c r="F918" s="8"/>
      <c r="G918" s="8"/>
      <c r="H918" s="389"/>
      <c r="I918" s="8" t="b">
        <v>0</v>
      </c>
      <c r="J918" s="388" t="str">
        <f>IFERROR(__xludf.DUMMYFUNCTION("""COMPUTED_VALUE"""),"")</f>
        <v/>
      </c>
      <c r="K918" s="8"/>
      <c r="L918" s="8"/>
      <c r="M918" s="8" t="str">
        <f>IFERROR(__xludf.DUMMYFUNCTION("""COMPUTED_VALUE"""),"")</f>
        <v/>
      </c>
      <c r="N918" s="8" t="str">
        <f>IFERROR(__xludf.DUMMYFUNCTION("""COMPUTED_VALUE"""),"")</f>
        <v/>
      </c>
      <c r="O918" s="8"/>
      <c r="P918" s="8"/>
    </row>
    <row r="919">
      <c r="A919" s="8"/>
      <c r="B919" s="25"/>
      <c r="C919" s="385"/>
      <c r="D919" s="385"/>
      <c r="E919" s="392"/>
      <c r="F919" s="8"/>
      <c r="G919" s="8"/>
      <c r="H919" s="389"/>
      <c r="I919" s="8" t="b">
        <v>0</v>
      </c>
      <c r="J919" s="388" t="str">
        <f>IFERROR(__xludf.DUMMYFUNCTION("""COMPUTED_VALUE"""),"")</f>
        <v/>
      </c>
      <c r="K919" s="8"/>
      <c r="L919" s="8"/>
      <c r="M919" s="8" t="str">
        <f>IFERROR(__xludf.DUMMYFUNCTION("""COMPUTED_VALUE"""),"")</f>
        <v/>
      </c>
      <c r="N919" s="8" t="str">
        <f>IFERROR(__xludf.DUMMYFUNCTION("""COMPUTED_VALUE"""),"")</f>
        <v/>
      </c>
      <c r="O919" s="8"/>
      <c r="P919" s="8"/>
    </row>
    <row r="920">
      <c r="A920" s="8"/>
      <c r="B920" s="25"/>
      <c r="C920" s="385"/>
      <c r="D920" s="385"/>
      <c r="E920" s="392"/>
      <c r="F920" s="8"/>
      <c r="G920" s="8"/>
      <c r="H920" s="389"/>
      <c r="I920" s="8" t="b">
        <v>0</v>
      </c>
      <c r="J920" s="388" t="str">
        <f>IFERROR(__xludf.DUMMYFUNCTION("""COMPUTED_VALUE"""),"")</f>
        <v/>
      </c>
      <c r="K920" s="8"/>
      <c r="L920" s="8"/>
      <c r="M920" s="8" t="str">
        <f>IFERROR(__xludf.DUMMYFUNCTION("""COMPUTED_VALUE"""),"")</f>
        <v/>
      </c>
      <c r="N920" s="8" t="str">
        <f>IFERROR(__xludf.DUMMYFUNCTION("""COMPUTED_VALUE"""),"")</f>
        <v/>
      </c>
      <c r="O920" s="8"/>
      <c r="P920" s="8"/>
    </row>
    <row r="921">
      <c r="A921" s="8"/>
      <c r="B921" s="25"/>
      <c r="C921" s="385"/>
      <c r="D921" s="385"/>
      <c r="E921" s="392"/>
      <c r="F921" s="8"/>
      <c r="G921" s="8"/>
      <c r="H921" s="389"/>
      <c r="I921" s="8" t="b">
        <v>0</v>
      </c>
      <c r="J921" s="388" t="str">
        <f>IFERROR(__xludf.DUMMYFUNCTION("""COMPUTED_VALUE"""),"")</f>
        <v/>
      </c>
      <c r="K921" s="8"/>
      <c r="L921" s="8"/>
      <c r="M921" s="8" t="str">
        <f>IFERROR(__xludf.DUMMYFUNCTION("""COMPUTED_VALUE"""),"")</f>
        <v/>
      </c>
      <c r="N921" s="8" t="str">
        <f>IFERROR(__xludf.DUMMYFUNCTION("""COMPUTED_VALUE"""),"")</f>
        <v/>
      </c>
      <c r="O921" s="8"/>
      <c r="P921" s="8"/>
    </row>
    <row r="922">
      <c r="A922" s="8"/>
      <c r="B922" s="25"/>
      <c r="C922" s="385"/>
      <c r="D922" s="385"/>
      <c r="E922" s="392"/>
      <c r="F922" s="8"/>
      <c r="G922" s="8"/>
      <c r="H922" s="389"/>
      <c r="I922" s="8" t="b">
        <v>0</v>
      </c>
      <c r="J922" s="388" t="str">
        <f>IFERROR(__xludf.DUMMYFUNCTION("""COMPUTED_VALUE"""),"")</f>
        <v/>
      </c>
      <c r="K922" s="8"/>
      <c r="L922" s="8"/>
      <c r="M922" s="8" t="str">
        <f>IFERROR(__xludf.DUMMYFUNCTION("""COMPUTED_VALUE"""),"")</f>
        <v/>
      </c>
      <c r="N922" s="8" t="str">
        <f>IFERROR(__xludf.DUMMYFUNCTION("""COMPUTED_VALUE"""),"")</f>
        <v/>
      </c>
      <c r="O922" s="8"/>
      <c r="P922" s="8"/>
    </row>
    <row r="923">
      <c r="A923" s="8"/>
      <c r="B923" s="25"/>
      <c r="C923" s="385"/>
      <c r="D923" s="385"/>
      <c r="E923" s="392"/>
      <c r="F923" s="8"/>
      <c r="G923" s="8"/>
      <c r="H923" s="389"/>
      <c r="I923" s="8" t="b">
        <v>0</v>
      </c>
      <c r="J923" s="388" t="str">
        <f>IFERROR(__xludf.DUMMYFUNCTION("""COMPUTED_VALUE"""),"")</f>
        <v/>
      </c>
      <c r="K923" s="8"/>
      <c r="L923" s="8"/>
      <c r="M923" s="8" t="str">
        <f>IFERROR(__xludf.DUMMYFUNCTION("""COMPUTED_VALUE"""),"")</f>
        <v/>
      </c>
      <c r="N923" s="8" t="str">
        <f>IFERROR(__xludf.DUMMYFUNCTION("""COMPUTED_VALUE"""),"")</f>
        <v/>
      </c>
      <c r="O923" s="8"/>
      <c r="P923" s="8"/>
    </row>
    <row r="924">
      <c r="A924" s="8"/>
      <c r="B924" s="25"/>
      <c r="C924" s="385"/>
      <c r="D924" s="385"/>
      <c r="E924" s="392"/>
      <c r="F924" s="8"/>
      <c r="G924" s="8"/>
      <c r="H924" s="389"/>
      <c r="I924" s="8" t="b">
        <v>0</v>
      </c>
      <c r="J924" s="388" t="str">
        <f>IFERROR(__xludf.DUMMYFUNCTION("""COMPUTED_VALUE"""),"")</f>
        <v/>
      </c>
      <c r="K924" s="8"/>
      <c r="L924" s="8"/>
      <c r="M924" s="8" t="str">
        <f>IFERROR(__xludf.DUMMYFUNCTION("""COMPUTED_VALUE"""),"")</f>
        <v/>
      </c>
      <c r="N924" s="8" t="str">
        <f>IFERROR(__xludf.DUMMYFUNCTION("""COMPUTED_VALUE"""),"")</f>
        <v/>
      </c>
      <c r="O924" s="8"/>
      <c r="P924" s="8"/>
    </row>
    <row r="925">
      <c r="A925" s="8"/>
      <c r="B925" s="25"/>
      <c r="C925" s="385"/>
      <c r="D925" s="385"/>
      <c r="E925" s="392"/>
      <c r="F925" s="8"/>
      <c r="G925" s="8"/>
      <c r="H925" s="389"/>
      <c r="I925" s="8" t="b">
        <v>0</v>
      </c>
      <c r="J925" s="388" t="str">
        <f>IFERROR(__xludf.DUMMYFUNCTION("""COMPUTED_VALUE"""),"")</f>
        <v/>
      </c>
      <c r="K925" s="8"/>
      <c r="L925" s="8"/>
      <c r="M925" s="8" t="str">
        <f>IFERROR(__xludf.DUMMYFUNCTION("""COMPUTED_VALUE"""),"")</f>
        <v/>
      </c>
      <c r="N925" s="8" t="str">
        <f>IFERROR(__xludf.DUMMYFUNCTION("""COMPUTED_VALUE"""),"")</f>
        <v/>
      </c>
      <c r="O925" s="8"/>
      <c r="P925" s="8"/>
    </row>
    <row r="926">
      <c r="A926" s="8"/>
      <c r="B926" s="25"/>
      <c r="C926" s="385"/>
      <c r="D926" s="385"/>
      <c r="E926" s="392"/>
      <c r="F926" s="8"/>
      <c r="G926" s="8"/>
      <c r="H926" s="389"/>
      <c r="I926" s="8" t="b">
        <v>0</v>
      </c>
      <c r="J926" s="388" t="str">
        <f>IFERROR(__xludf.DUMMYFUNCTION("""COMPUTED_VALUE"""),"")</f>
        <v/>
      </c>
      <c r="K926" s="8"/>
      <c r="L926" s="8"/>
      <c r="M926" s="8" t="str">
        <f>IFERROR(__xludf.DUMMYFUNCTION("""COMPUTED_VALUE"""),"")</f>
        <v/>
      </c>
      <c r="N926" s="8" t="str">
        <f>IFERROR(__xludf.DUMMYFUNCTION("""COMPUTED_VALUE"""),"")</f>
        <v/>
      </c>
      <c r="O926" s="8"/>
      <c r="P926" s="8"/>
    </row>
    <row r="927">
      <c r="A927" s="8"/>
      <c r="B927" s="25"/>
      <c r="C927" s="385"/>
      <c r="D927" s="385"/>
      <c r="E927" s="392"/>
      <c r="F927" s="8"/>
      <c r="G927" s="8"/>
      <c r="H927" s="389"/>
      <c r="I927" s="8" t="b">
        <v>0</v>
      </c>
      <c r="J927" s="388" t="str">
        <f>IFERROR(__xludf.DUMMYFUNCTION("""COMPUTED_VALUE"""),"")</f>
        <v/>
      </c>
      <c r="K927" s="8"/>
      <c r="L927" s="8"/>
      <c r="M927" s="8" t="str">
        <f>IFERROR(__xludf.DUMMYFUNCTION("""COMPUTED_VALUE"""),"")</f>
        <v/>
      </c>
      <c r="N927" s="8" t="str">
        <f>IFERROR(__xludf.DUMMYFUNCTION("""COMPUTED_VALUE"""),"")</f>
        <v/>
      </c>
      <c r="O927" s="8"/>
      <c r="P927" s="8"/>
    </row>
    <row r="928">
      <c r="A928" s="8"/>
      <c r="B928" s="25"/>
      <c r="C928" s="385"/>
      <c r="D928" s="385"/>
      <c r="E928" s="392"/>
      <c r="F928" s="8"/>
      <c r="G928" s="8"/>
      <c r="H928" s="389"/>
      <c r="I928" s="8" t="b">
        <v>0</v>
      </c>
      <c r="J928" s="388" t="str">
        <f>IFERROR(__xludf.DUMMYFUNCTION("""COMPUTED_VALUE"""),"")</f>
        <v/>
      </c>
      <c r="K928" s="8"/>
      <c r="L928" s="8"/>
      <c r="M928" s="8" t="str">
        <f>IFERROR(__xludf.DUMMYFUNCTION("""COMPUTED_VALUE"""),"")</f>
        <v/>
      </c>
      <c r="N928" s="8" t="str">
        <f>IFERROR(__xludf.DUMMYFUNCTION("""COMPUTED_VALUE"""),"")</f>
        <v/>
      </c>
      <c r="O928" s="8"/>
      <c r="P928" s="8"/>
    </row>
    <row r="929">
      <c r="A929" s="8"/>
      <c r="B929" s="25"/>
      <c r="C929" s="385"/>
      <c r="D929" s="385"/>
      <c r="E929" s="392"/>
      <c r="F929" s="8"/>
      <c r="G929" s="8"/>
      <c r="H929" s="389"/>
      <c r="I929" s="8" t="b">
        <v>0</v>
      </c>
      <c r="J929" s="388" t="str">
        <f>IFERROR(__xludf.DUMMYFUNCTION("""COMPUTED_VALUE"""),"")</f>
        <v/>
      </c>
      <c r="K929" s="8"/>
      <c r="L929" s="8"/>
      <c r="M929" s="8" t="str">
        <f>IFERROR(__xludf.DUMMYFUNCTION("""COMPUTED_VALUE"""),"")</f>
        <v/>
      </c>
      <c r="N929" s="8" t="str">
        <f>IFERROR(__xludf.DUMMYFUNCTION("""COMPUTED_VALUE"""),"")</f>
        <v/>
      </c>
      <c r="O929" s="8"/>
      <c r="P929" s="8"/>
    </row>
    <row r="930">
      <c r="A930" s="8"/>
      <c r="B930" s="25"/>
      <c r="C930" s="385"/>
      <c r="D930" s="385"/>
      <c r="E930" s="392"/>
      <c r="F930" s="8"/>
      <c r="G930" s="8"/>
      <c r="H930" s="389"/>
      <c r="I930" s="8" t="b">
        <v>0</v>
      </c>
      <c r="J930" s="388" t="str">
        <f>IFERROR(__xludf.DUMMYFUNCTION("""COMPUTED_VALUE"""),"")</f>
        <v/>
      </c>
      <c r="K930" s="8"/>
      <c r="L930" s="8"/>
      <c r="M930" s="8" t="str">
        <f>IFERROR(__xludf.DUMMYFUNCTION("""COMPUTED_VALUE"""),"")</f>
        <v/>
      </c>
      <c r="N930" s="8" t="str">
        <f>IFERROR(__xludf.DUMMYFUNCTION("""COMPUTED_VALUE"""),"")</f>
        <v/>
      </c>
      <c r="O930" s="8"/>
      <c r="P930" s="8"/>
    </row>
    <row r="931">
      <c r="A931" s="8"/>
      <c r="B931" s="25"/>
      <c r="C931" s="385"/>
      <c r="D931" s="385"/>
      <c r="E931" s="392"/>
      <c r="F931" s="8"/>
      <c r="G931" s="8"/>
      <c r="H931" s="389"/>
      <c r="I931" s="8" t="b">
        <v>0</v>
      </c>
      <c r="J931" s="388" t="str">
        <f>IFERROR(__xludf.DUMMYFUNCTION("""COMPUTED_VALUE"""),"")</f>
        <v/>
      </c>
      <c r="K931" s="8"/>
      <c r="L931" s="8"/>
      <c r="M931" s="8" t="str">
        <f>IFERROR(__xludf.DUMMYFUNCTION("""COMPUTED_VALUE"""),"")</f>
        <v/>
      </c>
      <c r="N931" s="8" t="str">
        <f>IFERROR(__xludf.DUMMYFUNCTION("""COMPUTED_VALUE"""),"")</f>
        <v/>
      </c>
      <c r="O931" s="8"/>
      <c r="P931" s="8"/>
    </row>
    <row r="932">
      <c r="A932" s="8"/>
      <c r="B932" s="25"/>
      <c r="C932" s="385"/>
      <c r="D932" s="385"/>
      <c r="E932" s="392"/>
      <c r="F932" s="8"/>
      <c r="G932" s="8"/>
      <c r="H932" s="389"/>
      <c r="I932" s="8" t="b">
        <v>0</v>
      </c>
      <c r="J932" s="388" t="str">
        <f>IFERROR(__xludf.DUMMYFUNCTION("""COMPUTED_VALUE"""),"")</f>
        <v/>
      </c>
      <c r="K932" s="8"/>
      <c r="L932" s="8"/>
      <c r="M932" s="8" t="str">
        <f>IFERROR(__xludf.DUMMYFUNCTION("""COMPUTED_VALUE"""),"")</f>
        <v/>
      </c>
      <c r="N932" s="8" t="str">
        <f>IFERROR(__xludf.DUMMYFUNCTION("""COMPUTED_VALUE"""),"")</f>
        <v/>
      </c>
      <c r="O932" s="8"/>
      <c r="P932" s="8"/>
    </row>
    <row r="933">
      <c r="A933" s="8"/>
      <c r="B933" s="25"/>
      <c r="C933" s="385"/>
      <c r="D933" s="385"/>
      <c r="E933" s="392"/>
      <c r="F933" s="8"/>
      <c r="G933" s="8"/>
      <c r="H933" s="389"/>
      <c r="I933" s="8" t="b">
        <v>0</v>
      </c>
      <c r="J933" s="388" t="str">
        <f>IFERROR(__xludf.DUMMYFUNCTION("""COMPUTED_VALUE"""),"")</f>
        <v/>
      </c>
      <c r="K933" s="8"/>
      <c r="L933" s="8"/>
      <c r="M933" s="8" t="str">
        <f>IFERROR(__xludf.DUMMYFUNCTION("""COMPUTED_VALUE"""),"")</f>
        <v/>
      </c>
      <c r="N933" s="8" t="str">
        <f>IFERROR(__xludf.DUMMYFUNCTION("""COMPUTED_VALUE"""),"")</f>
        <v/>
      </c>
      <c r="O933" s="8"/>
      <c r="P933" s="8"/>
    </row>
    <row r="934">
      <c r="A934" s="8"/>
      <c r="B934" s="25"/>
      <c r="C934" s="385"/>
      <c r="D934" s="385"/>
      <c r="E934" s="392"/>
      <c r="F934" s="8"/>
      <c r="G934" s="8"/>
      <c r="H934" s="389"/>
      <c r="I934" s="8" t="b">
        <v>0</v>
      </c>
      <c r="J934" s="388" t="str">
        <f>IFERROR(__xludf.DUMMYFUNCTION("""COMPUTED_VALUE"""),"")</f>
        <v/>
      </c>
      <c r="K934" s="8"/>
      <c r="L934" s="8"/>
      <c r="M934" s="8" t="str">
        <f>IFERROR(__xludf.DUMMYFUNCTION("""COMPUTED_VALUE"""),"")</f>
        <v/>
      </c>
      <c r="N934" s="8" t="str">
        <f>IFERROR(__xludf.DUMMYFUNCTION("""COMPUTED_VALUE"""),"")</f>
        <v/>
      </c>
      <c r="O934" s="8"/>
      <c r="P934" s="8"/>
    </row>
    <row r="935">
      <c r="A935" s="8"/>
      <c r="B935" s="25"/>
      <c r="C935" s="385"/>
      <c r="D935" s="385"/>
      <c r="E935" s="392"/>
      <c r="F935" s="8"/>
      <c r="G935" s="8"/>
      <c r="H935" s="389"/>
      <c r="I935" s="8" t="b">
        <v>0</v>
      </c>
      <c r="J935" s="388" t="str">
        <f>IFERROR(__xludf.DUMMYFUNCTION("""COMPUTED_VALUE"""),"")</f>
        <v/>
      </c>
      <c r="K935" s="8"/>
      <c r="L935" s="8"/>
      <c r="M935" s="8" t="str">
        <f>IFERROR(__xludf.DUMMYFUNCTION("""COMPUTED_VALUE"""),"")</f>
        <v/>
      </c>
      <c r="N935" s="8" t="str">
        <f>IFERROR(__xludf.DUMMYFUNCTION("""COMPUTED_VALUE"""),"")</f>
        <v/>
      </c>
      <c r="O935" s="8"/>
      <c r="P935" s="8"/>
    </row>
    <row r="936">
      <c r="A936" s="8"/>
      <c r="B936" s="25"/>
      <c r="C936" s="385"/>
      <c r="D936" s="385"/>
      <c r="E936" s="392"/>
      <c r="F936" s="8"/>
      <c r="G936" s="8"/>
      <c r="H936" s="389"/>
      <c r="I936" s="8" t="b">
        <v>0</v>
      </c>
      <c r="J936" s="388" t="str">
        <f>IFERROR(__xludf.DUMMYFUNCTION("""COMPUTED_VALUE"""),"")</f>
        <v/>
      </c>
      <c r="K936" s="8"/>
      <c r="L936" s="8"/>
      <c r="M936" s="8" t="str">
        <f>IFERROR(__xludf.DUMMYFUNCTION("""COMPUTED_VALUE"""),"")</f>
        <v/>
      </c>
      <c r="N936" s="8" t="str">
        <f>IFERROR(__xludf.DUMMYFUNCTION("""COMPUTED_VALUE"""),"")</f>
        <v/>
      </c>
      <c r="O936" s="8"/>
      <c r="P936" s="8"/>
    </row>
    <row r="937">
      <c r="A937" s="8"/>
      <c r="B937" s="25"/>
      <c r="C937" s="385"/>
      <c r="D937" s="385"/>
      <c r="E937" s="392"/>
      <c r="F937" s="8"/>
      <c r="G937" s="8"/>
      <c r="H937" s="389"/>
      <c r="I937" s="8" t="b">
        <v>0</v>
      </c>
      <c r="J937" s="388" t="str">
        <f>IFERROR(__xludf.DUMMYFUNCTION("""COMPUTED_VALUE"""),"")</f>
        <v/>
      </c>
      <c r="K937" s="8"/>
      <c r="L937" s="8"/>
      <c r="M937" s="8" t="str">
        <f>IFERROR(__xludf.DUMMYFUNCTION("""COMPUTED_VALUE"""),"")</f>
        <v/>
      </c>
      <c r="N937" s="8" t="str">
        <f>IFERROR(__xludf.DUMMYFUNCTION("""COMPUTED_VALUE"""),"")</f>
        <v/>
      </c>
      <c r="O937" s="8"/>
      <c r="P937" s="8"/>
    </row>
    <row r="938">
      <c r="A938" s="8"/>
      <c r="B938" s="25"/>
      <c r="C938" s="385"/>
      <c r="D938" s="385"/>
      <c r="E938" s="392"/>
      <c r="F938" s="8"/>
      <c r="G938" s="8"/>
      <c r="H938" s="389"/>
      <c r="I938" s="8" t="b">
        <v>0</v>
      </c>
      <c r="J938" s="388" t="str">
        <f>IFERROR(__xludf.DUMMYFUNCTION("""COMPUTED_VALUE"""),"")</f>
        <v/>
      </c>
      <c r="K938" s="8"/>
      <c r="L938" s="8"/>
      <c r="M938" s="8" t="str">
        <f>IFERROR(__xludf.DUMMYFUNCTION("""COMPUTED_VALUE"""),"")</f>
        <v/>
      </c>
      <c r="N938" s="8" t="str">
        <f>IFERROR(__xludf.DUMMYFUNCTION("""COMPUTED_VALUE"""),"")</f>
        <v/>
      </c>
      <c r="O938" s="8"/>
      <c r="P938" s="8"/>
    </row>
    <row r="939">
      <c r="A939" s="8"/>
      <c r="B939" s="25"/>
      <c r="C939" s="385"/>
      <c r="D939" s="385"/>
      <c r="E939" s="392"/>
      <c r="F939" s="8"/>
      <c r="G939" s="8"/>
      <c r="H939" s="389"/>
      <c r="I939" s="8" t="b">
        <v>0</v>
      </c>
      <c r="J939" s="388" t="str">
        <f>IFERROR(__xludf.DUMMYFUNCTION("""COMPUTED_VALUE"""),"")</f>
        <v/>
      </c>
      <c r="K939" s="8"/>
      <c r="L939" s="8"/>
      <c r="M939" s="8" t="str">
        <f>IFERROR(__xludf.DUMMYFUNCTION("""COMPUTED_VALUE"""),"")</f>
        <v/>
      </c>
      <c r="N939" s="8" t="str">
        <f>IFERROR(__xludf.DUMMYFUNCTION("""COMPUTED_VALUE"""),"")</f>
        <v/>
      </c>
      <c r="O939" s="8"/>
      <c r="P939" s="8"/>
    </row>
    <row r="940">
      <c r="A940" s="8"/>
      <c r="B940" s="25"/>
      <c r="C940" s="385"/>
      <c r="D940" s="385"/>
      <c r="E940" s="392"/>
      <c r="F940" s="8"/>
      <c r="G940" s="8"/>
      <c r="H940" s="389"/>
      <c r="I940" s="8" t="b">
        <v>0</v>
      </c>
      <c r="J940" s="388" t="str">
        <f>IFERROR(__xludf.DUMMYFUNCTION("""COMPUTED_VALUE"""),"")</f>
        <v/>
      </c>
      <c r="K940" s="8"/>
      <c r="L940" s="8"/>
      <c r="M940" s="8" t="str">
        <f>IFERROR(__xludf.DUMMYFUNCTION("""COMPUTED_VALUE"""),"")</f>
        <v/>
      </c>
      <c r="N940" s="8" t="str">
        <f>IFERROR(__xludf.DUMMYFUNCTION("""COMPUTED_VALUE"""),"")</f>
        <v/>
      </c>
      <c r="O940" s="8"/>
      <c r="P940" s="8"/>
    </row>
    <row r="941">
      <c r="A941" s="8"/>
      <c r="B941" s="25"/>
      <c r="C941" s="385"/>
      <c r="D941" s="385"/>
      <c r="E941" s="392"/>
      <c r="F941" s="8"/>
      <c r="G941" s="8"/>
      <c r="H941" s="389"/>
      <c r="I941" s="8" t="b">
        <v>0</v>
      </c>
      <c r="J941" s="388" t="str">
        <f>IFERROR(__xludf.DUMMYFUNCTION("""COMPUTED_VALUE"""),"")</f>
        <v/>
      </c>
      <c r="K941" s="8"/>
      <c r="L941" s="8"/>
      <c r="M941" s="8" t="str">
        <f>IFERROR(__xludf.DUMMYFUNCTION("""COMPUTED_VALUE"""),"")</f>
        <v/>
      </c>
      <c r="N941" s="8" t="str">
        <f>IFERROR(__xludf.DUMMYFUNCTION("""COMPUTED_VALUE"""),"")</f>
        <v/>
      </c>
      <c r="O941" s="8"/>
      <c r="P941" s="8"/>
    </row>
    <row r="942">
      <c r="A942" s="8"/>
      <c r="B942" s="25"/>
      <c r="C942" s="385"/>
      <c r="D942" s="385"/>
      <c r="E942" s="392"/>
      <c r="F942" s="8"/>
      <c r="G942" s="8"/>
      <c r="H942" s="389"/>
      <c r="I942" s="8" t="b">
        <v>0</v>
      </c>
      <c r="J942" s="388" t="str">
        <f>IFERROR(__xludf.DUMMYFUNCTION("""COMPUTED_VALUE"""),"")</f>
        <v/>
      </c>
      <c r="K942" s="8"/>
      <c r="L942" s="8"/>
      <c r="M942" s="8" t="str">
        <f>IFERROR(__xludf.DUMMYFUNCTION("""COMPUTED_VALUE"""),"")</f>
        <v/>
      </c>
      <c r="N942" s="8" t="str">
        <f>IFERROR(__xludf.DUMMYFUNCTION("""COMPUTED_VALUE"""),"")</f>
        <v/>
      </c>
      <c r="O942" s="8"/>
      <c r="P942" s="8"/>
    </row>
    <row r="943">
      <c r="A943" s="8"/>
      <c r="B943" s="25"/>
      <c r="C943" s="385"/>
      <c r="D943" s="385"/>
      <c r="E943" s="392"/>
      <c r="F943" s="8"/>
      <c r="G943" s="8"/>
      <c r="H943" s="389"/>
      <c r="I943" s="8" t="b">
        <v>0</v>
      </c>
      <c r="J943" s="388" t="str">
        <f>IFERROR(__xludf.DUMMYFUNCTION("""COMPUTED_VALUE"""),"")</f>
        <v/>
      </c>
      <c r="K943" s="8"/>
      <c r="L943" s="8"/>
      <c r="M943" s="8" t="str">
        <f>IFERROR(__xludf.DUMMYFUNCTION("""COMPUTED_VALUE"""),"")</f>
        <v/>
      </c>
      <c r="N943" s="8" t="str">
        <f>IFERROR(__xludf.DUMMYFUNCTION("""COMPUTED_VALUE"""),"")</f>
        <v/>
      </c>
      <c r="O943" s="8"/>
      <c r="P943" s="8"/>
    </row>
    <row r="944">
      <c r="A944" s="8"/>
      <c r="B944" s="25"/>
      <c r="C944" s="385"/>
      <c r="D944" s="385"/>
      <c r="E944" s="392"/>
      <c r="F944" s="8"/>
      <c r="G944" s="8"/>
      <c r="H944" s="389"/>
      <c r="I944" s="8" t="b">
        <v>0</v>
      </c>
      <c r="J944" s="388" t="str">
        <f>IFERROR(__xludf.DUMMYFUNCTION("""COMPUTED_VALUE"""),"")</f>
        <v/>
      </c>
      <c r="K944" s="8"/>
      <c r="L944" s="8"/>
      <c r="M944" s="8" t="str">
        <f>IFERROR(__xludf.DUMMYFUNCTION("""COMPUTED_VALUE"""),"")</f>
        <v/>
      </c>
      <c r="N944" s="8" t="str">
        <f>IFERROR(__xludf.DUMMYFUNCTION("""COMPUTED_VALUE"""),"")</f>
        <v/>
      </c>
      <c r="O944" s="8"/>
      <c r="P944" s="8"/>
    </row>
    <row r="945">
      <c r="A945" s="8"/>
      <c r="B945" s="25"/>
      <c r="C945" s="385"/>
      <c r="D945" s="385"/>
      <c r="E945" s="392"/>
      <c r="F945" s="8"/>
      <c r="G945" s="8"/>
      <c r="H945" s="389"/>
      <c r="I945" s="8" t="b">
        <v>0</v>
      </c>
      <c r="J945" s="388" t="str">
        <f>IFERROR(__xludf.DUMMYFUNCTION("""COMPUTED_VALUE"""),"")</f>
        <v/>
      </c>
      <c r="K945" s="8"/>
      <c r="L945" s="8"/>
      <c r="M945" s="8" t="str">
        <f>IFERROR(__xludf.DUMMYFUNCTION("""COMPUTED_VALUE"""),"")</f>
        <v/>
      </c>
      <c r="N945" s="8" t="str">
        <f>IFERROR(__xludf.DUMMYFUNCTION("""COMPUTED_VALUE"""),"")</f>
        <v/>
      </c>
      <c r="O945" s="8"/>
      <c r="P945" s="8"/>
    </row>
    <row r="946">
      <c r="A946" s="8"/>
      <c r="B946" s="25"/>
      <c r="C946" s="385"/>
      <c r="D946" s="385"/>
      <c r="E946" s="392"/>
      <c r="F946" s="8"/>
      <c r="G946" s="8"/>
      <c r="H946" s="389"/>
      <c r="I946" s="8" t="b">
        <v>0</v>
      </c>
      <c r="J946" s="388" t="str">
        <f>IFERROR(__xludf.DUMMYFUNCTION("""COMPUTED_VALUE"""),"")</f>
        <v/>
      </c>
      <c r="K946" s="8"/>
      <c r="L946" s="8"/>
      <c r="M946" s="8" t="str">
        <f>IFERROR(__xludf.DUMMYFUNCTION("""COMPUTED_VALUE"""),"")</f>
        <v/>
      </c>
      <c r="N946" s="8" t="str">
        <f>IFERROR(__xludf.DUMMYFUNCTION("""COMPUTED_VALUE"""),"")</f>
        <v/>
      </c>
      <c r="O946" s="8"/>
      <c r="P946" s="8"/>
    </row>
    <row r="947">
      <c r="A947" s="8"/>
      <c r="B947" s="25"/>
      <c r="C947" s="385"/>
      <c r="D947" s="385"/>
      <c r="E947" s="392"/>
      <c r="F947" s="8"/>
      <c r="G947" s="8"/>
      <c r="H947" s="389"/>
      <c r="I947" s="8" t="b">
        <v>0</v>
      </c>
      <c r="J947" s="388" t="str">
        <f>IFERROR(__xludf.DUMMYFUNCTION("""COMPUTED_VALUE"""),"")</f>
        <v/>
      </c>
      <c r="K947" s="8"/>
      <c r="L947" s="8"/>
      <c r="M947" s="8" t="str">
        <f>IFERROR(__xludf.DUMMYFUNCTION("""COMPUTED_VALUE"""),"")</f>
        <v/>
      </c>
      <c r="N947" s="8" t="str">
        <f>IFERROR(__xludf.DUMMYFUNCTION("""COMPUTED_VALUE"""),"")</f>
        <v/>
      </c>
      <c r="O947" s="8"/>
      <c r="P947" s="8"/>
    </row>
    <row r="948">
      <c r="A948" s="8"/>
      <c r="B948" s="25"/>
      <c r="C948" s="385"/>
      <c r="D948" s="385"/>
      <c r="E948" s="392"/>
      <c r="F948" s="8"/>
      <c r="G948" s="8"/>
      <c r="H948" s="389"/>
      <c r="I948" s="8" t="b">
        <v>0</v>
      </c>
      <c r="J948" s="388" t="str">
        <f>IFERROR(__xludf.DUMMYFUNCTION("""COMPUTED_VALUE"""),"")</f>
        <v/>
      </c>
      <c r="K948" s="8"/>
      <c r="L948" s="8"/>
      <c r="M948" s="8" t="str">
        <f>IFERROR(__xludf.DUMMYFUNCTION("""COMPUTED_VALUE"""),"")</f>
        <v/>
      </c>
      <c r="N948" s="8" t="str">
        <f>IFERROR(__xludf.DUMMYFUNCTION("""COMPUTED_VALUE"""),"")</f>
        <v/>
      </c>
      <c r="O948" s="8"/>
      <c r="P948" s="8"/>
    </row>
    <row r="949">
      <c r="A949" s="8"/>
      <c r="B949" s="25"/>
      <c r="C949" s="385"/>
      <c r="D949" s="385"/>
      <c r="E949" s="392"/>
      <c r="F949" s="8"/>
      <c r="G949" s="8"/>
      <c r="H949" s="389"/>
      <c r="I949" s="8" t="b">
        <v>0</v>
      </c>
      <c r="J949" s="388" t="str">
        <f>IFERROR(__xludf.DUMMYFUNCTION("""COMPUTED_VALUE"""),"")</f>
        <v/>
      </c>
      <c r="K949" s="8"/>
      <c r="L949" s="8"/>
      <c r="M949" s="8" t="str">
        <f>IFERROR(__xludf.DUMMYFUNCTION("""COMPUTED_VALUE"""),"")</f>
        <v/>
      </c>
      <c r="N949" s="8" t="str">
        <f>IFERROR(__xludf.DUMMYFUNCTION("""COMPUTED_VALUE"""),"")</f>
        <v/>
      </c>
      <c r="O949" s="8"/>
      <c r="P949" s="8"/>
    </row>
    <row r="950">
      <c r="A950" s="8"/>
      <c r="B950" s="25"/>
      <c r="C950" s="385"/>
      <c r="D950" s="385"/>
      <c r="E950" s="392"/>
      <c r="F950" s="8"/>
      <c r="G950" s="8"/>
      <c r="H950" s="389"/>
      <c r="I950" s="8" t="b">
        <v>0</v>
      </c>
      <c r="J950" s="388" t="str">
        <f>IFERROR(__xludf.DUMMYFUNCTION("""COMPUTED_VALUE"""),"")</f>
        <v/>
      </c>
      <c r="K950" s="8"/>
      <c r="L950" s="8"/>
      <c r="M950" s="8" t="str">
        <f>IFERROR(__xludf.DUMMYFUNCTION("""COMPUTED_VALUE"""),"")</f>
        <v/>
      </c>
      <c r="N950" s="8" t="str">
        <f>IFERROR(__xludf.DUMMYFUNCTION("""COMPUTED_VALUE"""),"")</f>
        <v/>
      </c>
      <c r="O950" s="8"/>
      <c r="P950" s="8"/>
    </row>
    <row r="951">
      <c r="A951" s="8"/>
      <c r="B951" s="25"/>
      <c r="C951" s="385"/>
      <c r="D951" s="385"/>
      <c r="E951" s="392"/>
      <c r="F951" s="8"/>
      <c r="G951" s="8"/>
      <c r="H951" s="389"/>
      <c r="I951" s="8" t="b">
        <v>0</v>
      </c>
      <c r="J951" s="388" t="str">
        <f>IFERROR(__xludf.DUMMYFUNCTION("""COMPUTED_VALUE"""),"")</f>
        <v/>
      </c>
      <c r="K951" s="8"/>
      <c r="L951" s="8"/>
      <c r="M951" s="8" t="str">
        <f>IFERROR(__xludf.DUMMYFUNCTION("""COMPUTED_VALUE"""),"")</f>
        <v/>
      </c>
      <c r="N951" s="8" t="str">
        <f>IFERROR(__xludf.DUMMYFUNCTION("""COMPUTED_VALUE"""),"")</f>
        <v/>
      </c>
      <c r="O951" s="8"/>
      <c r="P951" s="8"/>
    </row>
    <row r="952">
      <c r="A952" s="8"/>
      <c r="B952" s="25"/>
      <c r="C952" s="385"/>
      <c r="D952" s="385"/>
      <c r="E952" s="392"/>
      <c r="F952" s="8"/>
      <c r="G952" s="8"/>
      <c r="H952" s="389"/>
      <c r="I952" s="8" t="b">
        <v>0</v>
      </c>
      <c r="J952" s="388" t="str">
        <f>IFERROR(__xludf.DUMMYFUNCTION("""COMPUTED_VALUE"""),"")</f>
        <v/>
      </c>
      <c r="K952" s="8"/>
      <c r="L952" s="8"/>
      <c r="M952" s="8" t="str">
        <f>IFERROR(__xludf.DUMMYFUNCTION("""COMPUTED_VALUE"""),"")</f>
        <v/>
      </c>
      <c r="N952" s="8" t="str">
        <f>IFERROR(__xludf.DUMMYFUNCTION("""COMPUTED_VALUE"""),"")</f>
        <v/>
      </c>
      <c r="O952" s="8"/>
      <c r="P952" s="8"/>
    </row>
    <row r="953">
      <c r="A953" s="8"/>
      <c r="B953" s="25"/>
      <c r="C953" s="385"/>
      <c r="D953" s="385"/>
      <c r="E953" s="392"/>
      <c r="F953" s="8"/>
      <c r="G953" s="8"/>
      <c r="H953" s="389"/>
      <c r="I953" s="8" t="b">
        <v>0</v>
      </c>
      <c r="J953" s="388" t="str">
        <f>IFERROR(__xludf.DUMMYFUNCTION("""COMPUTED_VALUE"""),"")</f>
        <v/>
      </c>
      <c r="K953" s="8"/>
      <c r="L953" s="8"/>
      <c r="M953" s="8" t="str">
        <f>IFERROR(__xludf.DUMMYFUNCTION("""COMPUTED_VALUE"""),"")</f>
        <v/>
      </c>
      <c r="N953" s="8" t="str">
        <f>IFERROR(__xludf.DUMMYFUNCTION("""COMPUTED_VALUE"""),"")</f>
        <v/>
      </c>
      <c r="O953" s="8"/>
      <c r="P953" s="8"/>
    </row>
    <row r="954">
      <c r="A954" s="8"/>
      <c r="B954" s="25"/>
      <c r="C954" s="385"/>
      <c r="D954" s="385"/>
      <c r="E954" s="392"/>
      <c r="F954" s="8"/>
      <c r="G954" s="8"/>
      <c r="H954" s="389"/>
      <c r="I954" s="8" t="b">
        <v>0</v>
      </c>
      <c r="J954" s="388" t="str">
        <f>IFERROR(__xludf.DUMMYFUNCTION("""COMPUTED_VALUE"""),"")</f>
        <v/>
      </c>
      <c r="K954" s="8"/>
      <c r="L954" s="8"/>
      <c r="M954" s="8" t="str">
        <f>IFERROR(__xludf.DUMMYFUNCTION("""COMPUTED_VALUE"""),"")</f>
        <v/>
      </c>
      <c r="N954" s="8" t="str">
        <f>IFERROR(__xludf.DUMMYFUNCTION("""COMPUTED_VALUE"""),"")</f>
        <v/>
      </c>
      <c r="O954" s="8"/>
      <c r="P954" s="8"/>
    </row>
    <row r="955">
      <c r="A955" s="8"/>
      <c r="B955" s="25"/>
      <c r="C955" s="385"/>
      <c r="D955" s="385"/>
      <c r="E955" s="392"/>
      <c r="F955" s="8"/>
      <c r="G955" s="8"/>
      <c r="H955" s="389"/>
      <c r="I955" s="8" t="b">
        <v>0</v>
      </c>
      <c r="J955" s="388" t="str">
        <f>IFERROR(__xludf.DUMMYFUNCTION("""COMPUTED_VALUE"""),"")</f>
        <v/>
      </c>
      <c r="K955" s="8"/>
      <c r="L955" s="8"/>
      <c r="M955" s="8" t="str">
        <f>IFERROR(__xludf.DUMMYFUNCTION("""COMPUTED_VALUE"""),"")</f>
        <v/>
      </c>
      <c r="N955" s="8" t="str">
        <f>IFERROR(__xludf.DUMMYFUNCTION("""COMPUTED_VALUE"""),"")</f>
        <v/>
      </c>
      <c r="O955" s="8"/>
      <c r="P955" s="8"/>
    </row>
    <row r="956">
      <c r="A956" s="8"/>
      <c r="B956" s="25"/>
      <c r="C956" s="385"/>
      <c r="D956" s="385"/>
      <c r="E956" s="392"/>
      <c r="F956" s="8"/>
      <c r="G956" s="8"/>
      <c r="H956" s="389"/>
      <c r="I956" s="8" t="b">
        <v>0</v>
      </c>
      <c r="J956" s="388" t="str">
        <f>IFERROR(__xludf.DUMMYFUNCTION("""COMPUTED_VALUE"""),"")</f>
        <v/>
      </c>
      <c r="K956" s="8"/>
      <c r="L956" s="8"/>
      <c r="M956" s="8" t="str">
        <f>IFERROR(__xludf.DUMMYFUNCTION("""COMPUTED_VALUE"""),"")</f>
        <v/>
      </c>
      <c r="N956" s="8" t="str">
        <f>IFERROR(__xludf.DUMMYFUNCTION("""COMPUTED_VALUE"""),"")</f>
        <v/>
      </c>
      <c r="O956" s="8"/>
      <c r="P956" s="8"/>
    </row>
    <row r="957">
      <c r="A957" s="8"/>
      <c r="B957" s="25"/>
      <c r="C957" s="385"/>
      <c r="D957" s="385"/>
      <c r="E957" s="392"/>
      <c r="F957" s="8"/>
      <c r="G957" s="8"/>
      <c r="H957" s="389"/>
      <c r="I957" s="8" t="b">
        <v>0</v>
      </c>
      <c r="J957" s="388" t="str">
        <f>IFERROR(__xludf.DUMMYFUNCTION("""COMPUTED_VALUE"""),"")</f>
        <v/>
      </c>
      <c r="K957" s="8"/>
      <c r="L957" s="8"/>
      <c r="M957" s="8" t="str">
        <f>IFERROR(__xludf.DUMMYFUNCTION("""COMPUTED_VALUE"""),"")</f>
        <v/>
      </c>
      <c r="N957" s="8" t="str">
        <f>IFERROR(__xludf.DUMMYFUNCTION("""COMPUTED_VALUE"""),"")</f>
        <v/>
      </c>
      <c r="O957" s="8"/>
      <c r="P957" s="8"/>
    </row>
    <row r="958">
      <c r="A958" s="8"/>
      <c r="B958" s="25"/>
      <c r="C958" s="385"/>
      <c r="D958" s="385"/>
      <c r="E958" s="392"/>
      <c r="F958" s="8"/>
      <c r="G958" s="8"/>
      <c r="H958" s="389"/>
      <c r="I958" s="8" t="b">
        <v>0</v>
      </c>
      <c r="J958" s="388" t="str">
        <f>IFERROR(__xludf.DUMMYFUNCTION("""COMPUTED_VALUE"""),"")</f>
        <v/>
      </c>
      <c r="K958" s="8"/>
      <c r="L958" s="8"/>
      <c r="M958" s="8" t="str">
        <f>IFERROR(__xludf.DUMMYFUNCTION("""COMPUTED_VALUE"""),"")</f>
        <v/>
      </c>
      <c r="N958" s="8" t="str">
        <f>IFERROR(__xludf.DUMMYFUNCTION("""COMPUTED_VALUE"""),"")</f>
        <v/>
      </c>
      <c r="O958" s="8"/>
      <c r="P958" s="8"/>
    </row>
    <row r="959">
      <c r="A959" s="8"/>
      <c r="B959" s="25"/>
      <c r="C959" s="385"/>
      <c r="D959" s="385"/>
      <c r="E959" s="392"/>
      <c r="F959" s="8"/>
      <c r="G959" s="8"/>
      <c r="H959" s="389"/>
      <c r="I959" s="8" t="b">
        <v>0</v>
      </c>
      <c r="J959" s="388" t="str">
        <f>IFERROR(__xludf.DUMMYFUNCTION("""COMPUTED_VALUE"""),"")</f>
        <v/>
      </c>
      <c r="K959" s="8"/>
      <c r="L959" s="8"/>
      <c r="M959" s="8" t="str">
        <f>IFERROR(__xludf.DUMMYFUNCTION("""COMPUTED_VALUE"""),"")</f>
        <v/>
      </c>
      <c r="N959" s="8" t="str">
        <f>IFERROR(__xludf.DUMMYFUNCTION("""COMPUTED_VALUE"""),"")</f>
        <v/>
      </c>
      <c r="O959" s="8"/>
      <c r="P959" s="8"/>
    </row>
    <row r="960">
      <c r="A960" s="8"/>
      <c r="B960" s="25"/>
      <c r="C960" s="385"/>
      <c r="D960" s="385"/>
      <c r="E960" s="392"/>
      <c r="F960" s="8"/>
      <c r="G960" s="8"/>
      <c r="H960" s="389"/>
      <c r="I960" s="8" t="b">
        <v>0</v>
      </c>
      <c r="J960" s="388" t="str">
        <f>IFERROR(__xludf.DUMMYFUNCTION("""COMPUTED_VALUE"""),"")</f>
        <v/>
      </c>
      <c r="K960" s="8"/>
      <c r="L960" s="8"/>
      <c r="M960" s="8" t="str">
        <f>IFERROR(__xludf.DUMMYFUNCTION("""COMPUTED_VALUE"""),"")</f>
        <v/>
      </c>
      <c r="N960" s="8" t="str">
        <f>IFERROR(__xludf.DUMMYFUNCTION("""COMPUTED_VALUE"""),"")</f>
        <v/>
      </c>
      <c r="O960" s="8"/>
      <c r="P960" s="8"/>
    </row>
    <row r="961">
      <c r="A961" s="8"/>
      <c r="B961" s="25"/>
      <c r="C961" s="385"/>
      <c r="D961" s="385"/>
      <c r="E961" s="392"/>
      <c r="F961" s="8"/>
      <c r="G961" s="8"/>
      <c r="H961" s="389"/>
      <c r="I961" s="8" t="b">
        <v>0</v>
      </c>
      <c r="J961" s="388" t="str">
        <f>IFERROR(__xludf.DUMMYFUNCTION("""COMPUTED_VALUE"""),"")</f>
        <v/>
      </c>
      <c r="K961" s="8"/>
      <c r="L961" s="8"/>
      <c r="M961" s="8" t="str">
        <f>IFERROR(__xludf.DUMMYFUNCTION("""COMPUTED_VALUE"""),"")</f>
        <v/>
      </c>
      <c r="N961" s="8" t="str">
        <f>IFERROR(__xludf.DUMMYFUNCTION("""COMPUTED_VALUE"""),"")</f>
        <v/>
      </c>
      <c r="O961" s="8"/>
      <c r="P961" s="8"/>
    </row>
    <row r="962">
      <c r="A962" s="8"/>
      <c r="B962" s="25"/>
      <c r="C962" s="385"/>
      <c r="D962" s="385"/>
      <c r="E962" s="392"/>
      <c r="F962" s="8"/>
      <c r="G962" s="8"/>
      <c r="H962" s="389"/>
      <c r="I962" s="8" t="b">
        <v>0</v>
      </c>
      <c r="J962" s="388" t="str">
        <f>IFERROR(__xludf.DUMMYFUNCTION("""COMPUTED_VALUE"""),"")</f>
        <v/>
      </c>
      <c r="K962" s="8"/>
      <c r="L962" s="8"/>
      <c r="M962" s="8" t="str">
        <f>IFERROR(__xludf.DUMMYFUNCTION("""COMPUTED_VALUE"""),"")</f>
        <v/>
      </c>
      <c r="N962" s="8" t="str">
        <f>IFERROR(__xludf.DUMMYFUNCTION("""COMPUTED_VALUE"""),"")</f>
        <v/>
      </c>
      <c r="O962" s="8"/>
      <c r="P962" s="8"/>
    </row>
    <row r="963">
      <c r="A963" s="8"/>
      <c r="B963" s="25"/>
      <c r="C963" s="385"/>
      <c r="D963" s="385"/>
      <c r="E963" s="392"/>
      <c r="F963" s="8"/>
      <c r="G963" s="8"/>
      <c r="H963" s="389"/>
      <c r="I963" s="8" t="b">
        <v>0</v>
      </c>
      <c r="J963" s="388" t="str">
        <f>IFERROR(__xludf.DUMMYFUNCTION("""COMPUTED_VALUE"""),"")</f>
        <v/>
      </c>
      <c r="K963" s="8"/>
      <c r="L963" s="8"/>
      <c r="M963" s="8" t="str">
        <f>IFERROR(__xludf.DUMMYFUNCTION("""COMPUTED_VALUE"""),"")</f>
        <v/>
      </c>
      <c r="N963" s="8" t="str">
        <f>IFERROR(__xludf.DUMMYFUNCTION("""COMPUTED_VALUE"""),"")</f>
        <v/>
      </c>
      <c r="O963" s="8"/>
      <c r="P963" s="8"/>
    </row>
    <row r="964">
      <c r="A964" s="8"/>
      <c r="B964" s="25"/>
      <c r="C964" s="385"/>
      <c r="D964" s="385"/>
      <c r="E964" s="392"/>
      <c r="F964" s="8"/>
      <c r="G964" s="8"/>
      <c r="H964" s="389"/>
      <c r="I964" s="8" t="b">
        <v>0</v>
      </c>
      <c r="J964" s="388" t="str">
        <f>IFERROR(__xludf.DUMMYFUNCTION("""COMPUTED_VALUE"""),"")</f>
        <v/>
      </c>
      <c r="K964" s="8"/>
      <c r="L964" s="8"/>
      <c r="M964" s="8" t="str">
        <f>IFERROR(__xludf.DUMMYFUNCTION("""COMPUTED_VALUE"""),"")</f>
        <v/>
      </c>
      <c r="N964" s="8" t="str">
        <f>IFERROR(__xludf.DUMMYFUNCTION("""COMPUTED_VALUE"""),"")</f>
        <v/>
      </c>
      <c r="O964" s="8"/>
      <c r="P964" s="8"/>
    </row>
    <row r="965">
      <c r="A965" s="8"/>
      <c r="B965" s="25"/>
      <c r="C965" s="385"/>
      <c r="D965" s="385"/>
      <c r="E965" s="392"/>
      <c r="F965" s="8"/>
      <c r="G965" s="8"/>
      <c r="H965" s="389"/>
      <c r="I965" s="8" t="b">
        <v>0</v>
      </c>
      <c r="J965" s="388" t="str">
        <f>IFERROR(__xludf.DUMMYFUNCTION("""COMPUTED_VALUE"""),"")</f>
        <v/>
      </c>
      <c r="K965" s="8"/>
      <c r="L965" s="8"/>
      <c r="M965" s="8" t="str">
        <f>IFERROR(__xludf.DUMMYFUNCTION("""COMPUTED_VALUE"""),"")</f>
        <v/>
      </c>
      <c r="N965" s="8" t="str">
        <f>IFERROR(__xludf.DUMMYFUNCTION("""COMPUTED_VALUE"""),"")</f>
        <v/>
      </c>
      <c r="O965" s="8"/>
      <c r="P965" s="8"/>
    </row>
    <row r="966">
      <c r="A966" s="8"/>
      <c r="B966" s="25"/>
      <c r="C966" s="385"/>
      <c r="D966" s="385"/>
      <c r="E966" s="392"/>
      <c r="F966" s="8"/>
      <c r="G966" s="8"/>
      <c r="H966" s="389"/>
      <c r="I966" s="8" t="b">
        <v>0</v>
      </c>
      <c r="J966" s="388" t="str">
        <f>IFERROR(__xludf.DUMMYFUNCTION("""COMPUTED_VALUE"""),"")</f>
        <v/>
      </c>
      <c r="K966" s="8"/>
      <c r="L966" s="8"/>
      <c r="M966" s="8" t="str">
        <f>IFERROR(__xludf.DUMMYFUNCTION("""COMPUTED_VALUE"""),"")</f>
        <v/>
      </c>
      <c r="N966" s="8" t="str">
        <f>IFERROR(__xludf.DUMMYFUNCTION("""COMPUTED_VALUE"""),"")</f>
        <v/>
      </c>
      <c r="O966" s="8"/>
      <c r="P966" s="8"/>
    </row>
    <row r="967">
      <c r="A967" s="8"/>
      <c r="B967" s="25"/>
      <c r="C967" s="385"/>
      <c r="D967" s="385"/>
      <c r="E967" s="392"/>
      <c r="F967" s="8"/>
      <c r="G967" s="8"/>
      <c r="H967" s="389"/>
      <c r="I967" s="8" t="b">
        <v>0</v>
      </c>
      <c r="J967" s="388" t="str">
        <f>IFERROR(__xludf.DUMMYFUNCTION("""COMPUTED_VALUE"""),"")</f>
        <v/>
      </c>
      <c r="K967" s="8"/>
      <c r="L967" s="8"/>
      <c r="M967" s="8" t="str">
        <f>IFERROR(__xludf.DUMMYFUNCTION("""COMPUTED_VALUE"""),"")</f>
        <v/>
      </c>
      <c r="N967" s="8" t="str">
        <f>IFERROR(__xludf.DUMMYFUNCTION("""COMPUTED_VALUE"""),"")</f>
        <v/>
      </c>
      <c r="O967" s="8"/>
      <c r="P967" s="8"/>
    </row>
    <row r="968">
      <c r="A968" s="8"/>
      <c r="B968" s="25"/>
      <c r="C968" s="385"/>
      <c r="D968" s="385"/>
      <c r="E968" s="392"/>
      <c r="F968" s="8"/>
      <c r="G968" s="8"/>
      <c r="H968" s="389"/>
      <c r="I968" s="8" t="b">
        <v>0</v>
      </c>
      <c r="J968" s="388" t="str">
        <f>IFERROR(__xludf.DUMMYFUNCTION("""COMPUTED_VALUE"""),"")</f>
        <v/>
      </c>
      <c r="K968" s="8"/>
      <c r="L968" s="8"/>
      <c r="M968" s="8" t="str">
        <f>IFERROR(__xludf.DUMMYFUNCTION("""COMPUTED_VALUE"""),"")</f>
        <v/>
      </c>
      <c r="N968" s="8" t="str">
        <f>IFERROR(__xludf.DUMMYFUNCTION("""COMPUTED_VALUE"""),"")</f>
        <v/>
      </c>
      <c r="O968" s="8"/>
      <c r="P968" s="8"/>
    </row>
    <row r="969">
      <c r="A969" s="8"/>
      <c r="B969" s="25"/>
      <c r="C969" s="385"/>
      <c r="D969" s="385"/>
      <c r="E969" s="392"/>
      <c r="F969" s="8"/>
      <c r="G969" s="8"/>
      <c r="H969" s="389"/>
      <c r="I969" s="8" t="b">
        <v>0</v>
      </c>
      <c r="J969" s="388" t="str">
        <f>IFERROR(__xludf.DUMMYFUNCTION("""COMPUTED_VALUE"""),"")</f>
        <v/>
      </c>
      <c r="K969" s="8"/>
      <c r="L969" s="8"/>
      <c r="M969" s="8" t="str">
        <f>IFERROR(__xludf.DUMMYFUNCTION("""COMPUTED_VALUE"""),"")</f>
        <v/>
      </c>
      <c r="N969" s="8" t="str">
        <f>IFERROR(__xludf.DUMMYFUNCTION("""COMPUTED_VALUE"""),"")</f>
        <v/>
      </c>
      <c r="O969" s="8"/>
      <c r="P969" s="8"/>
    </row>
    <row r="970">
      <c r="A970" s="8"/>
      <c r="B970" s="25"/>
      <c r="C970" s="385"/>
      <c r="D970" s="385"/>
      <c r="E970" s="392"/>
      <c r="F970" s="8"/>
      <c r="G970" s="8"/>
      <c r="H970" s="389"/>
      <c r="I970" s="8" t="b">
        <v>0</v>
      </c>
      <c r="J970" s="388" t="str">
        <f>IFERROR(__xludf.DUMMYFUNCTION("""COMPUTED_VALUE"""),"")</f>
        <v/>
      </c>
      <c r="K970" s="8"/>
      <c r="L970" s="8"/>
      <c r="M970" s="8" t="str">
        <f>IFERROR(__xludf.DUMMYFUNCTION("""COMPUTED_VALUE"""),"")</f>
        <v/>
      </c>
      <c r="N970" s="8" t="str">
        <f>IFERROR(__xludf.DUMMYFUNCTION("""COMPUTED_VALUE"""),"")</f>
        <v/>
      </c>
      <c r="O970" s="8"/>
      <c r="P970" s="8"/>
    </row>
    <row r="971">
      <c r="A971" s="8"/>
      <c r="B971" s="25"/>
      <c r="C971" s="385"/>
      <c r="D971" s="385"/>
      <c r="E971" s="392"/>
      <c r="F971" s="8"/>
      <c r="G971" s="8"/>
      <c r="H971" s="389"/>
      <c r="I971" s="8" t="b">
        <v>0</v>
      </c>
      <c r="J971" s="388" t="str">
        <f>IFERROR(__xludf.DUMMYFUNCTION("""COMPUTED_VALUE"""),"")</f>
        <v/>
      </c>
      <c r="K971" s="8"/>
      <c r="L971" s="8"/>
      <c r="M971" s="8" t="str">
        <f>IFERROR(__xludf.DUMMYFUNCTION("""COMPUTED_VALUE"""),"")</f>
        <v/>
      </c>
      <c r="N971" s="8" t="str">
        <f>IFERROR(__xludf.DUMMYFUNCTION("""COMPUTED_VALUE"""),"")</f>
        <v/>
      </c>
      <c r="O971" s="8"/>
      <c r="P971" s="8"/>
    </row>
    <row r="972">
      <c r="A972" s="8"/>
      <c r="B972" s="25"/>
      <c r="C972" s="385"/>
      <c r="D972" s="385"/>
      <c r="E972" s="392"/>
      <c r="F972" s="8"/>
      <c r="G972" s="8"/>
      <c r="H972" s="389"/>
      <c r="I972" s="8" t="b">
        <v>0</v>
      </c>
      <c r="J972" s="388" t="str">
        <f>IFERROR(__xludf.DUMMYFUNCTION("""COMPUTED_VALUE"""),"")</f>
        <v/>
      </c>
      <c r="K972" s="8"/>
      <c r="L972" s="8"/>
      <c r="M972" s="8" t="str">
        <f>IFERROR(__xludf.DUMMYFUNCTION("""COMPUTED_VALUE"""),"")</f>
        <v/>
      </c>
      <c r="N972" s="8" t="str">
        <f>IFERROR(__xludf.DUMMYFUNCTION("""COMPUTED_VALUE"""),"")</f>
        <v/>
      </c>
      <c r="O972" s="8"/>
      <c r="P972" s="8"/>
    </row>
    <row r="973">
      <c r="A973" s="8"/>
      <c r="B973" s="25"/>
      <c r="C973" s="385"/>
      <c r="D973" s="385"/>
      <c r="E973" s="392"/>
      <c r="F973" s="8"/>
      <c r="G973" s="8"/>
      <c r="H973" s="389"/>
      <c r="I973" s="8" t="b">
        <v>0</v>
      </c>
      <c r="J973" s="388" t="str">
        <f>IFERROR(__xludf.DUMMYFUNCTION("""COMPUTED_VALUE"""),"")</f>
        <v/>
      </c>
      <c r="K973" s="8"/>
      <c r="L973" s="8"/>
      <c r="M973" s="8" t="str">
        <f>IFERROR(__xludf.DUMMYFUNCTION("""COMPUTED_VALUE"""),"")</f>
        <v/>
      </c>
      <c r="N973" s="8" t="str">
        <f>IFERROR(__xludf.DUMMYFUNCTION("""COMPUTED_VALUE"""),"")</f>
        <v/>
      </c>
      <c r="O973" s="8"/>
      <c r="P973" s="8"/>
    </row>
    <row r="974">
      <c r="A974" s="8"/>
      <c r="B974" s="25"/>
      <c r="C974" s="385"/>
      <c r="D974" s="385"/>
      <c r="E974" s="392"/>
      <c r="F974" s="8"/>
      <c r="G974" s="8"/>
      <c r="H974" s="389"/>
      <c r="I974" s="8" t="b">
        <v>0</v>
      </c>
      <c r="J974" s="388" t="str">
        <f>IFERROR(__xludf.DUMMYFUNCTION("""COMPUTED_VALUE"""),"")</f>
        <v/>
      </c>
      <c r="K974" s="8"/>
      <c r="L974" s="8"/>
      <c r="M974" s="8" t="str">
        <f>IFERROR(__xludf.DUMMYFUNCTION("""COMPUTED_VALUE"""),"")</f>
        <v/>
      </c>
      <c r="N974" s="8" t="str">
        <f>IFERROR(__xludf.DUMMYFUNCTION("""COMPUTED_VALUE"""),"")</f>
        <v/>
      </c>
      <c r="O974" s="8"/>
      <c r="P974" s="8"/>
    </row>
    <row r="975">
      <c r="A975" s="8"/>
      <c r="B975" s="25"/>
      <c r="C975" s="385"/>
      <c r="D975" s="385"/>
      <c r="E975" s="392"/>
      <c r="F975" s="8"/>
      <c r="G975" s="8"/>
      <c r="H975" s="389"/>
      <c r="I975" s="8" t="b">
        <v>0</v>
      </c>
      <c r="J975" s="388" t="str">
        <f>IFERROR(__xludf.DUMMYFUNCTION("""COMPUTED_VALUE"""),"")</f>
        <v/>
      </c>
      <c r="K975" s="8"/>
      <c r="L975" s="8"/>
      <c r="M975" s="8" t="str">
        <f>IFERROR(__xludf.DUMMYFUNCTION("""COMPUTED_VALUE"""),"")</f>
        <v/>
      </c>
      <c r="N975" s="8" t="str">
        <f>IFERROR(__xludf.DUMMYFUNCTION("""COMPUTED_VALUE"""),"")</f>
        <v/>
      </c>
      <c r="O975" s="8"/>
      <c r="P975" s="8"/>
    </row>
    <row r="976">
      <c r="A976" s="8"/>
      <c r="B976" s="25"/>
      <c r="C976" s="385"/>
      <c r="D976" s="385"/>
      <c r="E976" s="392"/>
      <c r="F976" s="8"/>
      <c r="G976" s="8"/>
      <c r="H976" s="389"/>
      <c r="I976" s="8" t="b">
        <v>0</v>
      </c>
      <c r="J976" s="388" t="str">
        <f>IFERROR(__xludf.DUMMYFUNCTION("""COMPUTED_VALUE"""),"")</f>
        <v/>
      </c>
      <c r="K976" s="8"/>
      <c r="L976" s="8"/>
      <c r="M976" s="8" t="str">
        <f>IFERROR(__xludf.DUMMYFUNCTION("""COMPUTED_VALUE"""),"")</f>
        <v/>
      </c>
      <c r="N976" s="8" t="str">
        <f>IFERROR(__xludf.DUMMYFUNCTION("""COMPUTED_VALUE"""),"")</f>
        <v/>
      </c>
      <c r="O976" s="8"/>
      <c r="P976" s="8"/>
    </row>
    <row r="977">
      <c r="A977" s="8"/>
      <c r="B977" s="25"/>
      <c r="C977" s="385"/>
      <c r="D977" s="385"/>
      <c r="E977" s="392"/>
      <c r="F977" s="8"/>
      <c r="G977" s="8"/>
      <c r="H977" s="389"/>
      <c r="I977" s="8" t="b">
        <v>0</v>
      </c>
      <c r="J977" s="388" t="str">
        <f>IFERROR(__xludf.DUMMYFUNCTION("""COMPUTED_VALUE"""),"")</f>
        <v/>
      </c>
      <c r="K977" s="8"/>
      <c r="L977" s="8"/>
      <c r="M977" s="8" t="str">
        <f>IFERROR(__xludf.DUMMYFUNCTION("""COMPUTED_VALUE"""),"")</f>
        <v/>
      </c>
      <c r="N977" s="8" t="str">
        <f>IFERROR(__xludf.DUMMYFUNCTION("""COMPUTED_VALUE"""),"")</f>
        <v/>
      </c>
      <c r="O977" s="8"/>
      <c r="P977" s="8"/>
    </row>
    <row r="978">
      <c r="A978" s="8"/>
      <c r="B978" s="25"/>
      <c r="C978" s="385"/>
      <c r="D978" s="385"/>
      <c r="E978" s="392"/>
      <c r="F978" s="8"/>
      <c r="G978" s="8"/>
      <c r="H978" s="389"/>
      <c r="I978" s="8" t="b">
        <v>0</v>
      </c>
      <c r="J978" s="388" t="str">
        <f>IFERROR(__xludf.DUMMYFUNCTION("""COMPUTED_VALUE"""),"")</f>
        <v/>
      </c>
      <c r="K978" s="8"/>
      <c r="L978" s="8"/>
      <c r="M978" s="8" t="str">
        <f>IFERROR(__xludf.DUMMYFUNCTION("""COMPUTED_VALUE"""),"")</f>
        <v/>
      </c>
      <c r="N978" s="8" t="str">
        <f>IFERROR(__xludf.DUMMYFUNCTION("""COMPUTED_VALUE"""),"")</f>
        <v/>
      </c>
      <c r="O978" s="8"/>
      <c r="P978" s="8"/>
    </row>
    <row r="979">
      <c r="A979" s="8"/>
      <c r="B979" s="25"/>
      <c r="C979" s="385"/>
      <c r="D979" s="385"/>
      <c r="E979" s="392"/>
      <c r="F979" s="8"/>
      <c r="G979" s="8"/>
      <c r="H979" s="389"/>
      <c r="I979" s="8" t="b">
        <v>0</v>
      </c>
      <c r="J979" s="388" t="str">
        <f>IFERROR(__xludf.DUMMYFUNCTION("""COMPUTED_VALUE"""),"")</f>
        <v/>
      </c>
      <c r="K979" s="8"/>
      <c r="L979" s="8"/>
      <c r="M979" s="8" t="str">
        <f>IFERROR(__xludf.DUMMYFUNCTION("""COMPUTED_VALUE"""),"")</f>
        <v/>
      </c>
      <c r="N979" s="8" t="str">
        <f>IFERROR(__xludf.DUMMYFUNCTION("""COMPUTED_VALUE"""),"")</f>
        <v/>
      </c>
      <c r="O979" s="8"/>
      <c r="P979" s="8"/>
    </row>
    <row r="980">
      <c r="A980" s="8"/>
      <c r="B980" s="25"/>
      <c r="C980" s="385"/>
      <c r="D980" s="385"/>
      <c r="E980" s="392"/>
      <c r="F980" s="8"/>
      <c r="G980" s="8"/>
      <c r="H980" s="389"/>
      <c r="I980" s="8" t="b">
        <v>0</v>
      </c>
      <c r="J980" s="388" t="str">
        <f>IFERROR(__xludf.DUMMYFUNCTION("""COMPUTED_VALUE"""),"")</f>
        <v/>
      </c>
      <c r="K980" s="8"/>
      <c r="L980" s="8"/>
      <c r="M980" s="8" t="str">
        <f>IFERROR(__xludf.DUMMYFUNCTION("""COMPUTED_VALUE"""),"")</f>
        <v/>
      </c>
      <c r="N980" s="8" t="str">
        <f>IFERROR(__xludf.DUMMYFUNCTION("""COMPUTED_VALUE"""),"")</f>
        <v/>
      </c>
      <c r="O980" s="8"/>
      <c r="P980" s="8"/>
    </row>
    <row r="981">
      <c r="A981" s="8"/>
      <c r="B981" s="25"/>
      <c r="C981" s="385"/>
      <c r="D981" s="385"/>
      <c r="E981" s="392"/>
      <c r="F981" s="8"/>
      <c r="G981" s="8"/>
      <c r="H981" s="389"/>
      <c r="I981" s="8" t="b">
        <v>0</v>
      </c>
      <c r="J981" s="388" t="str">
        <f>IFERROR(__xludf.DUMMYFUNCTION("""COMPUTED_VALUE"""),"")</f>
        <v/>
      </c>
      <c r="K981" s="8"/>
      <c r="L981" s="8"/>
      <c r="M981" s="8" t="str">
        <f>IFERROR(__xludf.DUMMYFUNCTION("""COMPUTED_VALUE"""),"")</f>
        <v/>
      </c>
      <c r="N981" s="8" t="str">
        <f>IFERROR(__xludf.DUMMYFUNCTION("""COMPUTED_VALUE"""),"")</f>
        <v/>
      </c>
      <c r="O981" s="8"/>
      <c r="P981" s="8"/>
    </row>
    <row r="982">
      <c r="A982" s="8"/>
      <c r="B982" s="25"/>
      <c r="C982" s="385"/>
      <c r="D982" s="385"/>
      <c r="E982" s="392"/>
      <c r="F982" s="8"/>
      <c r="G982" s="8"/>
      <c r="H982" s="389"/>
      <c r="I982" s="8" t="b">
        <v>0</v>
      </c>
      <c r="J982" s="388" t="str">
        <f>IFERROR(__xludf.DUMMYFUNCTION("""COMPUTED_VALUE"""),"")</f>
        <v/>
      </c>
      <c r="K982" s="8"/>
      <c r="L982" s="8"/>
      <c r="M982" s="8" t="str">
        <f>IFERROR(__xludf.DUMMYFUNCTION("""COMPUTED_VALUE"""),"")</f>
        <v/>
      </c>
      <c r="N982" s="8" t="str">
        <f>IFERROR(__xludf.DUMMYFUNCTION("""COMPUTED_VALUE"""),"")</f>
        <v/>
      </c>
      <c r="O982" s="8"/>
      <c r="P982" s="8"/>
    </row>
    <row r="983">
      <c r="A983" s="8"/>
      <c r="B983" s="25"/>
      <c r="C983" s="385"/>
      <c r="D983" s="385"/>
      <c r="E983" s="392"/>
      <c r="F983" s="8"/>
      <c r="G983" s="8"/>
      <c r="H983" s="389"/>
      <c r="I983" s="8" t="b">
        <v>0</v>
      </c>
      <c r="J983" s="388" t="str">
        <f>IFERROR(__xludf.DUMMYFUNCTION("""COMPUTED_VALUE"""),"")</f>
        <v/>
      </c>
      <c r="K983" s="8"/>
      <c r="L983" s="8"/>
      <c r="M983" s="8" t="str">
        <f>IFERROR(__xludf.DUMMYFUNCTION("""COMPUTED_VALUE"""),"")</f>
        <v/>
      </c>
      <c r="N983" s="8" t="str">
        <f>IFERROR(__xludf.DUMMYFUNCTION("""COMPUTED_VALUE"""),"")</f>
        <v/>
      </c>
      <c r="O983" s="8"/>
      <c r="P983" s="8"/>
    </row>
    <row r="984">
      <c r="A984" s="8"/>
      <c r="B984" s="25"/>
      <c r="C984" s="385"/>
      <c r="D984" s="385"/>
      <c r="E984" s="392"/>
      <c r="F984" s="8"/>
      <c r="G984" s="8"/>
      <c r="H984" s="389"/>
      <c r="I984" s="8" t="b">
        <v>0</v>
      </c>
      <c r="J984" s="388" t="str">
        <f>IFERROR(__xludf.DUMMYFUNCTION("""COMPUTED_VALUE"""),"")</f>
        <v/>
      </c>
      <c r="K984" s="8"/>
      <c r="L984" s="8"/>
      <c r="M984" s="8" t="str">
        <f>IFERROR(__xludf.DUMMYFUNCTION("""COMPUTED_VALUE"""),"")</f>
        <v/>
      </c>
      <c r="N984" s="8" t="str">
        <f>IFERROR(__xludf.DUMMYFUNCTION("""COMPUTED_VALUE"""),"")</f>
        <v/>
      </c>
      <c r="O984" s="8"/>
      <c r="P984" s="8"/>
    </row>
    <row r="985">
      <c r="A985" s="8"/>
      <c r="B985" s="25"/>
      <c r="C985" s="385"/>
      <c r="D985" s="385"/>
      <c r="E985" s="392"/>
      <c r="F985" s="8"/>
      <c r="G985" s="8"/>
      <c r="H985" s="389"/>
      <c r="I985" s="8" t="b">
        <v>0</v>
      </c>
      <c r="J985" s="388" t="str">
        <f>IFERROR(__xludf.DUMMYFUNCTION("""COMPUTED_VALUE"""),"")</f>
        <v/>
      </c>
      <c r="K985" s="8"/>
      <c r="L985" s="8"/>
      <c r="M985" s="8" t="str">
        <f>IFERROR(__xludf.DUMMYFUNCTION("""COMPUTED_VALUE"""),"")</f>
        <v/>
      </c>
      <c r="N985" s="8" t="str">
        <f>IFERROR(__xludf.DUMMYFUNCTION("""COMPUTED_VALUE"""),"")</f>
        <v/>
      </c>
      <c r="O985" s="8"/>
      <c r="P985" s="8"/>
    </row>
    <row r="986">
      <c r="A986" s="8"/>
      <c r="B986" s="25"/>
      <c r="C986" s="385"/>
      <c r="D986" s="385"/>
      <c r="E986" s="392"/>
      <c r="F986" s="8"/>
      <c r="G986" s="8"/>
      <c r="H986" s="389"/>
      <c r="I986" s="8" t="b">
        <v>0</v>
      </c>
      <c r="J986" s="388" t="str">
        <f>IFERROR(__xludf.DUMMYFUNCTION("""COMPUTED_VALUE"""),"")</f>
        <v/>
      </c>
      <c r="K986" s="8"/>
      <c r="L986" s="8"/>
      <c r="M986" s="8" t="str">
        <f>IFERROR(__xludf.DUMMYFUNCTION("""COMPUTED_VALUE"""),"")</f>
        <v/>
      </c>
      <c r="N986" s="8" t="str">
        <f>IFERROR(__xludf.DUMMYFUNCTION("""COMPUTED_VALUE"""),"")</f>
        <v/>
      </c>
      <c r="O986" s="8"/>
      <c r="P986" s="8"/>
    </row>
    <row r="987">
      <c r="A987" s="8"/>
      <c r="B987" s="25"/>
      <c r="C987" s="385"/>
      <c r="D987" s="385"/>
      <c r="E987" s="392"/>
      <c r="F987" s="8"/>
      <c r="G987" s="8"/>
      <c r="H987" s="389"/>
      <c r="I987" s="8" t="b">
        <v>0</v>
      </c>
      <c r="J987" s="388" t="str">
        <f>IFERROR(__xludf.DUMMYFUNCTION("""COMPUTED_VALUE"""),"")</f>
        <v/>
      </c>
      <c r="K987" s="8"/>
      <c r="L987" s="8"/>
      <c r="M987" s="8" t="str">
        <f>IFERROR(__xludf.DUMMYFUNCTION("""COMPUTED_VALUE"""),"")</f>
        <v/>
      </c>
      <c r="N987" s="8" t="str">
        <f>IFERROR(__xludf.DUMMYFUNCTION("""COMPUTED_VALUE"""),"")</f>
        <v/>
      </c>
      <c r="O987" s="8"/>
      <c r="P987" s="8"/>
    </row>
    <row r="988">
      <c r="A988" s="8"/>
      <c r="B988" s="25"/>
      <c r="C988" s="385"/>
      <c r="D988" s="385"/>
      <c r="E988" s="392"/>
      <c r="F988" s="8"/>
      <c r="G988" s="8"/>
      <c r="H988" s="389"/>
      <c r="I988" s="8" t="b">
        <v>0</v>
      </c>
      <c r="J988" s="388" t="str">
        <f>IFERROR(__xludf.DUMMYFUNCTION("""COMPUTED_VALUE"""),"")</f>
        <v/>
      </c>
      <c r="K988" s="8"/>
      <c r="L988" s="8"/>
      <c r="M988" s="8" t="str">
        <f>IFERROR(__xludf.DUMMYFUNCTION("""COMPUTED_VALUE"""),"")</f>
        <v/>
      </c>
      <c r="N988" s="8" t="str">
        <f>IFERROR(__xludf.DUMMYFUNCTION("""COMPUTED_VALUE"""),"")</f>
        <v/>
      </c>
      <c r="O988" s="8"/>
      <c r="P988" s="8"/>
    </row>
    <row r="989">
      <c r="A989" s="8"/>
      <c r="B989" s="25"/>
      <c r="C989" s="385"/>
      <c r="D989" s="385"/>
      <c r="E989" s="392"/>
      <c r="F989" s="8"/>
      <c r="G989" s="8"/>
      <c r="H989" s="389"/>
      <c r="I989" s="8" t="b">
        <v>0</v>
      </c>
      <c r="J989" s="388" t="str">
        <f>IFERROR(__xludf.DUMMYFUNCTION("""COMPUTED_VALUE"""),"")</f>
        <v/>
      </c>
      <c r="K989" s="8"/>
      <c r="L989" s="8"/>
      <c r="M989" s="8" t="str">
        <f>IFERROR(__xludf.DUMMYFUNCTION("""COMPUTED_VALUE"""),"")</f>
        <v/>
      </c>
      <c r="N989" s="8" t="str">
        <f>IFERROR(__xludf.DUMMYFUNCTION("""COMPUTED_VALUE"""),"")</f>
        <v/>
      </c>
      <c r="O989" s="8"/>
      <c r="P989" s="8"/>
    </row>
    <row r="990">
      <c r="A990" s="8"/>
      <c r="B990" s="25"/>
      <c r="C990" s="385"/>
      <c r="D990" s="385"/>
      <c r="E990" s="392"/>
      <c r="F990" s="8"/>
      <c r="G990" s="8"/>
      <c r="H990" s="389"/>
      <c r="I990" s="8" t="b">
        <v>0</v>
      </c>
      <c r="J990" s="388" t="str">
        <f>IFERROR(__xludf.DUMMYFUNCTION("""COMPUTED_VALUE"""),"")</f>
        <v/>
      </c>
      <c r="K990" s="8"/>
      <c r="L990" s="8"/>
      <c r="M990" s="8" t="str">
        <f>IFERROR(__xludf.DUMMYFUNCTION("""COMPUTED_VALUE"""),"")</f>
        <v/>
      </c>
      <c r="N990" s="8" t="str">
        <f>IFERROR(__xludf.DUMMYFUNCTION("""COMPUTED_VALUE"""),"")</f>
        <v/>
      </c>
      <c r="O990" s="8"/>
      <c r="P990" s="8"/>
    </row>
    <row r="991">
      <c r="A991" s="8"/>
      <c r="B991" s="25"/>
      <c r="C991" s="385"/>
      <c r="D991" s="385"/>
      <c r="E991" s="392"/>
      <c r="F991" s="8"/>
      <c r="G991" s="8"/>
      <c r="H991" s="389"/>
      <c r="I991" s="8" t="b">
        <v>0</v>
      </c>
      <c r="J991" s="388" t="str">
        <f>IFERROR(__xludf.DUMMYFUNCTION("""COMPUTED_VALUE"""),"")</f>
        <v/>
      </c>
      <c r="K991" s="8"/>
      <c r="L991" s="8"/>
      <c r="M991" s="8" t="str">
        <f>IFERROR(__xludf.DUMMYFUNCTION("""COMPUTED_VALUE"""),"")</f>
        <v/>
      </c>
      <c r="N991" s="8" t="str">
        <f>IFERROR(__xludf.DUMMYFUNCTION("""COMPUTED_VALUE"""),"")</f>
        <v/>
      </c>
      <c r="O991" s="8"/>
      <c r="P991" s="8"/>
    </row>
    <row r="992">
      <c r="A992" s="8"/>
      <c r="B992" s="25"/>
      <c r="C992" s="385"/>
      <c r="D992" s="385"/>
      <c r="E992" s="392"/>
      <c r="F992" s="8"/>
      <c r="G992" s="8"/>
      <c r="H992" s="389"/>
      <c r="I992" s="8" t="b">
        <v>0</v>
      </c>
      <c r="J992" s="388" t="str">
        <f>IFERROR(__xludf.DUMMYFUNCTION("""COMPUTED_VALUE"""),"")</f>
        <v/>
      </c>
      <c r="K992" s="8"/>
      <c r="L992" s="8"/>
      <c r="M992" s="8" t="str">
        <f>IFERROR(__xludf.DUMMYFUNCTION("""COMPUTED_VALUE"""),"")</f>
        <v/>
      </c>
      <c r="N992" s="8" t="str">
        <f>IFERROR(__xludf.DUMMYFUNCTION("""COMPUTED_VALUE"""),"")</f>
        <v/>
      </c>
      <c r="O992" s="8"/>
      <c r="P992" s="8"/>
    </row>
    <row r="993">
      <c r="A993" s="8"/>
      <c r="B993" s="25"/>
      <c r="C993" s="385"/>
      <c r="D993" s="385"/>
      <c r="E993" s="392"/>
      <c r="F993" s="8"/>
      <c r="G993" s="8"/>
      <c r="H993" s="389"/>
      <c r="I993" s="8" t="b">
        <v>0</v>
      </c>
      <c r="J993" s="388" t="str">
        <f>IFERROR(__xludf.DUMMYFUNCTION("""COMPUTED_VALUE"""),"")</f>
        <v/>
      </c>
      <c r="K993" s="8"/>
      <c r="L993" s="8"/>
      <c r="M993" s="8" t="str">
        <f>IFERROR(__xludf.DUMMYFUNCTION("""COMPUTED_VALUE"""),"")</f>
        <v/>
      </c>
      <c r="N993" s="8" t="str">
        <f>IFERROR(__xludf.DUMMYFUNCTION("""COMPUTED_VALUE"""),"")</f>
        <v/>
      </c>
      <c r="O993" s="8"/>
      <c r="P993" s="8"/>
    </row>
    <row r="994">
      <c r="A994" s="8"/>
      <c r="B994" s="25"/>
      <c r="C994" s="385"/>
      <c r="D994" s="385"/>
      <c r="E994" s="392"/>
      <c r="F994" s="8"/>
      <c r="G994" s="8"/>
      <c r="H994" s="389"/>
      <c r="I994" s="8" t="b">
        <v>0</v>
      </c>
      <c r="J994" s="388" t="str">
        <f>IFERROR(__xludf.DUMMYFUNCTION("""COMPUTED_VALUE"""),"")</f>
        <v/>
      </c>
      <c r="K994" s="8"/>
      <c r="L994" s="8"/>
      <c r="M994" s="8" t="str">
        <f>IFERROR(__xludf.DUMMYFUNCTION("""COMPUTED_VALUE"""),"")</f>
        <v/>
      </c>
      <c r="N994" s="8" t="str">
        <f>IFERROR(__xludf.DUMMYFUNCTION("""COMPUTED_VALUE"""),"")</f>
        <v/>
      </c>
      <c r="O994" s="8"/>
      <c r="P994" s="8"/>
    </row>
    <row r="995">
      <c r="A995" s="8"/>
      <c r="B995" s="25"/>
      <c r="C995" s="385"/>
      <c r="D995" s="385"/>
      <c r="E995" s="392"/>
      <c r="F995" s="8"/>
      <c r="G995" s="8"/>
      <c r="H995" s="389"/>
      <c r="I995" s="8" t="b">
        <v>0</v>
      </c>
      <c r="J995" s="388" t="str">
        <f>IFERROR(__xludf.DUMMYFUNCTION("""COMPUTED_VALUE"""),"")</f>
        <v/>
      </c>
      <c r="K995" s="8"/>
      <c r="L995" s="8"/>
      <c r="M995" s="8" t="str">
        <f>IFERROR(__xludf.DUMMYFUNCTION("""COMPUTED_VALUE"""),"")</f>
        <v/>
      </c>
      <c r="N995" s="8" t="str">
        <f>IFERROR(__xludf.DUMMYFUNCTION("""COMPUTED_VALUE"""),"")</f>
        <v/>
      </c>
      <c r="O995" s="8"/>
      <c r="P995" s="8"/>
    </row>
    <row r="996">
      <c r="A996" s="8"/>
      <c r="B996" s="25"/>
      <c r="C996" s="385"/>
      <c r="D996" s="385"/>
      <c r="E996" s="392"/>
      <c r="F996" s="8"/>
      <c r="G996" s="8"/>
      <c r="H996" s="389"/>
      <c r="I996" s="8" t="b">
        <v>0</v>
      </c>
      <c r="J996" s="388" t="str">
        <f>IFERROR(__xludf.DUMMYFUNCTION("""COMPUTED_VALUE"""),"")</f>
        <v/>
      </c>
      <c r="K996" s="8"/>
      <c r="L996" s="8"/>
      <c r="M996" s="8" t="str">
        <f>IFERROR(__xludf.DUMMYFUNCTION("""COMPUTED_VALUE"""),"")</f>
        <v/>
      </c>
      <c r="N996" s="8" t="str">
        <f>IFERROR(__xludf.DUMMYFUNCTION("""COMPUTED_VALUE"""),"")</f>
        <v/>
      </c>
      <c r="O996" s="8"/>
      <c r="P996" s="8"/>
    </row>
    <row r="997">
      <c r="A997" s="8"/>
      <c r="B997" s="25"/>
      <c r="C997" s="385"/>
      <c r="D997" s="385"/>
      <c r="E997" s="392"/>
      <c r="F997" s="8"/>
      <c r="G997" s="8"/>
      <c r="H997" s="389"/>
      <c r="I997" s="8" t="b">
        <v>0</v>
      </c>
      <c r="J997" s="388" t="str">
        <f>IFERROR(__xludf.DUMMYFUNCTION("""COMPUTED_VALUE"""),"")</f>
        <v/>
      </c>
      <c r="K997" s="8"/>
      <c r="L997" s="8"/>
      <c r="M997" s="8" t="str">
        <f>IFERROR(__xludf.DUMMYFUNCTION("""COMPUTED_VALUE"""),"")</f>
        <v/>
      </c>
      <c r="N997" s="8" t="str">
        <f>IFERROR(__xludf.DUMMYFUNCTION("""COMPUTED_VALUE"""),"")</f>
        <v/>
      </c>
      <c r="O997" s="8"/>
      <c r="P997" s="8"/>
    </row>
    <row r="998">
      <c r="A998" s="8"/>
      <c r="B998" s="25"/>
      <c r="C998" s="385"/>
      <c r="D998" s="385"/>
      <c r="E998" s="392"/>
      <c r="F998" s="8"/>
      <c r="G998" s="8"/>
      <c r="H998" s="389"/>
      <c r="I998" s="8" t="b">
        <v>0</v>
      </c>
      <c r="J998" s="388" t="str">
        <f>IFERROR(__xludf.DUMMYFUNCTION("""COMPUTED_VALUE"""),"")</f>
        <v/>
      </c>
      <c r="K998" s="8"/>
      <c r="L998" s="8"/>
      <c r="M998" s="8" t="str">
        <f>IFERROR(__xludf.DUMMYFUNCTION("""COMPUTED_VALUE"""),"")</f>
        <v/>
      </c>
      <c r="N998" s="8" t="str">
        <f>IFERROR(__xludf.DUMMYFUNCTION("""COMPUTED_VALUE"""),"")</f>
        <v/>
      </c>
      <c r="O998" s="8"/>
      <c r="P998" s="8"/>
    </row>
    <row r="999">
      <c r="A999" s="8"/>
      <c r="B999" s="25"/>
      <c r="C999" s="385"/>
      <c r="D999" s="385"/>
      <c r="E999" s="392"/>
      <c r="F999" s="8"/>
      <c r="G999" s="8"/>
      <c r="H999" s="389"/>
      <c r="I999" s="8" t="b">
        <v>0</v>
      </c>
      <c r="J999" s="388" t="str">
        <f>IFERROR(__xludf.DUMMYFUNCTION("""COMPUTED_VALUE"""),"")</f>
        <v/>
      </c>
      <c r="K999" s="8"/>
      <c r="L999" s="8"/>
      <c r="M999" s="8" t="str">
        <f>IFERROR(__xludf.DUMMYFUNCTION("""COMPUTED_VALUE"""),"")</f>
        <v/>
      </c>
      <c r="N999" s="8" t="str">
        <f>IFERROR(__xludf.DUMMYFUNCTION("""COMPUTED_VALUE"""),"")</f>
        <v/>
      </c>
      <c r="O999" s="8"/>
      <c r="P999" s="8"/>
    </row>
  </sheetData>
  <autoFilter ref="$A$1:$L$999">
    <sortState ref="A1:L999">
      <sortCondition ref="H1:H999"/>
      <sortCondition ref="G1:G999"/>
      <sortCondition ref="B1:B999"/>
    </sortState>
  </autoFilter>
  <conditionalFormatting sqref="J2:J999">
    <cfRule type="containsText" dxfId="18" priority="1" operator="containsText" text="Yi Sang">
      <formula>NOT(ISERROR(SEARCH(("Yi Sang"),(J2))))</formula>
    </cfRule>
  </conditionalFormatting>
  <conditionalFormatting sqref="J2:J999">
    <cfRule type="containsText" dxfId="19" priority="2" operator="containsText" text="Faust">
      <formula>NOT(ISERROR(SEARCH(("Faust"),(J2))))</formula>
    </cfRule>
  </conditionalFormatting>
  <conditionalFormatting sqref="J2:J999">
    <cfRule type="containsText" dxfId="6" priority="3" operator="containsText" text="Don Quixote">
      <formula>NOT(ISERROR(SEARCH(("Don Quixote"),(J2))))</formula>
    </cfRule>
  </conditionalFormatting>
  <conditionalFormatting sqref="J2:J999">
    <cfRule type="containsText" dxfId="20" priority="4" operator="containsText" text="Ryoshu">
      <formula>NOT(ISERROR(SEARCH(("Ryoshu"),(J2))))</formula>
    </cfRule>
  </conditionalFormatting>
  <conditionalFormatting sqref="J2:J999">
    <cfRule type="containsText" dxfId="21" priority="5" operator="containsText" text="Meursault">
      <formula>NOT(ISERROR(SEARCH(("Meursault"),(J2))))</formula>
    </cfRule>
  </conditionalFormatting>
  <conditionalFormatting sqref="J2:J999">
    <cfRule type="containsText" dxfId="22" priority="6" operator="containsText" text="Hong Lu">
      <formula>NOT(ISERROR(SEARCH(("Hong Lu"),(J2))))</formula>
    </cfRule>
  </conditionalFormatting>
  <conditionalFormatting sqref="J2:J999">
    <cfRule type="containsText" dxfId="23" priority="7" operator="containsText" text="Heathcliff">
      <formula>NOT(ISERROR(SEARCH(("Heathcliff"),(J2))))</formula>
    </cfRule>
  </conditionalFormatting>
  <conditionalFormatting sqref="J2:J999">
    <cfRule type="containsText" dxfId="24" priority="8" operator="containsText" text="Ishmael">
      <formula>NOT(ISERROR(SEARCH(("Ishmael"),(J2))))</formula>
    </cfRule>
  </conditionalFormatting>
  <conditionalFormatting sqref="J2:J999">
    <cfRule type="containsText" dxfId="25" priority="9" operator="containsText" text="Rodion">
      <formula>NOT(ISERROR(SEARCH(("Rodion"),(J2))))</formula>
    </cfRule>
  </conditionalFormatting>
  <conditionalFormatting sqref="J2:J999">
    <cfRule type="containsText" dxfId="26" priority="10" operator="containsText" text="Sinclair">
      <formula>NOT(ISERROR(SEARCH(("Sinclair"),(J2))))</formula>
    </cfRule>
  </conditionalFormatting>
  <conditionalFormatting sqref="J2:J999">
    <cfRule type="containsText" dxfId="27" priority="11" operator="containsText" text="Outis">
      <formula>NOT(ISERROR(SEARCH(("Outis"),(J2))))</formula>
    </cfRule>
  </conditionalFormatting>
  <conditionalFormatting sqref="J2:J999">
    <cfRule type="containsText" dxfId="28" priority="12" operator="containsText" text="Gregor">
      <formula>NOT(ISERROR(SEARCH(("Gregor"),(J2))))</formula>
    </cfRule>
  </conditionalFormatting>
  <conditionalFormatting sqref="K2:K999">
    <cfRule type="colorScale" priority="13">
      <colorScale>
        <cfvo type="formula" val="0"/>
        <cfvo type="percentile" val="50"/>
        <cfvo type="formula" val="4"/>
        <color rgb="FFE67C73"/>
        <color rgb="FFFFD666"/>
        <color rgb="FF57BB8A"/>
      </colorScale>
    </cfRule>
  </conditionalFormatting>
  <dataValidations>
    <dataValidation type="list" allowBlank="1" showErrorMessage="1" sqref="B2:B999">
      <formula1>SinnerList</formula1>
    </dataValidation>
    <dataValidation type="list" allowBlank="1" showErrorMessage="1" sqref="D2:D999">
      <formula1>"ZAYIN,TETH,HE,WAW,ALEPH"</formula1>
    </dataValidation>
    <dataValidation type="list" allowBlank="1" showErrorMessage="1" sqref="E2:E999">
      <formula1>"1,2,3,4,5,6,7,8,9,10,Walpurgisnaught,Standard Fare,Season,Event,Bokgak,Extraction,Reward,BP,11,12,13,14,15"</formula1>
    </dataValidation>
    <dataValidation type="list" allowBlank="1" showErrorMessage="1" sqref="L2:L999">
      <formula1>"Paralyze,Bind,Haste,Protection,Attack Type DMG/Power Up,Sin DMG/Power Up,Ammo,Plus Coin Drop,Offense Level Up,Offense Level Down,Defense Level Up,Defense Level Down,Damage Up,Retreat,Reload,Assist Attack,Assist Defense,Defense Power Up,Defense Power Down,"&amp;"Damage Down,Amplitude Conversion,Amplitude Entanglement,Aggro,Attack Power Up,Attack Power Down,Power Up,Power Down,Plus Coin Boost,Fragile,Attack Type Fragility,Sin Fragility,Sin Protection,Attack Type Protection,Keyword Protection,Unbreakable Coin,Unfoc"&amp;"used Volley,Attack Type Resist Down,Sin Resist Down,Clash Power Up,Clash Power Down,Shin,Load,Photoelectricity,Dimensional Rift,Tremor Burst,Tremor - Superposition,Tremor - Chain,Tremor - Decay,Tremor - Reverb,Tremor - Scorch,Tremor - Hemorrhage,Tremor - "&amp;"Fracture,Tremor - Everlasting,Tremor - Clockwinding,Discard,Clashable Guard,Clashable Counter,Bloodfeast,Deathrite,Crit DMG Up,Weak-resist DMG Boost,SP Healing Efficiency,SP Loss Efficiency,E.G.O Resource Amp,Nail,Curse"</formula1>
    </dataValidation>
    <dataValidation type="list" allowBlank="1" showErrorMessage="1" sqref="F2:F999">
      <formula1>"Burn,Bleed,Tremor,Rupture,Sinking,Poise,Charge,No Keyword"</formula1>
    </dataValidation>
    <dataValidation type="list" allowBlank="1" showErrorMessage="1" sqref="C2:C999">
      <formula1>"Wrath,Lust,Sloth,Gluttony,Gloom,Pride,Envy"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15" width="3.5"/>
    <col customWidth="1" min="20" max="20" width="3.5"/>
    <col customWidth="1" min="21" max="24" width="12.0"/>
    <col customWidth="1" min="25" max="25" width="3.5"/>
    <col customWidth="1" min="26" max="26" width="13.38"/>
  </cols>
  <sheetData>
    <row r="1">
      <c r="A1" s="393" t="s">
        <v>1975</v>
      </c>
      <c r="B1" s="394"/>
      <c r="C1" s="394"/>
      <c r="D1" s="394"/>
      <c r="E1" s="49"/>
      <c r="F1" s="393" t="s">
        <v>1976</v>
      </c>
      <c r="G1" s="394"/>
      <c r="H1" s="394"/>
      <c r="I1" s="394"/>
      <c r="J1" s="49"/>
      <c r="K1" s="393" t="s">
        <v>1977</v>
      </c>
      <c r="L1" s="394"/>
      <c r="M1" s="394"/>
      <c r="N1" s="394"/>
      <c r="O1" s="49"/>
      <c r="P1" s="393" t="s">
        <v>1978</v>
      </c>
      <c r="Q1" s="394"/>
      <c r="R1" s="394"/>
      <c r="S1" s="394"/>
      <c r="T1" s="49"/>
      <c r="U1" s="393" t="s">
        <v>1979</v>
      </c>
      <c r="V1" s="394"/>
      <c r="W1" s="394"/>
      <c r="X1" s="394"/>
      <c r="Y1" s="49"/>
      <c r="Z1" s="395" t="s">
        <v>771</v>
      </c>
    </row>
    <row r="2">
      <c r="A2" s="51" t="str">
        <f t="array" ref="A2:Y2">MAP(SEQUENCE(1, 25), LAMBDA(i, INDEX({"ZAYIN", "TETH", "HE", "WAW", "ALEPH"}, MOD(i - 1, 5) + 1)))</f>
        <v>ZAYIN</v>
      </c>
      <c r="B2" s="51" t="s">
        <v>327</v>
      </c>
      <c r="C2" s="51" t="s">
        <v>333</v>
      </c>
      <c r="D2" s="51" t="s">
        <v>342</v>
      </c>
      <c r="E2" s="51" t="s">
        <v>1974</v>
      </c>
      <c r="F2" s="51" t="s">
        <v>319</v>
      </c>
      <c r="G2" s="51" t="s">
        <v>327</v>
      </c>
      <c r="H2" s="51" t="s">
        <v>333</v>
      </c>
      <c r="I2" s="51" t="s">
        <v>342</v>
      </c>
      <c r="J2" s="51" t="s">
        <v>1974</v>
      </c>
      <c r="K2" s="51" t="s">
        <v>319</v>
      </c>
      <c r="L2" s="51" t="s">
        <v>327</v>
      </c>
      <c r="M2" s="51" t="s">
        <v>333</v>
      </c>
      <c r="N2" s="51" t="s">
        <v>342</v>
      </c>
      <c r="O2" s="51" t="s">
        <v>1974</v>
      </c>
      <c r="P2" s="51" t="s">
        <v>319</v>
      </c>
      <c r="Q2" s="51" t="s">
        <v>327</v>
      </c>
      <c r="R2" s="51" t="s">
        <v>333</v>
      </c>
      <c r="S2" s="51" t="s">
        <v>342</v>
      </c>
      <c r="T2" s="51" t="s">
        <v>1974</v>
      </c>
      <c r="U2" s="51" t="s">
        <v>319</v>
      </c>
      <c r="V2" s="51" t="s">
        <v>327</v>
      </c>
      <c r="W2" s="51" t="s">
        <v>333</v>
      </c>
      <c r="X2" s="51" t="s">
        <v>342</v>
      </c>
      <c r="Y2" s="51" t="s">
        <v>1974</v>
      </c>
    </row>
    <row r="3">
      <c r="A3" s="396">
        <f t="array" ref="A3:Y3">BYCOL(A4:Y1000, LAMBDA(col, IF(COUNTA(col)=0, 0, COUNTA(col) - COUNTIF(col, " ??"))))</f>
        <v>5</v>
      </c>
      <c r="B3" s="396">
        <v>23.0</v>
      </c>
      <c r="C3" s="396">
        <v>22.0</v>
      </c>
      <c r="D3" s="396">
        <v>4.0</v>
      </c>
      <c r="E3" s="396">
        <v>0.0</v>
      </c>
      <c r="F3" s="396">
        <v>0.0</v>
      </c>
      <c r="G3" s="396">
        <v>0.0</v>
      </c>
      <c r="H3" s="396">
        <v>0.0</v>
      </c>
      <c r="I3" s="396">
        <v>1.0</v>
      </c>
      <c r="J3" s="396">
        <v>0.0</v>
      </c>
      <c r="K3" s="396">
        <v>0.0</v>
      </c>
      <c r="L3" s="396">
        <v>0.0</v>
      </c>
      <c r="M3" s="396">
        <v>0.0</v>
      </c>
      <c r="N3" s="396">
        <v>0.0</v>
      </c>
      <c r="O3" s="396">
        <v>0.0</v>
      </c>
      <c r="P3" s="396">
        <v>13.0</v>
      </c>
      <c r="Q3" s="396">
        <v>8.0</v>
      </c>
      <c r="R3" s="396">
        <v>14.0</v>
      </c>
      <c r="S3" s="396">
        <v>12.0</v>
      </c>
      <c r="T3" s="396">
        <v>0.0</v>
      </c>
      <c r="U3" s="396">
        <v>1.0</v>
      </c>
      <c r="V3" s="396">
        <v>1.0</v>
      </c>
      <c r="W3" s="396">
        <v>2.0</v>
      </c>
      <c r="X3" s="396">
        <v>1.0</v>
      </c>
      <c r="Y3" s="396">
        <v>0.0</v>
      </c>
      <c r="Z3" s="397" t="s">
        <v>1980</v>
      </c>
    </row>
    <row r="4">
      <c r="A4" s="7" t="s">
        <v>1981</v>
      </c>
      <c r="B4" s="7" t="s">
        <v>1982</v>
      </c>
      <c r="C4" s="7" t="s">
        <v>1983</v>
      </c>
      <c r="D4" s="26"/>
      <c r="E4" s="26" t="s">
        <v>14</v>
      </c>
      <c r="F4" s="26"/>
      <c r="G4" s="26"/>
      <c r="H4" s="26"/>
      <c r="I4" s="26"/>
      <c r="J4" s="26" t="s">
        <v>14</v>
      </c>
      <c r="K4" s="26"/>
      <c r="L4" s="26"/>
      <c r="M4" s="26"/>
      <c r="N4" s="26"/>
      <c r="O4" s="26" t="s">
        <v>14</v>
      </c>
      <c r="P4" s="7" t="s">
        <v>1984</v>
      </c>
      <c r="Q4" s="7" t="s">
        <v>1985</v>
      </c>
      <c r="R4" s="7" t="s">
        <v>1986</v>
      </c>
      <c r="S4" s="7" t="s">
        <v>1987</v>
      </c>
      <c r="T4" s="26" t="s">
        <v>14</v>
      </c>
      <c r="U4" s="26"/>
      <c r="V4" s="26"/>
      <c r="W4" s="26"/>
      <c r="X4" s="26"/>
      <c r="Y4" s="26" t="s">
        <v>14</v>
      </c>
    </row>
    <row r="5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S5" s="7" t="s">
        <v>1988</v>
      </c>
      <c r="T5" s="8"/>
      <c r="U5" s="8"/>
      <c r="V5" s="8"/>
      <c r="W5" s="8"/>
      <c r="X5" s="8"/>
      <c r="Y5" s="8"/>
      <c r="Z5" s="398" t="str">
        <f t="array" ref="Z5:Z28">"Season " &amp; ROUNDUP(SEQUENCE(24,1)/2,0)</f>
        <v>Season 1</v>
      </c>
    </row>
    <row r="6">
      <c r="A6" s="26"/>
      <c r="B6" s="7" t="s">
        <v>1989</v>
      </c>
      <c r="C6" s="7" t="s">
        <v>1990</v>
      </c>
      <c r="D6" s="26"/>
      <c r="E6" s="26" t="s">
        <v>298</v>
      </c>
      <c r="F6" s="26"/>
      <c r="G6" s="26"/>
      <c r="H6" s="26"/>
      <c r="I6" s="26"/>
      <c r="J6" s="26" t="s">
        <v>298</v>
      </c>
      <c r="K6" s="26"/>
      <c r="L6" s="26"/>
      <c r="M6" s="26"/>
      <c r="N6" s="26"/>
      <c r="O6" s="26" t="s">
        <v>298</v>
      </c>
      <c r="P6" s="7" t="s">
        <v>1991</v>
      </c>
      <c r="Q6" s="26"/>
      <c r="R6" s="7" t="s">
        <v>1992</v>
      </c>
      <c r="T6" s="26" t="s">
        <v>298</v>
      </c>
      <c r="U6" s="26"/>
      <c r="V6" s="26"/>
      <c r="W6" s="7" t="s">
        <v>1993</v>
      </c>
      <c r="X6" s="26"/>
      <c r="Y6" s="26" t="s">
        <v>298</v>
      </c>
      <c r="Z6" s="399" t="s">
        <v>1994</v>
      </c>
    </row>
    <row r="7">
      <c r="B7" s="7" t="s">
        <v>1995</v>
      </c>
      <c r="R7" s="7" t="s">
        <v>1996</v>
      </c>
      <c r="S7" s="7" t="s">
        <v>1997</v>
      </c>
      <c r="U7" s="8"/>
      <c r="Z7" s="400" t="s">
        <v>1998</v>
      </c>
    </row>
    <row r="8">
      <c r="A8" s="26"/>
      <c r="B8" s="7" t="s">
        <v>1999</v>
      </c>
      <c r="C8" s="7" t="s">
        <v>2000</v>
      </c>
      <c r="D8" s="401" t="s">
        <v>2001</v>
      </c>
      <c r="E8" s="26" t="s">
        <v>299</v>
      </c>
      <c r="F8" s="26"/>
      <c r="G8" s="26"/>
      <c r="H8" s="26"/>
      <c r="I8" s="7" t="s">
        <v>2002</v>
      </c>
      <c r="J8" s="26" t="s">
        <v>299</v>
      </c>
      <c r="K8" s="26"/>
      <c r="L8" s="26"/>
      <c r="M8" s="26"/>
      <c r="N8" s="26"/>
      <c r="O8" s="26" t="s">
        <v>299</v>
      </c>
      <c r="P8" s="7" t="s">
        <v>2003</v>
      </c>
      <c r="Q8" s="7" t="s">
        <v>2004</v>
      </c>
      <c r="R8" s="7" t="s">
        <v>2005</v>
      </c>
      <c r="T8" s="26" t="s">
        <v>299</v>
      </c>
      <c r="U8" s="26"/>
      <c r="V8" s="26"/>
      <c r="W8" s="26"/>
      <c r="X8" s="26"/>
      <c r="Y8" s="26" t="s">
        <v>299</v>
      </c>
      <c r="Z8" s="399" t="s">
        <v>1998</v>
      </c>
    </row>
    <row r="9">
      <c r="C9" s="7" t="s">
        <v>2006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8"/>
      <c r="S9" s="26"/>
      <c r="T9" s="27"/>
      <c r="U9" s="8"/>
      <c r="V9" s="27"/>
      <c r="W9" s="27"/>
      <c r="X9" s="27"/>
      <c r="Y9" s="27"/>
      <c r="Z9" s="402" t="s">
        <v>2007</v>
      </c>
    </row>
    <row r="10">
      <c r="A10" s="7" t="s">
        <v>2008</v>
      </c>
      <c r="B10" s="7" t="s">
        <v>2009</v>
      </c>
      <c r="D10" s="7" t="s">
        <v>2010</v>
      </c>
      <c r="E10" s="26" t="s">
        <v>310</v>
      </c>
      <c r="F10" s="26"/>
      <c r="G10" s="26"/>
      <c r="I10" s="26"/>
      <c r="J10" s="26" t="s">
        <v>310</v>
      </c>
      <c r="K10" s="26"/>
      <c r="L10" s="26"/>
      <c r="M10" s="26"/>
      <c r="N10" s="26"/>
      <c r="O10" s="26" t="s">
        <v>310</v>
      </c>
      <c r="P10" s="26"/>
      <c r="Q10" s="26"/>
      <c r="R10" s="7" t="s">
        <v>2011</v>
      </c>
      <c r="T10" s="26" t="s">
        <v>310</v>
      </c>
      <c r="U10" s="7" t="s">
        <v>2012</v>
      </c>
      <c r="V10" s="26"/>
      <c r="W10" s="26"/>
      <c r="X10" s="26"/>
      <c r="Y10" s="26" t="s">
        <v>310</v>
      </c>
      <c r="Z10" s="399" t="s">
        <v>2007</v>
      </c>
    </row>
    <row r="11">
      <c r="B11" s="7" t="s">
        <v>2013</v>
      </c>
      <c r="C11" s="7" t="s">
        <v>2014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S11" s="7" t="s">
        <v>2015</v>
      </c>
      <c r="T11" s="27"/>
      <c r="U11" s="8"/>
      <c r="V11" s="27"/>
      <c r="W11" s="27"/>
      <c r="X11" s="27"/>
      <c r="Y11" s="27"/>
      <c r="Z11" s="403" t="s">
        <v>2016</v>
      </c>
    </row>
    <row r="12">
      <c r="A12" s="26"/>
      <c r="C12" s="7" t="s">
        <v>2017</v>
      </c>
      <c r="D12" s="7" t="s">
        <v>2018</v>
      </c>
      <c r="E12" s="26" t="s">
        <v>318</v>
      </c>
      <c r="F12" s="26"/>
      <c r="H12" s="26"/>
      <c r="I12" s="26"/>
      <c r="J12" s="26" t="s">
        <v>318</v>
      </c>
      <c r="K12" s="26"/>
      <c r="L12" s="26"/>
      <c r="M12" s="26"/>
      <c r="N12" s="26"/>
      <c r="O12" s="26" t="s">
        <v>318</v>
      </c>
      <c r="P12" s="7" t="s">
        <v>2019</v>
      </c>
      <c r="Q12" s="401" t="s">
        <v>2020</v>
      </c>
      <c r="R12" s="7" t="s">
        <v>2021</v>
      </c>
      <c r="T12" s="26" t="s">
        <v>318</v>
      </c>
      <c r="U12" s="26"/>
      <c r="V12" s="26"/>
      <c r="W12" s="26"/>
      <c r="X12" s="26"/>
      <c r="Y12" s="26" t="s">
        <v>318</v>
      </c>
      <c r="Z12" s="399" t="s">
        <v>2016</v>
      </c>
    </row>
    <row r="13">
      <c r="A13" s="27"/>
      <c r="B13" s="7" t="s">
        <v>2022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S13" s="7" t="s">
        <v>2023</v>
      </c>
      <c r="T13" s="27"/>
      <c r="U13" s="8"/>
      <c r="V13" s="27"/>
      <c r="W13" s="27"/>
      <c r="X13" s="27"/>
      <c r="Y13" s="27"/>
      <c r="Z13" s="404" t="s">
        <v>2024</v>
      </c>
    </row>
    <row r="14">
      <c r="A14" s="26"/>
      <c r="B14" s="7" t="s">
        <v>2025</v>
      </c>
      <c r="C14" s="7" t="s">
        <v>2026</v>
      </c>
      <c r="D14" s="26"/>
      <c r="E14" s="26" t="s">
        <v>326</v>
      </c>
      <c r="F14" s="26"/>
      <c r="G14" s="26"/>
      <c r="H14" s="26"/>
      <c r="I14" s="26"/>
      <c r="J14" s="26" t="s">
        <v>326</v>
      </c>
      <c r="K14" s="26"/>
      <c r="L14" s="26"/>
      <c r="M14" s="26"/>
      <c r="N14" s="26"/>
      <c r="O14" s="26" t="s">
        <v>326</v>
      </c>
      <c r="P14" s="7" t="s">
        <v>2027</v>
      </c>
      <c r="Q14" s="26"/>
      <c r="R14" s="26"/>
      <c r="T14" s="26" t="s">
        <v>326</v>
      </c>
      <c r="U14" s="26"/>
      <c r="V14" s="7" t="s">
        <v>2028</v>
      </c>
      <c r="W14" s="7" t="s">
        <v>2029</v>
      </c>
      <c r="X14" s="7" t="s">
        <v>2030</v>
      </c>
      <c r="Y14" s="26" t="s">
        <v>326</v>
      </c>
      <c r="Z14" s="399" t="s">
        <v>2024</v>
      </c>
    </row>
    <row r="15">
      <c r="C15" s="7" t="s">
        <v>2031</v>
      </c>
      <c r="D15" s="8"/>
      <c r="E15" s="8"/>
      <c r="F15" s="8"/>
      <c r="G15" s="8"/>
      <c r="H15" s="8"/>
      <c r="I15" s="8"/>
      <c r="J15" s="8"/>
      <c r="K15" s="8"/>
      <c r="O15" s="8"/>
      <c r="S15" s="26"/>
      <c r="T15" s="8"/>
      <c r="V15" s="8"/>
      <c r="W15" s="8"/>
      <c r="X15" s="8"/>
      <c r="Y15" s="8"/>
      <c r="Z15" s="405" t="s">
        <v>2032</v>
      </c>
    </row>
    <row r="16">
      <c r="A16" s="7" t="s">
        <v>2033</v>
      </c>
      <c r="B16" s="7" t="s">
        <v>2034</v>
      </c>
      <c r="D16" s="26"/>
      <c r="E16" s="26" t="s">
        <v>331</v>
      </c>
      <c r="F16" s="26"/>
      <c r="G16" s="26"/>
      <c r="H16" s="26"/>
      <c r="I16" s="26"/>
      <c r="J16" s="26" t="s">
        <v>331</v>
      </c>
      <c r="K16" s="26"/>
      <c r="O16" s="26" t="s">
        <v>331</v>
      </c>
      <c r="P16" s="7" t="s">
        <v>2035</v>
      </c>
      <c r="Q16" s="7" t="s">
        <v>2036</v>
      </c>
      <c r="R16" s="7" t="s">
        <v>2037</v>
      </c>
      <c r="T16" s="26" t="s">
        <v>331</v>
      </c>
      <c r="U16" s="26"/>
      <c r="V16" s="26"/>
      <c r="W16" s="26"/>
      <c r="X16" s="26"/>
      <c r="Y16" s="26" t="s">
        <v>331</v>
      </c>
      <c r="Z16" s="399" t="s">
        <v>2032</v>
      </c>
    </row>
    <row r="17">
      <c r="B17" s="7" t="s">
        <v>2038</v>
      </c>
      <c r="C17" s="7" t="s">
        <v>2039</v>
      </c>
      <c r="D17" s="8"/>
      <c r="E17" s="8"/>
      <c r="F17" s="8"/>
      <c r="G17" s="8"/>
      <c r="H17" s="8"/>
      <c r="I17" s="8"/>
      <c r="J17" s="8"/>
      <c r="K17" s="8"/>
      <c r="O17" s="8"/>
      <c r="P17" s="8"/>
      <c r="Q17" s="7" t="s">
        <v>2040</v>
      </c>
      <c r="S17" s="7" t="s">
        <v>2041</v>
      </c>
      <c r="T17" s="8"/>
      <c r="U17" s="8"/>
      <c r="V17" s="8"/>
      <c r="W17" s="8"/>
      <c r="X17" s="8"/>
      <c r="Y17" s="8"/>
      <c r="Z17" s="406" t="s">
        <v>2042</v>
      </c>
    </row>
    <row r="18">
      <c r="A18" s="26"/>
      <c r="C18" s="7" t="s">
        <v>2043</v>
      </c>
      <c r="D18" s="26"/>
      <c r="E18" s="26" t="s">
        <v>341</v>
      </c>
      <c r="F18" s="26"/>
      <c r="G18" s="26"/>
      <c r="H18" s="26"/>
      <c r="I18" s="26"/>
      <c r="J18" s="26" t="s">
        <v>341</v>
      </c>
      <c r="K18" s="26"/>
      <c r="L18" s="26"/>
      <c r="M18" s="26"/>
      <c r="N18" s="26"/>
      <c r="O18" s="26" t="s">
        <v>341</v>
      </c>
      <c r="P18" s="7" t="s">
        <v>2044</v>
      </c>
      <c r="Q18" s="26"/>
      <c r="R18" s="26"/>
      <c r="T18" s="26" t="s">
        <v>341</v>
      </c>
      <c r="U18" s="26"/>
      <c r="V18" s="26"/>
      <c r="W18" s="26"/>
      <c r="X18" s="26"/>
      <c r="Y18" s="26" t="s">
        <v>341</v>
      </c>
      <c r="Z18" s="399" t="s">
        <v>2042</v>
      </c>
    </row>
    <row r="19">
      <c r="A19" s="8"/>
      <c r="B19" s="7" t="s">
        <v>2045</v>
      </c>
      <c r="D19" s="8"/>
      <c r="E19" s="8"/>
      <c r="F19" s="8"/>
      <c r="G19" s="8"/>
      <c r="H19" s="8"/>
      <c r="I19" s="8"/>
      <c r="J19" s="8"/>
      <c r="K19" s="8"/>
      <c r="O19" s="8"/>
      <c r="P19" s="7" t="s">
        <v>2046</v>
      </c>
      <c r="S19" s="7" t="s">
        <v>2047</v>
      </c>
      <c r="T19" s="8"/>
      <c r="U19" s="8"/>
      <c r="V19" s="8"/>
      <c r="W19" s="8"/>
      <c r="X19" s="8"/>
      <c r="Y19" s="8"/>
      <c r="Z19" s="407" t="s">
        <v>2048</v>
      </c>
    </row>
    <row r="20">
      <c r="A20" s="26"/>
      <c r="B20" s="7" t="s">
        <v>2049</v>
      </c>
      <c r="C20" s="7" t="s">
        <v>2050</v>
      </c>
      <c r="D20" s="26"/>
      <c r="E20" s="26" t="s">
        <v>347</v>
      </c>
      <c r="F20" s="26"/>
      <c r="G20" s="26"/>
      <c r="H20" s="26"/>
      <c r="I20" s="26"/>
      <c r="J20" s="26" t="s">
        <v>347</v>
      </c>
      <c r="K20" s="26"/>
      <c r="L20" s="26"/>
      <c r="N20" s="26"/>
      <c r="O20" s="26" t="s">
        <v>347</v>
      </c>
      <c r="R20" s="7" t="s">
        <v>2051</v>
      </c>
      <c r="T20" s="26" t="s">
        <v>347</v>
      </c>
      <c r="U20" s="26"/>
      <c r="V20" s="26"/>
      <c r="W20" s="26"/>
      <c r="X20" s="26"/>
      <c r="Y20" s="26" t="s">
        <v>347</v>
      </c>
      <c r="Z20" s="399" t="s">
        <v>2048</v>
      </c>
    </row>
    <row r="21">
      <c r="B21" s="7" t="s">
        <v>2052</v>
      </c>
      <c r="C21" s="7" t="s">
        <v>2053</v>
      </c>
      <c r="E21" s="8"/>
      <c r="F21" s="8"/>
      <c r="G21" s="8"/>
      <c r="H21" s="8"/>
      <c r="I21" s="8"/>
      <c r="J21" s="8"/>
      <c r="K21" s="8"/>
      <c r="O21" s="8"/>
      <c r="P21" s="7" t="s">
        <v>2054</v>
      </c>
      <c r="Q21" s="7" t="s">
        <v>2055</v>
      </c>
      <c r="R21" s="7" t="s">
        <v>2056</v>
      </c>
      <c r="S21" s="401" t="s">
        <v>2057</v>
      </c>
      <c r="T21" s="8"/>
      <c r="U21" s="8"/>
      <c r="V21" s="8"/>
      <c r="W21" s="8"/>
      <c r="X21" s="8"/>
      <c r="Y21" s="8"/>
      <c r="Z21" s="408" t="s">
        <v>2058</v>
      </c>
    </row>
    <row r="22">
      <c r="A22" s="7" t="s">
        <v>2059</v>
      </c>
      <c r="E22" s="26" t="s">
        <v>358</v>
      </c>
      <c r="F22" s="26"/>
      <c r="G22" s="26"/>
      <c r="I22" s="26"/>
      <c r="J22" s="26" t="s">
        <v>358</v>
      </c>
      <c r="K22" s="26"/>
      <c r="L22" s="26"/>
      <c r="M22" s="26"/>
      <c r="N22" s="26"/>
      <c r="O22" s="26" t="s">
        <v>358</v>
      </c>
      <c r="R22" s="7" t="s">
        <v>2060</v>
      </c>
      <c r="S22" s="7" t="s">
        <v>2061</v>
      </c>
      <c r="T22" s="26" t="s">
        <v>358</v>
      </c>
      <c r="U22" s="26"/>
      <c r="V22" s="26"/>
      <c r="W22" s="26"/>
      <c r="X22" s="26"/>
      <c r="Y22" s="26" t="s">
        <v>358</v>
      </c>
      <c r="Z22" s="399" t="s">
        <v>2058</v>
      </c>
    </row>
    <row r="23">
      <c r="B23" s="7" t="s">
        <v>2062</v>
      </c>
      <c r="C23" s="401" t="s">
        <v>2063</v>
      </c>
      <c r="E23" s="27"/>
      <c r="F23" s="27"/>
      <c r="G23" s="27"/>
      <c r="H23" s="27"/>
      <c r="I23" s="27"/>
      <c r="J23" s="27"/>
      <c r="K23" s="27"/>
      <c r="O23" s="27"/>
      <c r="P23" s="7" t="s">
        <v>2064</v>
      </c>
      <c r="Q23" s="26"/>
      <c r="T23" s="27"/>
      <c r="U23" s="27"/>
      <c r="V23" s="27"/>
      <c r="W23" s="27"/>
      <c r="X23" s="27"/>
      <c r="Y23" s="27"/>
      <c r="Z23" s="409" t="s">
        <v>2065</v>
      </c>
    </row>
    <row r="24">
      <c r="A24" s="26"/>
      <c r="D24" s="26"/>
      <c r="E24" s="26" t="s">
        <v>364</v>
      </c>
      <c r="F24" s="26"/>
      <c r="G24" s="26"/>
      <c r="H24" s="26"/>
      <c r="I24" s="26"/>
      <c r="J24" s="26" t="s">
        <v>364</v>
      </c>
      <c r="K24" s="26"/>
      <c r="O24" s="26" t="s">
        <v>364</v>
      </c>
      <c r="R24" s="7" t="s">
        <v>2066</v>
      </c>
      <c r="S24" s="7" t="s">
        <v>2067</v>
      </c>
      <c r="T24" s="26" t="s">
        <v>364</v>
      </c>
      <c r="U24" s="26"/>
      <c r="V24" s="26"/>
      <c r="W24" s="26"/>
      <c r="X24" s="26"/>
      <c r="Y24" s="26" t="s">
        <v>364</v>
      </c>
      <c r="Z24" s="399" t="s">
        <v>2065</v>
      </c>
    </row>
    <row r="25">
      <c r="B25" s="7" t="s">
        <v>2068</v>
      </c>
      <c r="C25" s="7" t="s">
        <v>2069</v>
      </c>
      <c r="E25" s="27"/>
      <c r="F25" s="27"/>
      <c r="G25" s="27"/>
      <c r="H25" s="27"/>
      <c r="I25" s="27"/>
      <c r="J25" s="27"/>
      <c r="K25" s="27"/>
      <c r="O25" s="27"/>
      <c r="P25" s="7" t="s">
        <v>2070</v>
      </c>
      <c r="Q25" s="7" t="s">
        <v>2071</v>
      </c>
      <c r="T25" s="27"/>
      <c r="U25" s="27"/>
      <c r="V25" s="27"/>
      <c r="W25" s="27"/>
      <c r="X25" s="27"/>
      <c r="Y25" s="27"/>
      <c r="Z25" s="381" t="s">
        <v>2072</v>
      </c>
    </row>
    <row r="26">
      <c r="A26" s="7" t="s">
        <v>2073</v>
      </c>
      <c r="B26" s="7" t="s">
        <v>2074</v>
      </c>
      <c r="C26" s="7" t="s">
        <v>2075</v>
      </c>
      <c r="D26" s="7" t="s">
        <v>2076</v>
      </c>
      <c r="E26" s="26" t="s">
        <v>374</v>
      </c>
      <c r="F26" s="26"/>
      <c r="G26" s="26"/>
      <c r="H26" s="26"/>
      <c r="I26" s="26"/>
      <c r="J26" s="26" t="s">
        <v>374</v>
      </c>
      <c r="K26" s="26"/>
      <c r="L26" s="26"/>
      <c r="N26" s="26"/>
      <c r="O26" s="26" t="s">
        <v>374</v>
      </c>
      <c r="P26" s="7" t="s">
        <v>2077</v>
      </c>
      <c r="R26" s="401" t="s">
        <v>2078</v>
      </c>
      <c r="S26" s="7" t="s">
        <v>2079</v>
      </c>
      <c r="T26" s="26" t="s">
        <v>374</v>
      </c>
      <c r="U26" s="26"/>
      <c r="V26" s="26"/>
      <c r="W26" s="26"/>
      <c r="X26" s="26"/>
      <c r="Y26" s="26" t="s">
        <v>374</v>
      </c>
      <c r="Z26" s="399" t="s">
        <v>2072</v>
      </c>
    </row>
    <row r="27">
      <c r="B27" s="7" t="s">
        <v>2080</v>
      </c>
      <c r="Q27" s="7" t="s">
        <v>2081</v>
      </c>
      <c r="Z27" s="381" t="s">
        <v>2082</v>
      </c>
    </row>
    <row r="28">
      <c r="C28" s="7" t="s">
        <v>2083</v>
      </c>
      <c r="P28" s="7" t="s">
        <v>2084</v>
      </c>
      <c r="R28" s="401" t="s">
        <v>2085</v>
      </c>
      <c r="S28" s="7" t="s">
        <v>2086</v>
      </c>
      <c r="Z28" s="399" t="s">
        <v>2082</v>
      </c>
    </row>
    <row r="29">
      <c r="B29" s="7" t="s">
        <v>2087</v>
      </c>
      <c r="C29" s="7" t="s">
        <v>2088</v>
      </c>
      <c r="K29" s="8"/>
      <c r="Z29" s="54" t="s">
        <v>2089</v>
      </c>
    </row>
    <row r="30">
      <c r="R30" s="7" t="s">
        <v>2090</v>
      </c>
      <c r="Z30" s="381">
        <f>F3*20+(F3+K3)*60</f>
        <v>0</v>
      </c>
    </row>
    <row r="31">
      <c r="B31" s="7" t="s">
        <v>2091</v>
      </c>
      <c r="C31" s="7" t="s">
        <v>2092</v>
      </c>
      <c r="Z31" s="381">
        <f>Z30+(F3+K3+P3)*110</f>
        <v>1430</v>
      </c>
    </row>
    <row r="32">
      <c r="B32" s="26" t="s">
        <v>2093</v>
      </c>
      <c r="C32" s="7" t="s">
        <v>2094</v>
      </c>
      <c r="Z32" s="54" t="s">
        <v>2095</v>
      </c>
    </row>
    <row r="33">
      <c r="B33" s="7" t="s">
        <v>2096</v>
      </c>
      <c r="C33" s="7" t="s">
        <v>2097</v>
      </c>
      <c r="Z33" s="381">
        <f>G3*25+(G3+L3)*70</f>
        <v>0</v>
      </c>
    </row>
    <row r="34">
      <c r="Z34" s="381">
        <f>Z30+(G3+L3+Q3)*130</f>
        <v>1040</v>
      </c>
    </row>
    <row r="35">
      <c r="B35" s="7" t="s">
        <v>2098</v>
      </c>
      <c r="C35" s="7" t="s">
        <v>2099</v>
      </c>
      <c r="Z35" s="54" t="s">
        <v>2100</v>
      </c>
    </row>
    <row r="36">
      <c r="C36" s="401" t="s">
        <v>2101</v>
      </c>
      <c r="Z36" s="381">
        <f>H3*30+(H3+M3)*80</f>
        <v>0</v>
      </c>
    </row>
    <row r="37">
      <c r="B37" s="7" t="s">
        <v>2102</v>
      </c>
      <c r="Z37" s="381">
        <f>Z30+(H3+M3+R3)*150</f>
        <v>2100</v>
      </c>
    </row>
    <row r="38">
      <c r="Z38" s="54" t="s">
        <v>2103</v>
      </c>
    </row>
    <row r="39">
      <c r="Z39" s="381">
        <f>I3*35+(I3+N3)*90</f>
        <v>125</v>
      </c>
    </row>
    <row r="40">
      <c r="Z40" s="381">
        <f>Z30+(I3+N3+S3)*170</f>
        <v>2210</v>
      </c>
    </row>
    <row r="47">
      <c r="A47" s="8"/>
    </row>
  </sheetData>
  <mergeCells count="5">
    <mergeCell ref="A1:E1"/>
    <mergeCell ref="F1:J1"/>
    <mergeCell ref="K1:O1"/>
    <mergeCell ref="P1:T1"/>
    <mergeCell ref="U1:Y1"/>
  </mergeCells>
  <conditionalFormatting sqref="A4:Y300">
    <cfRule type="containsText" dxfId="18" priority="1" operator="containsText" text=" YS">
      <formula>NOT(ISERROR(SEARCH((" YS"),(A4))))</formula>
    </cfRule>
  </conditionalFormatting>
  <conditionalFormatting sqref="A4:Y300">
    <cfRule type="containsText" dxfId="19" priority="2" operator="containsText" text=" FT">
      <formula>NOT(ISERROR(SEARCH((" FT"),(A4))))</formula>
    </cfRule>
  </conditionalFormatting>
  <conditionalFormatting sqref="A4:Y300">
    <cfRule type="containsText" dxfId="6" priority="3" operator="containsText" text=" DQ">
      <formula>NOT(ISERROR(SEARCH((" DQ"),(A4))))</formula>
    </cfRule>
  </conditionalFormatting>
  <conditionalFormatting sqref="A4:Y300">
    <cfRule type="containsText" dxfId="20" priority="4" operator="containsText" text=" RS">
      <formula>NOT(ISERROR(SEARCH((" RS"),(A4))))</formula>
    </cfRule>
  </conditionalFormatting>
  <conditionalFormatting sqref="A4:Y300">
    <cfRule type="containsText" dxfId="21" priority="5" operator="containsText" text=" MS">
      <formula>NOT(ISERROR(SEARCH((" MS"),(A4))))</formula>
    </cfRule>
  </conditionalFormatting>
  <conditionalFormatting sqref="A4:Y300">
    <cfRule type="containsText" dxfId="22" priority="6" operator="containsText" text=" HL">
      <formula>NOT(ISERROR(SEARCH((" HL"),(A4))))</formula>
    </cfRule>
  </conditionalFormatting>
  <conditionalFormatting sqref="A4:Y300">
    <cfRule type="containsText" dxfId="23" priority="7" operator="containsText" text=" HC">
      <formula>NOT(ISERROR(SEARCH((" HC"),(A4))))</formula>
    </cfRule>
  </conditionalFormatting>
  <conditionalFormatting sqref="A4:Y300">
    <cfRule type="containsText" dxfId="25" priority="8" operator="containsText" text=" RD">
      <formula>NOT(ISERROR(SEARCH((" RD"),(A4))))</formula>
    </cfRule>
  </conditionalFormatting>
  <conditionalFormatting sqref="A4:Y300">
    <cfRule type="containsText" dxfId="27" priority="9" operator="containsText" text=" OT">
      <formula>NOT(ISERROR(SEARCH((" OT"),(A4))))</formula>
    </cfRule>
  </conditionalFormatting>
  <conditionalFormatting sqref="A4:Y300">
    <cfRule type="containsText" dxfId="24" priority="10" operator="containsText" text=" IS">
      <formula>NOT(ISERROR(SEARCH((" IS"),(A4))))</formula>
    </cfRule>
  </conditionalFormatting>
  <conditionalFormatting sqref="A4:Y300">
    <cfRule type="containsText" dxfId="26" priority="11" operator="containsText" text=" SC">
      <formula>NOT(ISERROR(SEARCH((" SC"),(A4))))</formula>
    </cfRule>
  </conditionalFormatting>
  <conditionalFormatting sqref="A4:Y300">
    <cfRule type="containsText" dxfId="28" priority="12" operator="containsText" text=" GG">
      <formula>NOT(ISERROR(SEARCH((" GG"),(A4))))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75"/>
    <col customWidth="1" min="3" max="3" width="6.5"/>
    <col customWidth="1" min="4" max="4" width="4.25"/>
    <col customWidth="1" min="5" max="5" width="5.63"/>
    <col customWidth="1" min="6" max="6" width="5.13"/>
    <col customWidth="1" min="7" max="7" width="4.13"/>
    <col customWidth="1" min="8" max="8" width="24.75"/>
    <col customWidth="1" min="9" max="28" width="9.5"/>
  </cols>
  <sheetData>
    <row r="1">
      <c r="A1" s="410" t="s">
        <v>1401</v>
      </c>
      <c r="B1" s="410" t="s">
        <v>2104</v>
      </c>
      <c r="C1" s="410" t="s">
        <v>2105</v>
      </c>
      <c r="D1" s="411" t="s">
        <v>277</v>
      </c>
      <c r="E1" s="411" t="s">
        <v>278</v>
      </c>
      <c r="F1" s="411" t="s">
        <v>279</v>
      </c>
      <c r="G1" s="411" t="s">
        <v>280</v>
      </c>
      <c r="H1" s="323" t="s">
        <v>2106</v>
      </c>
      <c r="I1" s="381" t="str">
        <f>IFERROR(__xludf.DUMMYFUNCTION("BYCOL(A2:A401, LAMBDA(col, SPARKLINE(col)))"),"")</f>
        <v/>
      </c>
      <c r="N1" s="54"/>
    </row>
    <row r="2">
      <c r="A2" s="412">
        <v>1.0</v>
      </c>
      <c r="B2" s="412">
        <v>0.0</v>
      </c>
      <c r="C2" s="412">
        <v>0.0</v>
      </c>
      <c r="D2" s="27">
        <v>1.0</v>
      </c>
      <c r="E2" s="26">
        <v>15.0</v>
      </c>
      <c r="F2" s="26">
        <v>60.0</v>
      </c>
      <c r="G2" s="26">
        <v>0.0</v>
      </c>
    </row>
    <row r="3">
      <c r="A3" s="412">
        <v>2.0</v>
      </c>
      <c r="B3" s="412">
        <v>10.0</v>
      </c>
      <c r="C3" s="412">
        <v>10.0</v>
      </c>
      <c r="D3" s="27">
        <v>2.0</v>
      </c>
      <c r="E3" s="26">
        <v>30.0</v>
      </c>
      <c r="F3" s="26">
        <v>63.0</v>
      </c>
      <c r="G3" s="26">
        <v>3.0</v>
      </c>
    </row>
    <row r="4">
      <c r="A4" s="412">
        <v>3.0</v>
      </c>
      <c r="B4" s="412">
        <v>12.0</v>
      </c>
      <c r="C4" s="412">
        <v>22.0</v>
      </c>
      <c r="D4" s="27">
        <v>3.0</v>
      </c>
      <c r="E4" s="26">
        <v>35.0</v>
      </c>
      <c r="F4" s="27">
        <v>66.0</v>
      </c>
      <c r="G4" s="27">
        <v>3.0</v>
      </c>
    </row>
    <row r="5">
      <c r="A5" s="412">
        <v>4.0</v>
      </c>
      <c r="B5" s="412">
        <v>15.0</v>
      </c>
      <c r="C5" s="412">
        <v>37.0</v>
      </c>
      <c r="D5" s="27">
        <v>4.0</v>
      </c>
      <c r="E5" s="26">
        <v>40.0</v>
      </c>
      <c r="F5" s="27">
        <v>69.0</v>
      </c>
      <c r="G5" s="27">
        <v>3.0</v>
      </c>
      <c r="H5" s="323" t="s">
        <v>2107</v>
      </c>
      <c r="I5" s="381" t="str">
        <f>IFERROR(__xludf.DUMMYFUNCTION("BYCOL(B2:B401, LAMBDA(col, SPARKLINE(col)))"),"")</f>
        <v/>
      </c>
      <c r="N5" s="54"/>
    </row>
    <row r="6">
      <c r="A6" s="412">
        <v>5.0</v>
      </c>
      <c r="B6" s="412">
        <v>20.0</v>
      </c>
      <c r="C6" s="412">
        <v>57.0</v>
      </c>
      <c r="D6" s="27">
        <v>5.0</v>
      </c>
      <c r="E6" s="26">
        <v>47.0</v>
      </c>
      <c r="F6" s="27">
        <v>72.0</v>
      </c>
      <c r="G6" s="27">
        <v>3.0</v>
      </c>
    </row>
    <row r="7">
      <c r="A7" s="412">
        <v>6.0</v>
      </c>
      <c r="B7" s="412">
        <v>27.0</v>
      </c>
      <c r="C7" s="412">
        <v>84.0</v>
      </c>
      <c r="D7" s="27">
        <v>6.0</v>
      </c>
      <c r="E7" s="26">
        <v>58.0</v>
      </c>
      <c r="F7" s="27">
        <v>75.0</v>
      </c>
      <c r="G7" s="27">
        <v>3.0</v>
      </c>
    </row>
    <row r="8">
      <c r="A8" s="412">
        <v>7.0</v>
      </c>
      <c r="B8" s="412">
        <v>40.0</v>
      </c>
      <c r="C8" s="412">
        <v>124.0</v>
      </c>
      <c r="D8" s="27">
        <v>7.0</v>
      </c>
      <c r="E8" s="26">
        <v>69.0</v>
      </c>
      <c r="F8" s="27">
        <v>78.0</v>
      </c>
      <c r="G8" s="27">
        <v>3.0</v>
      </c>
    </row>
    <row r="9">
      <c r="A9" s="412">
        <v>8.0</v>
      </c>
      <c r="B9" s="412">
        <v>59.0</v>
      </c>
      <c r="C9" s="412">
        <v>183.0</v>
      </c>
      <c r="D9" s="27">
        <v>8.0</v>
      </c>
      <c r="E9" s="26">
        <v>80.0</v>
      </c>
      <c r="F9" s="27">
        <v>80.0</v>
      </c>
      <c r="G9" s="26">
        <v>2.0</v>
      </c>
      <c r="H9" s="323" t="s">
        <v>2108</v>
      </c>
      <c r="I9" s="381" t="str">
        <f>IFERROR(__xludf.DUMMYFUNCTION("BYCOL(C2:C401, LAMBDA(col, SPARKLINE(col)))"),"")</f>
        <v/>
      </c>
      <c r="N9" s="54"/>
    </row>
    <row r="10">
      <c r="A10" s="412">
        <v>9.0</v>
      </c>
      <c r="B10" s="412">
        <v>88.0</v>
      </c>
      <c r="C10" s="412">
        <v>271.0</v>
      </c>
      <c r="D10" s="27">
        <v>9.0</v>
      </c>
      <c r="E10" s="26">
        <v>93.0</v>
      </c>
      <c r="F10" s="27">
        <v>82.0</v>
      </c>
      <c r="G10" s="27">
        <v>2.0</v>
      </c>
    </row>
    <row r="11">
      <c r="A11" s="412">
        <v>10.0</v>
      </c>
      <c r="B11" s="412">
        <v>125.0</v>
      </c>
      <c r="C11" s="412">
        <v>396.0</v>
      </c>
      <c r="D11" s="27">
        <v>10.0</v>
      </c>
      <c r="E11" s="26">
        <v>106.0</v>
      </c>
      <c r="F11" s="27">
        <v>84.0</v>
      </c>
      <c r="G11" s="27">
        <v>2.0</v>
      </c>
    </row>
    <row r="12">
      <c r="A12" s="412">
        <v>11.0</v>
      </c>
      <c r="B12" s="412">
        <v>168.0</v>
      </c>
      <c r="C12" s="412">
        <v>564.0</v>
      </c>
      <c r="D12" s="27">
        <v>11.0</v>
      </c>
      <c r="E12" s="26">
        <v>119.0</v>
      </c>
      <c r="F12" s="27">
        <v>86.0</v>
      </c>
      <c r="G12" s="27">
        <v>2.0</v>
      </c>
    </row>
    <row r="13">
      <c r="A13" s="412">
        <v>12.0</v>
      </c>
      <c r="B13" s="412">
        <v>227.0</v>
      </c>
      <c r="C13" s="412">
        <v>791.0</v>
      </c>
      <c r="D13" s="27">
        <v>12.0</v>
      </c>
      <c r="E13" s="26">
        <v>136.0</v>
      </c>
      <c r="F13" s="27">
        <v>88.0</v>
      </c>
      <c r="G13" s="27">
        <v>2.0</v>
      </c>
      <c r="H13" s="323" t="s">
        <v>34</v>
      </c>
      <c r="I13" s="381" t="str">
        <f>IFERROR(__xludf.DUMMYFUNCTION("BYCOL(D$2:D$401, LAMBDA(col, SPARKLINE(col)))"),"")</f>
        <v/>
      </c>
    </row>
    <row r="14">
      <c r="A14" s="412">
        <v>13.0</v>
      </c>
      <c r="B14" s="412">
        <v>298.0</v>
      </c>
      <c r="C14" s="412">
        <v>1089.0</v>
      </c>
      <c r="D14" s="27">
        <v>13.0</v>
      </c>
      <c r="E14" s="26">
        <v>153.0</v>
      </c>
      <c r="F14" s="27">
        <v>90.0</v>
      </c>
      <c r="G14" s="27">
        <v>2.0</v>
      </c>
    </row>
    <row r="15">
      <c r="A15" s="412">
        <v>14.0</v>
      </c>
      <c r="B15" s="412">
        <v>381.0</v>
      </c>
      <c r="C15" s="412">
        <v>1470.0</v>
      </c>
      <c r="D15" s="27">
        <v>14.0</v>
      </c>
      <c r="E15" s="26">
        <v>170.0</v>
      </c>
      <c r="F15" s="27">
        <v>92.0</v>
      </c>
      <c r="G15" s="27">
        <v>2.0</v>
      </c>
    </row>
    <row r="16">
      <c r="A16" s="412">
        <v>15.0</v>
      </c>
      <c r="B16" s="412">
        <v>482.0</v>
      </c>
      <c r="C16" s="412">
        <v>1952.0</v>
      </c>
      <c r="D16" s="27">
        <v>15.0</v>
      </c>
      <c r="E16" s="26">
        <v>189.0</v>
      </c>
      <c r="F16" s="27">
        <v>94.0</v>
      </c>
      <c r="G16" s="27">
        <v>2.0</v>
      </c>
    </row>
    <row r="17">
      <c r="A17" s="412">
        <v>16.0</v>
      </c>
      <c r="B17" s="412">
        <v>591.0</v>
      </c>
      <c r="C17" s="412">
        <v>2543.0</v>
      </c>
      <c r="D17" s="27">
        <v>16.0</v>
      </c>
      <c r="E17" s="26">
        <v>208.0</v>
      </c>
      <c r="F17" s="27">
        <v>96.0</v>
      </c>
      <c r="G17" s="27">
        <v>2.0</v>
      </c>
      <c r="H17" s="323" t="s">
        <v>2109</v>
      </c>
      <c r="I17" s="381" t="str">
        <f>IFERROR(__xludf.DUMMYFUNCTION("BYCOL(E$2:E$401, LAMBDA(col, SPARKLINE(col)))"),"")</f>
        <v/>
      </c>
    </row>
    <row r="18">
      <c r="A18" s="412">
        <v>17.0</v>
      </c>
      <c r="B18" s="412">
        <v>728.0</v>
      </c>
      <c r="C18" s="412">
        <v>3271.0</v>
      </c>
      <c r="D18" s="27">
        <v>17.0</v>
      </c>
      <c r="E18" s="26">
        <v>227.0</v>
      </c>
      <c r="F18" s="27">
        <v>98.0</v>
      </c>
      <c r="G18" s="27">
        <v>2.0</v>
      </c>
    </row>
    <row r="19">
      <c r="A19" s="412">
        <v>18.0</v>
      </c>
      <c r="B19" s="412">
        <v>885.0</v>
      </c>
      <c r="C19" s="412">
        <v>4156.0</v>
      </c>
      <c r="D19" s="27">
        <v>18.0</v>
      </c>
      <c r="E19" s="26">
        <v>250.0</v>
      </c>
      <c r="F19" s="27">
        <v>100.0</v>
      </c>
      <c r="G19" s="27">
        <v>2.0</v>
      </c>
    </row>
    <row r="20">
      <c r="A20" s="412">
        <v>19.0</v>
      </c>
      <c r="B20" s="412">
        <v>1064.0</v>
      </c>
      <c r="C20" s="412">
        <v>5220.0</v>
      </c>
      <c r="D20" s="27">
        <v>19.0</v>
      </c>
      <c r="E20" s="26">
        <v>273.0</v>
      </c>
      <c r="F20" s="27">
        <v>102.0</v>
      </c>
      <c r="G20" s="27">
        <v>2.0</v>
      </c>
    </row>
    <row r="21">
      <c r="A21" s="412">
        <v>20.0</v>
      </c>
      <c r="B21" s="412">
        <v>1261.0</v>
      </c>
      <c r="C21" s="412">
        <v>6481.0</v>
      </c>
      <c r="D21" s="27">
        <v>20.0</v>
      </c>
      <c r="E21" s="26">
        <v>296.0</v>
      </c>
      <c r="F21" s="27">
        <v>104.0</v>
      </c>
      <c r="G21" s="27">
        <v>2.0</v>
      </c>
      <c r="H21" s="323" t="s">
        <v>2110</v>
      </c>
      <c r="I21" s="381" t="str">
        <f>IFERROR(__xludf.DUMMYFUNCTION("BYCOL(F$2:F$401, LAMBDA(col, SPARKLINE(col)))"),"")</f>
        <v/>
      </c>
    </row>
    <row r="22">
      <c r="A22" s="412">
        <v>21.0</v>
      </c>
      <c r="B22" s="412">
        <v>1488.0</v>
      </c>
      <c r="C22" s="412">
        <v>7969.0</v>
      </c>
      <c r="D22" s="27">
        <v>21.0</v>
      </c>
      <c r="E22" s="26">
        <v>326.0</v>
      </c>
      <c r="F22" s="27">
        <v>105.0</v>
      </c>
      <c r="G22" s="26">
        <v>1.0</v>
      </c>
    </row>
    <row r="23">
      <c r="A23" s="412">
        <v>22.0</v>
      </c>
      <c r="B23" s="412">
        <v>1739.0</v>
      </c>
      <c r="C23" s="412">
        <v>9708.0</v>
      </c>
      <c r="D23" s="27">
        <v>22.0</v>
      </c>
      <c r="E23" s="26">
        <v>356.0</v>
      </c>
      <c r="F23" s="27">
        <v>106.0</v>
      </c>
      <c r="G23" s="27">
        <v>1.0</v>
      </c>
    </row>
    <row r="24">
      <c r="A24" s="412">
        <v>23.0</v>
      </c>
      <c r="B24" s="412">
        <v>2016.0</v>
      </c>
      <c r="C24" s="412">
        <v>11724.0</v>
      </c>
      <c r="D24" s="27">
        <v>23.0</v>
      </c>
      <c r="E24" s="26">
        <v>386.0</v>
      </c>
      <c r="F24" s="27">
        <v>107.0</v>
      </c>
      <c r="G24" s="27">
        <v>1.0</v>
      </c>
    </row>
    <row r="25">
      <c r="A25" s="412">
        <v>24.0</v>
      </c>
      <c r="B25" s="412">
        <v>2327.0</v>
      </c>
      <c r="C25" s="412">
        <v>14051.0</v>
      </c>
      <c r="D25" s="27">
        <v>24.0</v>
      </c>
      <c r="E25" s="26">
        <v>418.0</v>
      </c>
      <c r="F25" s="27">
        <v>108.0</v>
      </c>
      <c r="G25" s="27">
        <v>1.0</v>
      </c>
      <c r="H25" s="323" t="s">
        <v>2111</v>
      </c>
      <c r="I25" s="381" t="str">
        <f>IFERROR(__xludf.DUMMYFUNCTION("BYCOL(G$2:G$401, LAMBDA(col, SPARKLINE(col, {""charttype"", ""column""})))"),"")</f>
        <v/>
      </c>
    </row>
    <row r="26">
      <c r="A26" s="412">
        <v>25.0</v>
      </c>
      <c r="B26" s="412">
        <v>2674.0</v>
      </c>
      <c r="C26" s="412">
        <v>16725.0</v>
      </c>
      <c r="D26" s="27">
        <v>25.0</v>
      </c>
      <c r="E26" s="26">
        <v>450.0</v>
      </c>
      <c r="F26" s="27">
        <v>109.0</v>
      </c>
      <c r="G26" s="27">
        <v>1.0</v>
      </c>
    </row>
    <row r="27">
      <c r="A27" s="412">
        <v>26.0</v>
      </c>
      <c r="B27" s="412">
        <v>3047.0</v>
      </c>
      <c r="C27" s="412">
        <v>19772.0</v>
      </c>
      <c r="D27" s="27">
        <v>26.0</v>
      </c>
      <c r="E27" s="26">
        <v>482.0</v>
      </c>
      <c r="F27" s="27">
        <v>110.0</v>
      </c>
      <c r="G27" s="27">
        <v>1.0</v>
      </c>
    </row>
    <row r="28">
      <c r="A28" s="412">
        <v>27.0</v>
      </c>
      <c r="B28" s="412">
        <v>3456.0</v>
      </c>
      <c r="C28" s="412">
        <v>23228.0</v>
      </c>
      <c r="D28" s="27">
        <v>27.0</v>
      </c>
      <c r="E28" s="26">
        <v>516.0</v>
      </c>
      <c r="F28" s="27">
        <v>111.0</v>
      </c>
      <c r="G28" s="27">
        <v>1.0</v>
      </c>
    </row>
    <row r="29">
      <c r="A29" s="412">
        <v>28.0</v>
      </c>
      <c r="B29" s="412">
        <v>3899.0</v>
      </c>
      <c r="C29" s="412">
        <v>27127.0</v>
      </c>
      <c r="D29" s="27">
        <v>28.0</v>
      </c>
      <c r="E29" s="26">
        <v>550.0</v>
      </c>
      <c r="F29" s="27">
        <v>112.0</v>
      </c>
      <c r="G29" s="27">
        <v>1.0</v>
      </c>
    </row>
    <row r="30">
      <c r="A30" s="412">
        <v>29.0</v>
      </c>
      <c r="B30" s="412">
        <v>4378.0</v>
      </c>
      <c r="C30" s="412">
        <v>31505.0</v>
      </c>
      <c r="D30" s="27">
        <v>29.0</v>
      </c>
      <c r="E30" s="26">
        <v>584.0</v>
      </c>
      <c r="F30" s="27">
        <v>113.0</v>
      </c>
      <c r="G30" s="27">
        <v>1.0</v>
      </c>
    </row>
    <row r="31">
      <c r="A31" s="412">
        <v>30.0</v>
      </c>
      <c r="B31" s="412">
        <v>4899.0</v>
      </c>
      <c r="C31" s="412">
        <v>36404.0</v>
      </c>
      <c r="D31" s="27">
        <v>30.0</v>
      </c>
      <c r="E31" s="26">
        <v>620.0</v>
      </c>
      <c r="F31" s="27">
        <v>114.0</v>
      </c>
      <c r="G31" s="27">
        <v>1.0</v>
      </c>
    </row>
    <row r="32">
      <c r="A32" s="412">
        <v>31.0</v>
      </c>
      <c r="B32" s="412">
        <v>3899.0</v>
      </c>
      <c r="C32" s="412">
        <v>40303.0</v>
      </c>
      <c r="D32" s="27">
        <v>31.0</v>
      </c>
      <c r="E32" s="26">
        <v>656.0</v>
      </c>
      <c r="F32" s="27">
        <v>115.0</v>
      </c>
      <c r="G32" s="27">
        <v>1.0</v>
      </c>
    </row>
    <row r="33">
      <c r="A33" s="412">
        <v>32.0</v>
      </c>
      <c r="B33" s="412">
        <v>4378.0</v>
      </c>
      <c r="C33" s="412">
        <v>44681.0</v>
      </c>
      <c r="D33" s="27">
        <v>32.0</v>
      </c>
      <c r="E33" s="26">
        <v>692.0</v>
      </c>
      <c r="F33" s="27">
        <v>116.0</v>
      </c>
      <c r="G33" s="27">
        <v>1.0</v>
      </c>
    </row>
    <row r="34">
      <c r="A34" s="412">
        <v>33.0</v>
      </c>
      <c r="B34" s="412">
        <v>4899.0</v>
      </c>
      <c r="C34" s="412">
        <v>49580.0</v>
      </c>
      <c r="D34" s="27">
        <v>33.0</v>
      </c>
      <c r="E34" s="26">
        <v>736.0</v>
      </c>
      <c r="F34" s="27">
        <v>117.0</v>
      </c>
      <c r="G34" s="27">
        <v>1.0</v>
      </c>
    </row>
    <row r="35">
      <c r="A35" s="412">
        <v>34.0</v>
      </c>
      <c r="B35" s="412">
        <v>5468.0</v>
      </c>
      <c r="C35" s="412">
        <v>55048.0</v>
      </c>
      <c r="D35" s="27">
        <v>34.0</v>
      </c>
      <c r="E35" s="26">
        <v>780.0</v>
      </c>
      <c r="F35" s="27">
        <v>118.0</v>
      </c>
      <c r="G35" s="27">
        <v>1.0</v>
      </c>
    </row>
    <row r="36">
      <c r="A36" s="412">
        <v>35.0</v>
      </c>
      <c r="B36" s="412">
        <v>6075.0</v>
      </c>
      <c r="C36" s="412">
        <v>61123.0</v>
      </c>
      <c r="D36" s="27">
        <v>35.0</v>
      </c>
      <c r="E36" s="26">
        <v>824.0</v>
      </c>
      <c r="F36" s="27">
        <v>119.0</v>
      </c>
      <c r="G36" s="27">
        <v>1.0</v>
      </c>
    </row>
    <row r="37">
      <c r="A37" s="412">
        <v>36.0</v>
      </c>
      <c r="B37" s="412">
        <v>4899.0</v>
      </c>
      <c r="C37" s="412">
        <v>66022.0</v>
      </c>
      <c r="D37" s="27">
        <v>36.0</v>
      </c>
      <c r="E37" s="26">
        <v>871.0</v>
      </c>
      <c r="F37" s="27">
        <v>120.0</v>
      </c>
      <c r="G37" s="27">
        <v>1.0</v>
      </c>
    </row>
    <row r="38">
      <c r="A38" s="412">
        <v>37.0</v>
      </c>
      <c r="B38" s="412">
        <v>5468.0</v>
      </c>
      <c r="C38" s="412">
        <v>71490.0</v>
      </c>
      <c r="D38" s="27">
        <v>37.0</v>
      </c>
      <c r="E38" s="26">
        <v>918.0</v>
      </c>
      <c r="F38" s="27">
        <v>121.0</v>
      </c>
      <c r="G38" s="27">
        <v>1.0</v>
      </c>
    </row>
    <row r="39">
      <c r="A39" s="412">
        <v>38.0</v>
      </c>
      <c r="B39" s="412">
        <v>6075.0</v>
      </c>
      <c r="C39" s="412">
        <v>77565.0</v>
      </c>
      <c r="D39" s="27">
        <v>38.0</v>
      </c>
      <c r="E39" s="26">
        <v>965.0</v>
      </c>
      <c r="F39" s="27">
        <v>122.0</v>
      </c>
      <c r="G39" s="27">
        <v>1.0</v>
      </c>
    </row>
    <row r="40">
      <c r="A40" s="412">
        <v>39.0</v>
      </c>
      <c r="B40" s="412">
        <v>6722.0</v>
      </c>
      <c r="C40" s="412">
        <v>84287.0</v>
      </c>
      <c r="D40" s="27">
        <v>39.0</v>
      </c>
      <c r="E40" s="26">
        <v>1014.0</v>
      </c>
      <c r="F40" s="27">
        <v>123.0</v>
      </c>
      <c r="G40" s="27">
        <v>1.0</v>
      </c>
    </row>
    <row r="41">
      <c r="A41" s="412">
        <v>40.0</v>
      </c>
      <c r="B41" s="412">
        <v>7413.0</v>
      </c>
      <c r="C41" s="412">
        <v>91700.0</v>
      </c>
      <c r="D41" s="27">
        <v>40.0</v>
      </c>
      <c r="E41" s="26">
        <v>1063.0</v>
      </c>
      <c r="F41" s="27">
        <v>124.0</v>
      </c>
      <c r="G41" s="27">
        <v>1.0</v>
      </c>
    </row>
    <row r="42">
      <c r="A42" s="412">
        <v>41.0</v>
      </c>
      <c r="B42" s="412">
        <v>6075.0</v>
      </c>
      <c r="C42" s="412">
        <v>97775.0</v>
      </c>
      <c r="D42" s="27">
        <v>41.0</v>
      </c>
      <c r="E42" s="26">
        <v>1112.0</v>
      </c>
      <c r="F42" s="27">
        <v>125.0</v>
      </c>
      <c r="G42" s="27">
        <v>1.0</v>
      </c>
    </row>
    <row r="43">
      <c r="A43" s="412">
        <v>42.0</v>
      </c>
      <c r="B43" s="412">
        <v>6722.0</v>
      </c>
      <c r="C43" s="412">
        <v>104497.0</v>
      </c>
      <c r="D43" s="27">
        <v>42.0</v>
      </c>
      <c r="E43" s="26">
        <v>1163.0</v>
      </c>
      <c r="F43" s="27">
        <v>126.0</v>
      </c>
      <c r="G43" s="26">
        <v>1.0</v>
      </c>
    </row>
    <row r="44">
      <c r="A44" s="412">
        <v>43.0</v>
      </c>
      <c r="B44" s="412">
        <v>7413.0</v>
      </c>
      <c r="C44" s="412">
        <v>111910.0</v>
      </c>
      <c r="D44" s="27">
        <v>43.0</v>
      </c>
      <c r="E44" s="26">
        <v>1214.0</v>
      </c>
      <c r="F44" s="27">
        <v>126.0</v>
      </c>
      <c r="G44" s="27">
        <v>0.0</v>
      </c>
    </row>
    <row r="45">
      <c r="A45" s="412">
        <v>44.0</v>
      </c>
      <c r="B45" s="412">
        <v>8156.0</v>
      </c>
      <c r="C45" s="412">
        <v>120066.0</v>
      </c>
      <c r="D45" s="27">
        <v>44.0</v>
      </c>
      <c r="E45" s="26">
        <v>1265.0</v>
      </c>
      <c r="F45" s="27">
        <v>127.0</v>
      </c>
      <c r="G45" s="27">
        <v>1.0</v>
      </c>
    </row>
    <row r="46">
      <c r="A46" s="412">
        <v>45.0</v>
      </c>
      <c r="B46" s="412">
        <v>8953.0</v>
      </c>
      <c r="C46" s="412">
        <v>129019.0</v>
      </c>
      <c r="D46" s="27">
        <v>45.0</v>
      </c>
      <c r="E46" s="26">
        <v>1322.0</v>
      </c>
      <c r="F46" s="27">
        <v>127.0</v>
      </c>
      <c r="G46" s="27">
        <v>0.0</v>
      </c>
    </row>
    <row r="47">
      <c r="A47" s="412">
        <v>46.0</v>
      </c>
      <c r="B47" s="412">
        <v>7413.0</v>
      </c>
      <c r="C47" s="412">
        <v>136432.0</v>
      </c>
      <c r="D47" s="27">
        <v>46.0</v>
      </c>
      <c r="E47" s="26">
        <v>1379.0</v>
      </c>
      <c r="F47" s="27">
        <v>128.0</v>
      </c>
      <c r="G47" s="27">
        <v>1.0</v>
      </c>
    </row>
    <row r="48">
      <c r="A48" s="412">
        <v>47.0</v>
      </c>
      <c r="B48" s="412">
        <v>7413.0</v>
      </c>
      <c r="C48" s="412">
        <v>143845.0</v>
      </c>
      <c r="D48" s="27">
        <v>47.0</v>
      </c>
      <c r="E48" s="26">
        <v>1436.0</v>
      </c>
      <c r="F48" s="27">
        <v>128.0</v>
      </c>
      <c r="G48" s="27">
        <v>0.0</v>
      </c>
    </row>
    <row r="49">
      <c r="A49" s="412">
        <v>48.0</v>
      </c>
      <c r="B49" s="412">
        <v>7413.0</v>
      </c>
      <c r="C49" s="412">
        <v>151258.0</v>
      </c>
      <c r="D49" s="27">
        <v>48.0</v>
      </c>
      <c r="E49" s="26">
        <v>1495.0</v>
      </c>
      <c r="F49" s="27">
        <v>129.0</v>
      </c>
      <c r="G49" s="27">
        <v>1.0</v>
      </c>
    </row>
    <row r="50">
      <c r="A50" s="412">
        <v>49.0</v>
      </c>
      <c r="B50" s="412">
        <v>7413.0</v>
      </c>
      <c r="C50" s="412">
        <v>158671.0</v>
      </c>
      <c r="D50" s="27">
        <v>49.0</v>
      </c>
      <c r="E50" s="26">
        <v>1554.0</v>
      </c>
      <c r="F50" s="27">
        <v>129.0</v>
      </c>
      <c r="G50" s="27">
        <v>0.0</v>
      </c>
    </row>
    <row r="51">
      <c r="A51" s="412">
        <v>50.0</v>
      </c>
      <c r="B51" s="412">
        <v>7413.0</v>
      </c>
      <c r="C51" s="412">
        <v>166084.0</v>
      </c>
      <c r="D51" s="27">
        <v>50.0</v>
      </c>
      <c r="E51" s="26">
        <v>1613.0</v>
      </c>
      <c r="F51" s="27">
        <v>130.0</v>
      </c>
      <c r="G51" s="27">
        <v>1.0</v>
      </c>
    </row>
    <row r="52">
      <c r="A52" s="412">
        <v>51.0</v>
      </c>
      <c r="B52" s="412">
        <v>8156.0</v>
      </c>
      <c r="C52" s="412">
        <v>174240.0</v>
      </c>
      <c r="D52" s="27">
        <v>51.0</v>
      </c>
      <c r="E52" s="26">
        <v>1674.0</v>
      </c>
      <c r="F52" s="27">
        <v>130.0</v>
      </c>
      <c r="G52" s="27">
        <v>0.0</v>
      </c>
      <c r="H52" s="381">
        <f>B61-B56</f>
        <v>797</v>
      </c>
    </row>
    <row r="53">
      <c r="A53" s="412">
        <v>52.0</v>
      </c>
      <c r="B53" s="412">
        <v>8156.0</v>
      </c>
      <c r="C53" s="412">
        <v>182396.0</v>
      </c>
      <c r="D53" s="27">
        <v>52.0</v>
      </c>
      <c r="E53" s="26">
        <v>1735.0</v>
      </c>
      <c r="F53" s="27">
        <v>131.0</v>
      </c>
      <c r="G53" s="27">
        <v>1.0</v>
      </c>
      <c r="H53" s="381">
        <f>B52-B47</f>
        <v>743</v>
      </c>
    </row>
    <row r="54">
      <c r="A54" s="412">
        <v>53.0</v>
      </c>
      <c r="B54" s="412">
        <v>8156.0</v>
      </c>
      <c r="C54" s="412">
        <v>190552.0</v>
      </c>
      <c r="D54" s="27">
        <v>53.0</v>
      </c>
      <c r="E54" s="26">
        <v>1796.0</v>
      </c>
      <c r="F54" s="27">
        <v>131.0</v>
      </c>
      <c r="G54" s="27">
        <v>0.0</v>
      </c>
      <c r="H54" s="381">
        <f>8953+743</f>
        <v>9696</v>
      </c>
    </row>
    <row r="55">
      <c r="A55" s="412">
        <v>54.0</v>
      </c>
      <c r="B55" s="412">
        <v>8156.0</v>
      </c>
      <c r="C55" s="412">
        <v>198708.0</v>
      </c>
      <c r="D55" s="27">
        <v>54.0</v>
      </c>
      <c r="E55" s="26">
        <v>1860.0</v>
      </c>
      <c r="F55" s="27">
        <v>132.0</v>
      </c>
      <c r="G55" s="27">
        <v>1.0</v>
      </c>
      <c r="H55" s="381">
        <f>9696+797</f>
        <v>10493</v>
      </c>
    </row>
    <row r="56">
      <c r="A56" s="412">
        <v>55.0</v>
      </c>
      <c r="B56" s="412">
        <v>8156.0</v>
      </c>
      <c r="C56" s="412">
        <v>206864.0</v>
      </c>
      <c r="D56" s="27">
        <v>55.0</v>
      </c>
      <c r="E56" s="26">
        <v>1924.0</v>
      </c>
      <c r="F56" s="27">
        <v>132.0</v>
      </c>
      <c r="G56" s="27">
        <v>0.0</v>
      </c>
      <c r="H56" s="381">
        <f>10493+743</f>
        <v>11236</v>
      </c>
    </row>
    <row r="57">
      <c r="A57" s="412">
        <v>56.0</v>
      </c>
      <c r="B57" s="412">
        <v>8953.0</v>
      </c>
      <c r="C57" s="412">
        <v>215817.0</v>
      </c>
      <c r="D57" s="27">
        <v>56.0</v>
      </c>
      <c r="E57" s="26">
        <v>1988.0</v>
      </c>
      <c r="F57" s="27">
        <v>133.0</v>
      </c>
      <c r="G57" s="27">
        <v>1.0</v>
      </c>
      <c r="H57" s="381">
        <f>11236+797</f>
        <v>12033</v>
      </c>
    </row>
    <row r="58">
      <c r="A58" s="412">
        <v>57.0</v>
      </c>
      <c r="B58" s="412">
        <v>8953.0</v>
      </c>
      <c r="C58" s="412">
        <v>224770.0</v>
      </c>
      <c r="D58" s="27">
        <v>57.0</v>
      </c>
      <c r="E58" s="26">
        <v>2062.0</v>
      </c>
      <c r="F58" s="27">
        <v>133.0</v>
      </c>
      <c r="G58" s="27">
        <v>0.0</v>
      </c>
      <c r="H58" s="381">
        <f>H57+H53</f>
        <v>12776</v>
      </c>
    </row>
    <row r="59">
      <c r="A59" s="412">
        <v>58.0</v>
      </c>
      <c r="B59" s="412">
        <v>8953.0</v>
      </c>
      <c r="C59" s="412">
        <v>233723.0</v>
      </c>
      <c r="D59" s="27">
        <v>58.0</v>
      </c>
      <c r="E59" s="26">
        <v>2136.0</v>
      </c>
      <c r="F59" s="27">
        <v>134.0</v>
      </c>
      <c r="G59" s="27">
        <v>1.0</v>
      </c>
      <c r="H59" s="381">
        <f t="shared" ref="H59:H60" si="1">H58+H52</f>
        <v>13573</v>
      </c>
    </row>
    <row r="60">
      <c r="A60" s="412">
        <v>59.0</v>
      </c>
      <c r="B60" s="412">
        <v>8953.0</v>
      </c>
      <c r="C60" s="412">
        <v>242676.0</v>
      </c>
      <c r="D60" s="27">
        <v>59.0</v>
      </c>
      <c r="E60" s="26">
        <v>2210.0</v>
      </c>
      <c r="F60" s="27">
        <v>134.0</v>
      </c>
      <c r="G60" s="27">
        <v>0.0</v>
      </c>
      <c r="H60" s="381">
        <f t="shared" si="1"/>
        <v>14316</v>
      </c>
    </row>
    <row r="61">
      <c r="A61" s="412">
        <v>60.0</v>
      </c>
      <c r="B61" s="412">
        <v>8953.0</v>
      </c>
      <c r="C61" s="412">
        <v>251629.0</v>
      </c>
      <c r="D61" s="27">
        <v>60.0</v>
      </c>
      <c r="E61" s="26">
        <v>2286.0</v>
      </c>
      <c r="F61" s="27">
        <v>135.0</v>
      </c>
      <c r="G61" s="27">
        <v>1.0</v>
      </c>
      <c r="H61" s="381">
        <f>H60+H52</f>
        <v>15113</v>
      </c>
    </row>
    <row r="62">
      <c r="A62" s="412">
        <v>61.0</v>
      </c>
      <c r="B62" s="26">
        <v>9696.0</v>
      </c>
      <c r="C62" s="27">
        <f t="shared" ref="C62:C101" si="2">C61+B62</f>
        <v>261325</v>
      </c>
      <c r="D62" s="27">
        <v>61.0</v>
      </c>
      <c r="E62" s="26">
        <v>2362.0</v>
      </c>
      <c r="F62" s="27">
        <v>135.0</v>
      </c>
      <c r="G62" s="27">
        <v>0.0</v>
      </c>
    </row>
    <row r="63">
      <c r="A63" s="412">
        <v>62.0</v>
      </c>
      <c r="B63" s="26">
        <v>9696.0</v>
      </c>
      <c r="C63" s="27">
        <f t="shared" si="2"/>
        <v>271021</v>
      </c>
      <c r="D63" s="27">
        <v>62.0</v>
      </c>
      <c r="E63" s="26">
        <v>2438.0</v>
      </c>
      <c r="F63" s="27">
        <v>136.0</v>
      </c>
      <c r="G63" s="27">
        <v>1.0</v>
      </c>
    </row>
    <row r="64">
      <c r="A64" s="412">
        <v>63.0</v>
      </c>
      <c r="B64" s="26">
        <v>9696.0</v>
      </c>
      <c r="C64" s="27">
        <f t="shared" si="2"/>
        <v>280717</v>
      </c>
      <c r="D64" s="27">
        <v>63.0</v>
      </c>
      <c r="E64" s="26">
        <v>2516.0</v>
      </c>
      <c r="F64" s="27">
        <v>136.0</v>
      </c>
      <c r="G64" s="27">
        <v>0.0</v>
      </c>
    </row>
    <row r="65">
      <c r="A65" s="412">
        <v>64.0</v>
      </c>
      <c r="B65" s="26">
        <v>9696.0</v>
      </c>
      <c r="C65" s="27">
        <f t="shared" si="2"/>
        <v>290413</v>
      </c>
      <c r="D65" s="27">
        <v>64.0</v>
      </c>
      <c r="E65" s="26">
        <v>2594.0</v>
      </c>
      <c r="F65" s="27">
        <v>137.0</v>
      </c>
      <c r="G65" s="27">
        <v>1.0</v>
      </c>
    </row>
    <row r="66">
      <c r="A66" s="412">
        <v>65.0</v>
      </c>
      <c r="B66" s="26">
        <v>9696.0</v>
      </c>
      <c r="C66" s="27">
        <f t="shared" si="2"/>
        <v>300109</v>
      </c>
      <c r="D66" s="27">
        <v>65.0</v>
      </c>
      <c r="E66" s="26">
        <v>2672.0</v>
      </c>
      <c r="F66" s="27">
        <v>137.0</v>
      </c>
      <c r="G66" s="27">
        <v>0.0</v>
      </c>
    </row>
    <row r="67">
      <c r="A67" s="412">
        <v>66.0</v>
      </c>
      <c r="B67" s="26">
        <v>10493.0</v>
      </c>
      <c r="C67" s="27">
        <f t="shared" si="2"/>
        <v>310602</v>
      </c>
      <c r="D67" s="27">
        <v>66.0</v>
      </c>
      <c r="E67" s="26">
        <v>2752.0</v>
      </c>
      <c r="F67" s="27">
        <v>138.0</v>
      </c>
      <c r="G67" s="27">
        <v>1.0</v>
      </c>
    </row>
    <row r="68">
      <c r="A68" s="412">
        <v>67.0</v>
      </c>
      <c r="B68" s="26">
        <v>10493.0</v>
      </c>
      <c r="C68" s="27">
        <f t="shared" si="2"/>
        <v>321095</v>
      </c>
      <c r="D68" s="27">
        <v>67.0</v>
      </c>
      <c r="E68" s="26">
        <v>2832.0</v>
      </c>
      <c r="F68" s="27">
        <v>138.0</v>
      </c>
      <c r="G68" s="27">
        <v>0.0</v>
      </c>
    </row>
    <row r="69">
      <c r="A69" s="412">
        <v>68.0</v>
      </c>
      <c r="B69" s="26">
        <v>10493.0</v>
      </c>
      <c r="C69" s="27">
        <f t="shared" si="2"/>
        <v>331588</v>
      </c>
      <c r="D69" s="27">
        <v>68.0</v>
      </c>
      <c r="E69" s="26">
        <v>2912.0</v>
      </c>
      <c r="F69" s="27">
        <v>139.0</v>
      </c>
      <c r="G69" s="27">
        <v>1.0</v>
      </c>
    </row>
    <row r="70">
      <c r="A70" s="412">
        <v>69.0</v>
      </c>
      <c r="B70" s="26">
        <v>10493.0</v>
      </c>
      <c r="C70" s="27">
        <f t="shared" si="2"/>
        <v>342081</v>
      </c>
      <c r="D70" s="27">
        <v>69.0</v>
      </c>
      <c r="E70" s="26">
        <v>3000.0</v>
      </c>
      <c r="F70" s="27">
        <v>139.0</v>
      </c>
      <c r="G70" s="27">
        <v>0.0</v>
      </c>
    </row>
    <row r="71">
      <c r="A71" s="412">
        <v>70.0</v>
      </c>
      <c r="B71" s="26">
        <v>10493.0</v>
      </c>
      <c r="C71" s="27">
        <f t="shared" si="2"/>
        <v>352574</v>
      </c>
      <c r="D71" s="27">
        <v>70.0</v>
      </c>
      <c r="E71" s="26">
        <v>3088.0</v>
      </c>
      <c r="F71" s="27">
        <v>140.0</v>
      </c>
      <c r="G71" s="27">
        <v>1.0</v>
      </c>
    </row>
    <row r="72">
      <c r="A72" s="412">
        <v>71.0</v>
      </c>
      <c r="B72" s="26">
        <v>11236.0</v>
      </c>
      <c r="C72" s="27">
        <f t="shared" si="2"/>
        <v>363810</v>
      </c>
      <c r="D72" s="27">
        <v>71.0</v>
      </c>
      <c r="E72" s="26">
        <v>3176.0</v>
      </c>
      <c r="F72" s="27">
        <v>140.0</v>
      </c>
      <c r="G72" s="27">
        <v>0.0</v>
      </c>
    </row>
    <row r="73">
      <c r="A73" s="412">
        <v>72.0</v>
      </c>
      <c r="B73" s="26">
        <v>11236.0</v>
      </c>
      <c r="C73" s="27">
        <f t="shared" si="2"/>
        <v>375046</v>
      </c>
      <c r="D73" s="27">
        <v>72.0</v>
      </c>
      <c r="E73" s="26">
        <v>3266.0</v>
      </c>
      <c r="F73" s="27">
        <v>140.0</v>
      </c>
      <c r="G73" s="27">
        <v>0.0</v>
      </c>
    </row>
    <row r="74">
      <c r="A74" s="412">
        <v>73.0</v>
      </c>
      <c r="B74" s="26">
        <v>11236.0</v>
      </c>
      <c r="C74" s="27">
        <f t="shared" si="2"/>
        <v>386282</v>
      </c>
      <c r="D74" s="27">
        <v>73.0</v>
      </c>
      <c r="E74" s="26">
        <v>3356.0</v>
      </c>
      <c r="F74" s="27">
        <v>141.0</v>
      </c>
      <c r="G74" s="27">
        <v>1.0</v>
      </c>
    </row>
    <row r="75">
      <c r="A75" s="412">
        <v>74.0</v>
      </c>
      <c r="B75" s="26">
        <v>11236.0</v>
      </c>
      <c r="C75" s="27">
        <f t="shared" si="2"/>
        <v>397518</v>
      </c>
      <c r="D75" s="27">
        <v>74.0</v>
      </c>
      <c r="E75" s="26">
        <v>3446.0</v>
      </c>
      <c r="F75" s="27">
        <v>141.0</v>
      </c>
      <c r="G75" s="27">
        <v>0.0</v>
      </c>
    </row>
    <row r="76">
      <c r="A76" s="412">
        <v>75.0</v>
      </c>
      <c r="B76" s="26">
        <v>11236.0</v>
      </c>
      <c r="C76" s="27">
        <f t="shared" si="2"/>
        <v>408754</v>
      </c>
      <c r="D76" s="27">
        <v>75.0</v>
      </c>
      <c r="E76" s="26">
        <v>3538.0</v>
      </c>
      <c r="F76" s="27">
        <v>141.0</v>
      </c>
      <c r="G76" s="27">
        <v>0.0</v>
      </c>
    </row>
    <row r="77">
      <c r="A77" s="412">
        <v>76.0</v>
      </c>
      <c r="B77" s="26">
        <v>12033.0</v>
      </c>
      <c r="C77" s="27">
        <f t="shared" si="2"/>
        <v>420787</v>
      </c>
      <c r="D77" s="27">
        <v>76.0</v>
      </c>
      <c r="E77" s="26">
        <v>3630.0</v>
      </c>
      <c r="F77" s="27">
        <v>142.0</v>
      </c>
      <c r="G77" s="27">
        <v>1.0</v>
      </c>
    </row>
    <row r="78">
      <c r="A78" s="412">
        <v>77.0</v>
      </c>
      <c r="B78" s="26">
        <v>12033.0</v>
      </c>
      <c r="C78" s="27">
        <f t="shared" si="2"/>
        <v>432820</v>
      </c>
      <c r="D78" s="27">
        <v>77.0</v>
      </c>
      <c r="E78" s="26">
        <v>3722.0</v>
      </c>
      <c r="F78" s="27">
        <v>142.0</v>
      </c>
      <c r="G78" s="27">
        <v>0.0</v>
      </c>
    </row>
    <row r="79">
      <c r="A79" s="412">
        <v>78.0</v>
      </c>
      <c r="B79" s="26">
        <v>12033.0</v>
      </c>
      <c r="C79" s="27">
        <f t="shared" si="2"/>
        <v>444853</v>
      </c>
      <c r="D79" s="27">
        <v>78.0</v>
      </c>
      <c r="E79" s="26">
        <v>3816.0</v>
      </c>
      <c r="F79" s="27">
        <v>142.0</v>
      </c>
      <c r="G79" s="27">
        <v>0.0</v>
      </c>
    </row>
    <row r="80">
      <c r="A80" s="412">
        <v>79.0</v>
      </c>
      <c r="B80" s="26">
        <v>12033.0</v>
      </c>
      <c r="C80" s="27">
        <f t="shared" si="2"/>
        <v>456886</v>
      </c>
      <c r="D80" s="27">
        <v>79.0</v>
      </c>
      <c r="E80" s="26">
        <v>3910.0</v>
      </c>
      <c r="F80" s="27">
        <v>143.0</v>
      </c>
      <c r="G80" s="27">
        <v>1.0</v>
      </c>
    </row>
    <row r="81">
      <c r="A81" s="412">
        <v>80.0</v>
      </c>
      <c r="B81" s="26">
        <v>12033.0</v>
      </c>
      <c r="C81" s="27">
        <f t="shared" si="2"/>
        <v>468919</v>
      </c>
      <c r="D81" s="27">
        <v>80.0</v>
      </c>
      <c r="E81" s="26">
        <v>4004.0</v>
      </c>
      <c r="F81" s="27">
        <v>143.0</v>
      </c>
      <c r="G81" s="27">
        <v>0.0</v>
      </c>
    </row>
    <row r="82">
      <c r="A82" s="412">
        <v>81.0</v>
      </c>
      <c r="B82" s="26">
        <v>12776.0</v>
      </c>
      <c r="C82" s="27">
        <f t="shared" si="2"/>
        <v>481695</v>
      </c>
      <c r="D82" s="27">
        <v>81.0</v>
      </c>
      <c r="E82" s="26">
        <v>4108.0</v>
      </c>
      <c r="F82" s="27">
        <v>143.0</v>
      </c>
      <c r="G82" s="27">
        <v>0.0</v>
      </c>
    </row>
    <row r="83">
      <c r="A83" s="412">
        <v>82.0</v>
      </c>
      <c r="B83" s="26">
        <v>12776.0</v>
      </c>
      <c r="C83" s="27">
        <f t="shared" si="2"/>
        <v>494471</v>
      </c>
      <c r="D83" s="27">
        <v>82.0</v>
      </c>
      <c r="E83" s="26">
        <v>4212.0</v>
      </c>
      <c r="F83" s="27">
        <v>144.0</v>
      </c>
      <c r="G83" s="27">
        <v>1.0</v>
      </c>
    </row>
    <row r="84">
      <c r="A84" s="412">
        <v>83.0</v>
      </c>
      <c r="B84" s="26">
        <v>12776.0</v>
      </c>
      <c r="C84" s="27">
        <f t="shared" si="2"/>
        <v>507247</v>
      </c>
      <c r="D84" s="27">
        <v>83.0</v>
      </c>
      <c r="E84" s="26">
        <v>4316.0</v>
      </c>
      <c r="F84" s="27">
        <v>144.0</v>
      </c>
      <c r="G84" s="27">
        <v>0.0</v>
      </c>
    </row>
    <row r="85">
      <c r="A85" s="412">
        <v>84.0</v>
      </c>
      <c r="B85" s="26">
        <v>12776.0</v>
      </c>
      <c r="C85" s="27">
        <f t="shared" si="2"/>
        <v>520023</v>
      </c>
      <c r="D85" s="27">
        <v>84.0</v>
      </c>
      <c r="E85" s="26">
        <v>4422.0</v>
      </c>
      <c r="F85" s="27">
        <v>144.0</v>
      </c>
      <c r="G85" s="27">
        <v>0.0</v>
      </c>
    </row>
    <row r="86">
      <c r="A86" s="412">
        <v>85.0</v>
      </c>
      <c r="B86" s="26">
        <v>12776.0</v>
      </c>
      <c r="C86" s="27">
        <f t="shared" si="2"/>
        <v>532799</v>
      </c>
      <c r="D86" s="27">
        <v>85.0</v>
      </c>
      <c r="E86" s="26">
        <v>4528.0</v>
      </c>
      <c r="F86" s="27">
        <v>145.0</v>
      </c>
      <c r="G86" s="27">
        <v>1.0</v>
      </c>
    </row>
    <row r="87">
      <c r="A87" s="412">
        <v>86.0</v>
      </c>
      <c r="B87" s="26">
        <v>13573.0</v>
      </c>
      <c r="C87" s="27">
        <f t="shared" si="2"/>
        <v>546372</v>
      </c>
      <c r="D87" s="27">
        <v>86.0</v>
      </c>
      <c r="E87" s="26">
        <v>4634.0</v>
      </c>
      <c r="F87" s="27">
        <v>145.0</v>
      </c>
      <c r="G87" s="27">
        <v>0.0</v>
      </c>
    </row>
    <row r="88">
      <c r="A88" s="412">
        <v>87.0</v>
      </c>
      <c r="B88" s="26">
        <v>13573.0</v>
      </c>
      <c r="C88" s="27">
        <f t="shared" si="2"/>
        <v>559945</v>
      </c>
      <c r="D88" s="27">
        <v>87.0</v>
      </c>
      <c r="E88" s="26">
        <v>4742.0</v>
      </c>
      <c r="F88" s="27">
        <v>145.0</v>
      </c>
      <c r="G88" s="27">
        <v>0.0</v>
      </c>
    </row>
    <row r="89">
      <c r="A89" s="412">
        <v>88.0</v>
      </c>
      <c r="B89" s="26">
        <v>13573.0</v>
      </c>
      <c r="C89" s="27">
        <f t="shared" si="2"/>
        <v>573518</v>
      </c>
      <c r="D89" s="27">
        <v>88.0</v>
      </c>
      <c r="E89" s="26">
        <v>4850.0</v>
      </c>
      <c r="F89" s="27">
        <v>146.0</v>
      </c>
      <c r="G89" s="27">
        <v>1.0</v>
      </c>
    </row>
    <row r="90">
      <c r="A90" s="412">
        <v>89.0</v>
      </c>
      <c r="B90" s="26">
        <v>13573.0</v>
      </c>
      <c r="C90" s="27">
        <f t="shared" si="2"/>
        <v>587091</v>
      </c>
      <c r="D90" s="27">
        <v>89.0</v>
      </c>
      <c r="E90" s="26">
        <v>4958.0</v>
      </c>
      <c r="F90" s="27">
        <v>146.0</v>
      </c>
      <c r="G90" s="27">
        <v>0.0</v>
      </c>
    </row>
    <row r="91">
      <c r="A91" s="412">
        <v>90.0</v>
      </c>
      <c r="B91" s="26">
        <v>13573.0</v>
      </c>
      <c r="C91" s="27">
        <f t="shared" si="2"/>
        <v>600664</v>
      </c>
      <c r="D91" s="27">
        <v>90.0</v>
      </c>
      <c r="E91" s="26">
        <v>5068.0</v>
      </c>
      <c r="F91" s="27">
        <v>146.0</v>
      </c>
      <c r="G91" s="27">
        <v>0.0</v>
      </c>
    </row>
    <row r="92">
      <c r="A92" s="412">
        <v>91.0</v>
      </c>
      <c r="B92" s="26">
        <v>14316.0</v>
      </c>
      <c r="C92" s="27">
        <f t="shared" si="2"/>
        <v>614980</v>
      </c>
      <c r="D92" s="27">
        <v>91.0</v>
      </c>
      <c r="E92" s="26">
        <v>5178.0</v>
      </c>
      <c r="F92" s="27">
        <v>147.0</v>
      </c>
      <c r="G92" s="27">
        <v>1.0</v>
      </c>
    </row>
    <row r="93">
      <c r="A93" s="412">
        <v>92.0</v>
      </c>
      <c r="B93" s="26">
        <v>14316.0</v>
      </c>
      <c r="C93" s="27">
        <f t="shared" si="2"/>
        <v>629296</v>
      </c>
      <c r="D93" s="27">
        <v>92.0</v>
      </c>
      <c r="E93" s="26">
        <v>5288.0</v>
      </c>
      <c r="F93" s="27">
        <v>147.0</v>
      </c>
      <c r="G93" s="27">
        <v>0.0</v>
      </c>
    </row>
    <row r="94">
      <c r="A94" s="412">
        <v>93.0</v>
      </c>
      <c r="B94" s="26">
        <v>14316.0</v>
      </c>
      <c r="C94" s="27">
        <f t="shared" si="2"/>
        <v>643612</v>
      </c>
      <c r="D94" s="27">
        <v>93.0</v>
      </c>
      <c r="E94" s="26">
        <v>5404.0</v>
      </c>
      <c r="F94" s="27">
        <v>147.0</v>
      </c>
      <c r="G94" s="27">
        <v>0.0</v>
      </c>
    </row>
    <row r="95">
      <c r="A95" s="412">
        <v>94.0</v>
      </c>
      <c r="B95" s="26">
        <v>14316.0</v>
      </c>
      <c r="C95" s="27">
        <f t="shared" si="2"/>
        <v>657928</v>
      </c>
      <c r="D95" s="27">
        <v>94.0</v>
      </c>
      <c r="E95" s="26">
        <v>5520.0</v>
      </c>
      <c r="F95" s="27">
        <v>148.0</v>
      </c>
      <c r="G95" s="27">
        <v>1.0</v>
      </c>
    </row>
    <row r="96">
      <c r="A96" s="412">
        <v>95.0</v>
      </c>
      <c r="B96" s="26">
        <v>14316.0</v>
      </c>
      <c r="C96" s="27">
        <f t="shared" si="2"/>
        <v>672244</v>
      </c>
      <c r="D96" s="27">
        <v>95.0</v>
      </c>
      <c r="E96" s="26">
        <v>5636.0</v>
      </c>
      <c r="F96" s="27">
        <v>148.0</v>
      </c>
      <c r="G96" s="27">
        <v>0.0</v>
      </c>
    </row>
    <row r="97">
      <c r="A97" s="412">
        <v>96.0</v>
      </c>
      <c r="B97" s="26">
        <v>15113.0</v>
      </c>
      <c r="C97" s="27">
        <f t="shared" si="2"/>
        <v>687357</v>
      </c>
      <c r="D97" s="27">
        <v>96.0</v>
      </c>
      <c r="E97" s="26">
        <v>5754.0</v>
      </c>
      <c r="F97" s="27">
        <v>148.0</v>
      </c>
      <c r="G97" s="27">
        <v>0.0</v>
      </c>
    </row>
    <row r="98">
      <c r="A98" s="412">
        <v>97.0</v>
      </c>
      <c r="B98" s="26">
        <v>15113.0</v>
      </c>
      <c r="C98" s="27">
        <f t="shared" si="2"/>
        <v>702470</v>
      </c>
      <c r="D98" s="27">
        <v>97.0</v>
      </c>
      <c r="E98" s="26">
        <v>5872.0</v>
      </c>
      <c r="F98" s="27">
        <v>149.0</v>
      </c>
      <c r="G98" s="27">
        <v>1.0</v>
      </c>
    </row>
    <row r="99">
      <c r="A99" s="412">
        <v>98.0</v>
      </c>
      <c r="B99" s="26">
        <v>15113.0</v>
      </c>
      <c r="C99" s="27">
        <f t="shared" si="2"/>
        <v>717583</v>
      </c>
      <c r="D99" s="27">
        <v>98.0</v>
      </c>
      <c r="E99" s="26">
        <v>5990.0</v>
      </c>
      <c r="F99" s="27">
        <v>149.0</v>
      </c>
      <c r="G99" s="27">
        <v>0.0</v>
      </c>
    </row>
    <row r="100">
      <c r="A100" s="412">
        <v>99.0</v>
      </c>
      <c r="B100" s="26">
        <v>15113.0</v>
      </c>
      <c r="C100" s="27">
        <f t="shared" si="2"/>
        <v>732696</v>
      </c>
      <c r="D100" s="27">
        <v>99.0</v>
      </c>
      <c r="E100" s="26">
        <v>6109.0</v>
      </c>
      <c r="F100" s="27">
        <v>149.0</v>
      </c>
      <c r="G100" s="27">
        <v>0.0</v>
      </c>
    </row>
    <row r="101">
      <c r="A101" s="412">
        <v>100.0</v>
      </c>
      <c r="B101" s="26">
        <v>15113.0</v>
      </c>
      <c r="C101" s="27">
        <f t="shared" si="2"/>
        <v>747809</v>
      </c>
      <c r="D101" s="27">
        <v>100.0</v>
      </c>
      <c r="E101" s="26">
        <v>6228.0</v>
      </c>
      <c r="F101" s="27">
        <v>150.0</v>
      </c>
      <c r="G101" s="27">
        <v>1.0</v>
      </c>
    </row>
    <row r="102">
      <c r="A102" s="26"/>
      <c r="B102" s="26"/>
      <c r="C102" s="26"/>
      <c r="D102" s="27">
        <v>101.0</v>
      </c>
      <c r="E102" s="26">
        <v>6347.0</v>
      </c>
      <c r="F102" s="27">
        <v>150.0</v>
      </c>
      <c r="G102" s="27">
        <v>0.0</v>
      </c>
    </row>
    <row r="103">
      <c r="A103" s="26"/>
      <c r="B103" s="26"/>
      <c r="C103" s="26"/>
      <c r="D103" s="27">
        <v>102.0</v>
      </c>
      <c r="E103" s="26">
        <v>6467.0</v>
      </c>
      <c r="F103" s="27">
        <v>150.0</v>
      </c>
      <c r="G103" s="27">
        <v>0.0</v>
      </c>
    </row>
    <row r="104">
      <c r="A104" s="26"/>
      <c r="B104" s="26"/>
      <c r="C104" s="26"/>
      <c r="D104" s="27">
        <v>103.0</v>
      </c>
      <c r="E104" s="26">
        <v>6587.0</v>
      </c>
      <c r="F104" s="27">
        <v>151.0</v>
      </c>
      <c r="G104" s="27">
        <v>1.0</v>
      </c>
    </row>
    <row r="105">
      <c r="A105" s="26"/>
      <c r="B105" s="26"/>
      <c r="C105" s="26"/>
      <c r="D105" s="27">
        <v>104.0</v>
      </c>
      <c r="E105" s="26">
        <v>6707.0</v>
      </c>
      <c r="F105" s="27">
        <v>151.0</v>
      </c>
      <c r="G105" s="27">
        <v>0.0</v>
      </c>
    </row>
    <row r="106">
      <c r="A106" s="26"/>
      <c r="B106" s="26"/>
      <c r="C106" s="26"/>
      <c r="D106" s="27">
        <v>105.0</v>
      </c>
      <c r="E106" s="26">
        <v>6828.0</v>
      </c>
      <c r="F106" s="27">
        <v>151.0</v>
      </c>
      <c r="G106" s="27">
        <v>0.0</v>
      </c>
    </row>
    <row r="107">
      <c r="A107" s="26"/>
      <c r="B107" s="26"/>
      <c r="C107" s="26"/>
      <c r="D107" s="27">
        <v>106.0</v>
      </c>
      <c r="E107" s="26">
        <v>6949.0</v>
      </c>
      <c r="F107" s="27">
        <v>152.0</v>
      </c>
      <c r="G107" s="27">
        <v>1.0</v>
      </c>
    </row>
    <row r="108">
      <c r="A108" s="26"/>
      <c r="B108" s="26"/>
      <c r="C108" s="26"/>
      <c r="D108" s="27">
        <v>107.0</v>
      </c>
      <c r="E108" s="26">
        <v>7070.0</v>
      </c>
      <c r="F108" s="27">
        <v>152.0</v>
      </c>
      <c r="G108" s="27">
        <v>0.0</v>
      </c>
    </row>
    <row r="109">
      <c r="A109" s="26"/>
      <c r="B109" s="26"/>
      <c r="C109" s="26"/>
      <c r="D109" s="27">
        <v>108.0</v>
      </c>
      <c r="E109" s="26">
        <v>7192.0</v>
      </c>
      <c r="F109" s="27">
        <v>152.0</v>
      </c>
      <c r="G109" s="27">
        <v>0.0</v>
      </c>
    </row>
    <row r="110">
      <c r="A110" s="26"/>
      <c r="B110" s="26"/>
      <c r="C110" s="26"/>
      <c r="D110" s="27">
        <v>109.0</v>
      </c>
      <c r="E110" s="26">
        <v>7314.0</v>
      </c>
      <c r="F110" s="27">
        <v>153.0</v>
      </c>
      <c r="G110" s="27">
        <v>1.0</v>
      </c>
    </row>
    <row r="111">
      <c r="A111" s="26"/>
      <c r="B111" s="26"/>
      <c r="C111" s="26"/>
      <c r="D111" s="27">
        <v>110.0</v>
      </c>
      <c r="E111" s="26">
        <v>7436.0</v>
      </c>
      <c r="F111" s="27">
        <v>153.0</v>
      </c>
      <c r="G111" s="27">
        <v>0.0</v>
      </c>
    </row>
    <row r="112">
      <c r="A112" s="26"/>
      <c r="B112" s="26"/>
      <c r="C112" s="26"/>
      <c r="D112" s="27">
        <v>111.0</v>
      </c>
      <c r="E112" s="26">
        <v>7559.0</v>
      </c>
      <c r="F112" s="27">
        <v>153.0</v>
      </c>
      <c r="G112" s="27">
        <v>0.0</v>
      </c>
    </row>
    <row r="113">
      <c r="A113" s="26"/>
      <c r="B113" s="26"/>
      <c r="C113" s="26"/>
      <c r="D113" s="27">
        <v>112.0</v>
      </c>
      <c r="E113" s="26">
        <v>7682.0</v>
      </c>
      <c r="F113" s="27">
        <v>154.0</v>
      </c>
      <c r="G113" s="27">
        <v>1.0</v>
      </c>
    </row>
    <row r="114">
      <c r="A114" s="26"/>
      <c r="B114" s="26"/>
      <c r="C114" s="26"/>
      <c r="D114" s="27">
        <v>113.0</v>
      </c>
      <c r="E114" s="26">
        <v>7805.0</v>
      </c>
      <c r="F114" s="27">
        <v>154.0</v>
      </c>
      <c r="G114" s="27">
        <v>0.0</v>
      </c>
    </row>
    <row r="115">
      <c r="A115" s="26"/>
      <c r="B115" s="26"/>
      <c r="C115" s="26"/>
      <c r="D115" s="27">
        <v>114.0</v>
      </c>
      <c r="E115" s="26">
        <v>7929.0</v>
      </c>
      <c r="F115" s="27">
        <v>154.0</v>
      </c>
      <c r="G115" s="27">
        <v>0.0</v>
      </c>
    </row>
    <row r="116">
      <c r="A116" s="26"/>
      <c r="B116" s="26"/>
      <c r="C116" s="26"/>
      <c r="D116" s="27">
        <v>115.0</v>
      </c>
      <c r="E116" s="26">
        <v>8053.0</v>
      </c>
      <c r="F116" s="27">
        <v>155.0</v>
      </c>
      <c r="G116" s="27">
        <v>1.0</v>
      </c>
    </row>
    <row r="117">
      <c r="A117" s="26"/>
      <c r="B117" s="26"/>
      <c r="C117" s="26"/>
      <c r="D117" s="27">
        <v>116.0</v>
      </c>
      <c r="E117" s="26">
        <v>8177.0</v>
      </c>
      <c r="F117" s="27">
        <v>155.0</v>
      </c>
      <c r="G117" s="27">
        <v>0.0</v>
      </c>
    </row>
    <row r="118">
      <c r="A118" s="26"/>
      <c r="B118" s="26"/>
      <c r="C118" s="26"/>
      <c r="D118" s="27">
        <v>117.0</v>
      </c>
      <c r="E118" s="26">
        <v>8302.0</v>
      </c>
      <c r="F118" s="27">
        <v>155.0</v>
      </c>
      <c r="G118" s="27">
        <v>0.0</v>
      </c>
    </row>
    <row r="119">
      <c r="A119" s="26"/>
      <c r="B119" s="26"/>
      <c r="C119" s="26"/>
      <c r="D119" s="27">
        <v>118.0</v>
      </c>
      <c r="E119" s="26">
        <v>8427.0</v>
      </c>
      <c r="F119" s="27">
        <v>156.0</v>
      </c>
      <c r="G119" s="27">
        <v>1.0</v>
      </c>
    </row>
    <row r="120">
      <c r="A120" s="26"/>
      <c r="B120" s="26"/>
      <c r="C120" s="26"/>
      <c r="D120" s="27">
        <v>119.0</v>
      </c>
      <c r="E120" s="26">
        <v>8552.0</v>
      </c>
      <c r="F120" s="27">
        <v>156.0</v>
      </c>
      <c r="G120" s="27">
        <v>0.0</v>
      </c>
    </row>
    <row r="121">
      <c r="A121" s="26"/>
      <c r="B121" s="26"/>
      <c r="C121" s="26"/>
      <c r="D121" s="27">
        <v>120.0</v>
      </c>
      <c r="E121" s="26">
        <v>8678.0</v>
      </c>
      <c r="F121" s="27">
        <v>156.0</v>
      </c>
      <c r="G121" s="27">
        <v>0.0</v>
      </c>
    </row>
    <row r="122">
      <c r="A122" s="26"/>
      <c r="B122" s="26"/>
      <c r="C122" s="26"/>
      <c r="D122" s="27">
        <v>121.0</v>
      </c>
      <c r="E122" s="26">
        <v>8804.0</v>
      </c>
      <c r="F122" s="27">
        <v>157.0</v>
      </c>
      <c r="G122" s="27">
        <v>1.0</v>
      </c>
    </row>
    <row r="123">
      <c r="A123" s="26"/>
      <c r="B123" s="26"/>
      <c r="C123" s="26"/>
      <c r="D123" s="27">
        <v>122.0</v>
      </c>
      <c r="E123" s="26">
        <v>8930.0</v>
      </c>
      <c r="F123" s="27">
        <v>157.0</v>
      </c>
      <c r="G123" s="27">
        <v>0.0</v>
      </c>
    </row>
    <row r="124">
      <c r="A124" s="26"/>
      <c r="B124" s="26"/>
      <c r="C124" s="26"/>
      <c r="D124" s="27">
        <v>123.0</v>
      </c>
      <c r="E124" s="26">
        <v>9057.0</v>
      </c>
      <c r="F124" s="27">
        <v>157.0</v>
      </c>
      <c r="G124" s="27">
        <v>0.0</v>
      </c>
    </row>
    <row r="125">
      <c r="A125" s="26"/>
      <c r="B125" s="26"/>
      <c r="C125" s="26"/>
      <c r="D125" s="27">
        <v>124.0</v>
      </c>
      <c r="E125" s="26">
        <v>9184.0</v>
      </c>
      <c r="F125" s="27">
        <v>158.0</v>
      </c>
      <c r="G125" s="27">
        <v>1.0</v>
      </c>
    </row>
    <row r="126">
      <c r="A126" s="26"/>
      <c r="B126" s="26"/>
      <c r="C126" s="26"/>
      <c r="D126" s="27">
        <v>125.0</v>
      </c>
      <c r="E126" s="26">
        <v>9311.0</v>
      </c>
      <c r="F126" s="27">
        <v>158.0</v>
      </c>
      <c r="G126" s="27">
        <v>0.0</v>
      </c>
    </row>
    <row r="127">
      <c r="A127" s="26"/>
      <c r="B127" s="26"/>
      <c r="C127" s="26"/>
      <c r="D127" s="27">
        <v>126.0</v>
      </c>
      <c r="E127" s="26">
        <v>9439.0</v>
      </c>
      <c r="F127" s="27">
        <v>158.0</v>
      </c>
      <c r="G127" s="27">
        <v>0.0</v>
      </c>
    </row>
    <row r="128">
      <c r="A128" s="26"/>
      <c r="B128" s="26"/>
      <c r="C128" s="26"/>
      <c r="D128" s="27">
        <v>127.0</v>
      </c>
      <c r="E128" s="26">
        <v>9567.0</v>
      </c>
      <c r="F128" s="27">
        <v>159.0</v>
      </c>
      <c r="G128" s="27">
        <v>1.0</v>
      </c>
    </row>
    <row r="129">
      <c r="A129" s="26"/>
      <c r="B129" s="26"/>
      <c r="C129" s="26"/>
      <c r="D129" s="27">
        <v>128.0</v>
      </c>
      <c r="E129" s="26">
        <v>9695.0</v>
      </c>
      <c r="F129" s="27">
        <v>159.0</v>
      </c>
      <c r="G129" s="27">
        <v>0.0</v>
      </c>
    </row>
    <row r="130">
      <c r="A130" s="26"/>
      <c r="B130" s="26"/>
      <c r="C130" s="26"/>
      <c r="D130" s="27">
        <v>129.0</v>
      </c>
      <c r="E130" s="26">
        <v>9824.0</v>
      </c>
      <c r="F130" s="27">
        <v>159.0</v>
      </c>
      <c r="G130" s="27">
        <v>0.0</v>
      </c>
    </row>
    <row r="131">
      <c r="A131" s="26"/>
      <c r="B131" s="26"/>
      <c r="C131" s="26"/>
      <c r="D131" s="27">
        <v>130.0</v>
      </c>
      <c r="E131" s="26">
        <v>9953.0</v>
      </c>
      <c r="F131" s="27">
        <v>160.0</v>
      </c>
      <c r="G131" s="27">
        <v>1.0</v>
      </c>
    </row>
    <row r="132">
      <c r="A132" s="26"/>
      <c r="B132" s="26"/>
      <c r="C132" s="26"/>
      <c r="D132" s="27">
        <v>131.0</v>
      </c>
      <c r="E132" s="26">
        <v>10082.0</v>
      </c>
      <c r="F132" s="27">
        <v>160.0</v>
      </c>
      <c r="G132" s="27">
        <v>0.0</v>
      </c>
    </row>
    <row r="133">
      <c r="A133" s="26"/>
      <c r="B133" s="26"/>
      <c r="C133" s="26"/>
      <c r="D133" s="27">
        <v>132.0</v>
      </c>
      <c r="E133" s="26">
        <v>10212.0</v>
      </c>
      <c r="F133" s="27">
        <v>160.0</v>
      </c>
      <c r="G133" s="27">
        <v>0.0</v>
      </c>
    </row>
    <row r="134">
      <c r="A134" s="26"/>
      <c r="B134" s="26"/>
      <c r="C134" s="26"/>
      <c r="D134" s="27">
        <v>133.0</v>
      </c>
      <c r="E134" s="26">
        <v>10342.0</v>
      </c>
      <c r="F134" s="27">
        <v>161.0</v>
      </c>
      <c r="G134" s="27">
        <v>1.0</v>
      </c>
    </row>
    <row r="135">
      <c r="A135" s="26"/>
      <c r="B135" s="26"/>
      <c r="C135" s="26"/>
      <c r="D135" s="27">
        <v>134.0</v>
      </c>
      <c r="E135" s="26">
        <v>10472.0</v>
      </c>
      <c r="F135" s="27">
        <v>161.0</v>
      </c>
      <c r="G135" s="27">
        <v>0.0</v>
      </c>
    </row>
    <row r="136">
      <c r="A136" s="26"/>
      <c r="B136" s="26"/>
      <c r="C136" s="26"/>
      <c r="D136" s="27">
        <v>135.0</v>
      </c>
      <c r="E136" s="26">
        <v>10603.0</v>
      </c>
      <c r="F136" s="27">
        <v>161.0</v>
      </c>
      <c r="G136" s="27">
        <v>0.0</v>
      </c>
    </row>
    <row r="137">
      <c r="A137" s="26"/>
      <c r="B137" s="26"/>
      <c r="C137" s="26"/>
      <c r="D137" s="27">
        <v>136.0</v>
      </c>
      <c r="E137" s="26">
        <v>10734.0</v>
      </c>
      <c r="F137" s="27">
        <v>162.0</v>
      </c>
      <c r="G137" s="27">
        <v>1.0</v>
      </c>
    </row>
    <row r="138">
      <c r="A138" s="26"/>
      <c r="B138" s="26"/>
      <c r="C138" s="26"/>
      <c r="D138" s="27">
        <v>137.0</v>
      </c>
      <c r="E138" s="26">
        <v>10865.0</v>
      </c>
      <c r="F138" s="27">
        <v>162.0</v>
      </c>
      <c r="G138" s="27">
        <v>0.0</v>
      </c>
    </row>
    <row r="139">
      <c r="A139" s="26"/>
      <c r="B139" s="26"/>
      <c r="C139" s="26"/>
      <c r="D139" s="27">
        <v>138.0</v>
      </c>
      <c r="E139" s="26">
        <v>10997.0</v>
      </c>
      <c r="F139" s="27">
        <v>162.0</v>
      </c>
      <c r="G139" s="27">
        <v>0.0</v>
      </c>
    </row>
    <row r="140">
      <c r="A140" s="26"/>
      <c r="B140" s="26"/>
      <c r="C140" s="26"/>
      <c r="D140" s="27">
        <v>139.0</v>
      </c>
      <c r="E140" s="26">
        <v>11129.0</v>
      </c>
      <c r="F140" s="27">
        <v>163.0</v>
      </c>
      <c r="G140" s="27">
        <v>1.0</v>
      </c>
    </row>
    <row r="141">
      <c r="A141" s="26"/>
      <c r="B141" s="26"/>
      <c r="C141" s="26"/>
      <c r="D141" s="27">
        <v>140.0</v>
      </c>
      <c r="E141" s="26">
        <v>11261.0</v>
      </c>
      <c r="F141" s="27">
        <v>163.0</v>
      </c>
      <c r="G141" s="27">
        <v>0.0</v>
      </c>
    </row>
    <row r="142">
      <c r="A142" s="26"/>
      <c r="B142" s="26"/>
      <c r="C142" s="26"/>
      <c r="D142" s="27">
        <v>141.0</v>
      </c>
      <c r="E142" s="26">
        <v>11394.0</v>
      </c>
      <c r="F142" s="27">
        <v>163.0</v>
      </c>
      <c r="G142" s="27">
        <v>0.0</v>
      </c>
    </row>
    <row r="143">
      <c r="A143" s="26"/>
      <c r="B143" s="26"/>
      <c r="C143" s="26"/>
      <c r="D143" s="27">
        <v>142.0</v>
      </c>
      <c r="E143" s="26">
        <v>11527.0</v>
      </c>
      <c r="F143" s="27">
        <v>164.0</v>
      </c>
      <c r="G143" s="27">
        <v>1.0</v>
      </c>
    </row>
    <row r="144">
      <c r="A144" s="26"/>
      <c r="B144" s="26"/>
      <c r="C144" s="26"/>
      <c r="D144" s="27">
        <v>143.0</v>
      </c>
      <c r="E144" s="26">
        <v>11660.0</v>
      </c>
      <c r="F144" s="27">
        <v>164.0</v>
      </c>
      <c r="G144" s="27">
        <v>0.0</v>
      </c>
    </row>
    <row r="145">
      <c r="A145" s="26"/>
      <c r="B145" s="26"/>
      <c r="C145" s="26"/>
      <c r="D145" s="27">
        <v>144.0</v>
      </c>
      <c r="E145" s="26">
        <v>11794.0</v>
      </c>
      <c r="F145" s="27">
        <v>164.0</v>
      </c>
      <c r="G145" s="27">
        <v>0.0</v>
      </c>
    </row>
    <row r="146">
      <c r="A146" s="26"/>
      <c r="B146" s="26"/>
      <c r="C146" s="26"/>
      <c r="D146" s="27">
        <v>145.0</v>
      </c>
      <c r="E146" s="26">
        <v>11928.0</v>
      </c>
      <c r="F146" s="27">
        <v>165.0</v>
      </c>
      <c r="G146" s="27">
        <v>1.0</v>
      </c>
    </row>
    <row r="147">
      <c r="A147" s="26"/>
      <c r="B147" s="26"/>
      <c r="C147" s="26"/>
      <c r="D147" s="27">
        <v>146.0</v>
      </c>
      <c r="E147" s="26">
        <v>12062.0</v>
      </c>
      <c r="F147" s="27">
        <v>165.0</v>
      </c>
      <c r="G147" s="27">
        <v>0.0</v>
      </c>
    </row>
    <row r="148">
      <c r="A148" s="26"/>
      <c r="B148" s="26"/>
      <c r="C148" s="26"/>
      <c r="D148" s="27">
        <v>147.0</v>
      </c>
      <c r="E148" s="26">
        <v>12197.0</v>
      </c>
      <c r="F148" s="27">
        <v>165.0</v>
      </c>
      <c r="G148" s="27">
        <v>0.0</v>
      </c>
    </row>
    <row r="149">
      <c r="A149" s="26"/>
      <c r="B149" s="26"/>
      <c r="C149" s="26"/>
      <c r="D149" s="27">
        <v>148.0</v>
      </c>
      <c r="E149" s="26">
        <v>12332.0</v>
      </c>
      <c r="F149" s="27">
        <v>166.0</v>
      </c>
      <c r="G149" s="27">
        <v>1.0</v>
      </c>
    </row>
    <row r="150">
      <c r="A150" s="26"/>
      <c r="B150" s="26"/>
      <c r="C150" s="26"/>
      <c r="D150" s="27">
        <v>149.0</v>
      </c>
      <c r="E150" s="26">
        <v>12467.0</v>
      </c>
      <c r="F150" s="27">
        <v>166.0</v>
      </c>
      <c r="G150" s="27">
        <v>0.0</v>
      </c>
    </row>
    <row r="151">
      <c r="A151" s="26"/>
      <c r="B151" s="26"/>
      <c r="C151" s="26"/>
      <c r="D151" s="27">
        <v>150.0</v>
      </c>
      <c r="E151" s="26">
        <v>12603.0</v>
      </c>
      <c r="F151" s="27">
        <v>166.0</v>
      </c>
      <c r="G151" s="27">
        <v>0.0</v>
      </c>
    </row>
    <row r="152">
      <c r="A152" s="26"/>
      <c r="B152" s="26"/>
      <c r="C152" s="26"/>
      <c r="D152" s="27">
        <v>151.0</v>
      </c>
      <c r="E152" s="26">
        <v>12739.0</v>
      </c>
      <c r="F152" s="27">
        <v>167.0</v>
      </c>
      <c r="G152" s="27">
        <v>1.0</v>
      </c>
    </row>
    <row r="153">
      <c r="A153" s="26"/>
      <c r="B153" s="26"/>
      <c r="C153" s="26"/>
      <c r="D153" s="27">
        <v>152.0</v>
      </c>
      <c r="E153" s="26">
        <v>12875.0</v>
      </c>
      <c r="F153" s="27">
        <v>167.0</v>
      </c>
      <c r="G153" s="27">
        <v>0.0</v>
      </c>
    </row>
    <row r="154">
      <c r="A154" s="26"/>
      <c r="B154" s="26"/>
      <c r="C154" s="26"/>
      <c r="D154" s="27">
        <v>153.0</v>
      </c>
      <c r="E154" s="26">
        <v>13012.0</v>
      </c>
      <c r="F154" s="27">
        <v>167.0</v>
      </c>
      <c r="G154" s="27">
        <v>0.0</v>
      </c>
    </row>
    <row r="155">
      <c r="A155" s="26"/>
      <c r="B155" s="26"/>
      <c r="C155" s="26"/>
      <c r="D155" s="27">
        <v>154.0</v>
      </c>
      <c r="E155" s="26">
        <v>13149.0</v>
      </c>
      <c r="F155" s="27">
        <v>168.0</v>
      </c>
      <c r="G155" s="27">
        <v>1.0</v>
      </c>
    </row>
    <row r="156">
      <c r="A156" s="26"/>
      <c r="B156" s="26"/>
      <c r="C156" s="26"/>
      <c r="D156" s="27">
        <v>155.0</v>
      </c>
      <c r="E156" s="26">
        <v>13286.0</v>
      </c>
      <c r="F156" s="27">
        <v>168.0</v>
      </c>
      <c r="G156" s="27">
        <v>0.0</v>
      </c>
    </row>
    <row r="157">
      <c r="A157" s="26"/>
      <c r="B157" s="26"/>
      <c r="C157" s="26"/>
      <c r="D157" s="27">
        <v>156.0</v>
      </c>
      <c r="E157" s="26">
        <v>13424.0</v>
      </c>
      <c r="F157" s="27">
        <v>168.0</v>
      </c>
      <c r="G157" s="27">
        <v>0.0</v>
      </c>
    </row>
    <row r="158">
      <c r="A158" s="26"/>
      <c r="B158" s="26"/>
      <c r="C158" s="26"/>
      <c r="D158" s="27">
        <v>157.0</v>
      </c>
      <c r="E158" s="26">
        <v>13562.0</v>
      </c>
      <c r="F158" s="27">
        <v>169.0</v>
      </c>
      <c r="G158" s="27">
        <v>1.0</v>
      </c>
    </row>
    <row r="159">
      <c r="A159" s="26"/>
      <c r="B159" s="26"/>
      <c r="C159" s="26"/>
      <c r="D159" s="27">
        <v>158.0</v>
      </c>
      <c r="E159" s="26">
        <v>13700.0</v>
      </c>
      <c r="F159" s="27">
        <v>169.0</v>
      </c>
      <c r="G159" s="27">
        <v>0.0</v>
      </c>
    </row>
    <row r="160">
      <c r="A160" s="26"/>
      <c r="B160" s="26"/>
      <c r="C160" s="26"/>
      <c r="D160" s="27">
        <v>159.0</v>
      </c>
      <c r="E160" s="26">
        <v>13839.0</v>
      </c>
      <c r="F160" s="27">
        <v>169.0</v>
      </c>
      <c r="G160" s="27">
        <v>0.0</v>
      </c>
    </row>
    <row r="161">
      <c r="A161" s="26"/>
      <c r="B161" s="26"/>
      <c r="C161" s="26"/>
      <c r="D161" s="27">
        <v>160.0</v>
      </c>
      <c r="E161" s="26">
        <v>13978.0</v>
      </c>
      <c r="F161" s="27">
        <v>170.0</v>
      </c>
      <c r="G161" s="27">
        <v>1.0</v>
      </c>
    </row>
    <row r="162">
      <c r="A162" s="26"/>
      <c r="B162" s="26"/>
      <c r="C162" s="26"/>
      <c r="D162" s="27">
        <v>161.0</v>
      </c>
      <c r="E162" s="26">
        <v>14117.0</v>
      </c>
      <c r="F162" s="27">
        <v>170.0</v>
      </c>
      <c r="G162" s="27">
        <v>0.0</v>
      </c>
    </row>
    <row r="163">
      <c r="A163" s="26"/>
      <c r="B163" s="26"/>
      <c r="C163" s="26"/>
      <c r="D163" s="27">
        <v>162.0</v>
      </c>
      <c r="E163" s="26">
        <v>14257.0</v>
      </c>
      <c r="F163" s="27">
        <v>170.0</v>
      </c>
      <c r="G163" s="27">
        <v>0.0</v>
      </c>
    </row>
    <row r="164">
      <c r="A164" s="26"/>
      <c r="B164" s="26"/>
      <c r="C164" s="26"/>
      <c r="D164" s="27">
        <v>163.0</v>
      </c>
      <c r="E164" s="26">
        <v>14397.0</v>
      </c>
      <c r="F164" s="27">
        <v>171.0</v>
      </c>
      <c r="G164" s="27">
        <v>1.0</v>
      </c>
    </row>
    <row r="165">
      <c r="A165" s="26"/>
      <c r="B165" s="26"/>
      <c r="C165" s="26"/>
      <c r="D165" s="27">
        <v>164.0</v>
      </c>
      <c r="E165" s="26">
        <v>14537.0</v>
      </c>
      <c r="F165" s="27">
        <v>171.0</v>
      </c>
      <c r="G165" s="27">
        <v>0.0</v>
      </c>
    </row>
    <row r="166">
      <c r="A166" s="26"/>
      <c r="B166" s="26"/>
      <c r="C166" s="26"/>
      <c r="D166" s="27">
        <v>165.0</v>
      </c>
      <c r="E166" s="26">
        <v>14678.0</v>
      </c>
      <c r="F166" s="27">
        <v>171.0</v>
      </c>
      <c r="G166" s="27">
        <v>0.0</v>
      </c>
    </row>
    <row r="167">
      <c r="A167" s="26"/>
      <c r="B167" s="26"/>
      <c r="C167" s="26"/>
      <c r="D167" s="27">
        <v>166.0</v>
      </c>
      <c r="E167" s="26">
        <v>14819.0</v>
      </c>
      <c r="F167" s="27">
        <v>172.0</v>
      </c>
      <c r="G167" s="27">
        <v>1.0</v>
      </c>
    </row>
    <row r="168">
      <c r="A168" s="26"/>
      <c r="B168" s="26"/>
      <c r="C168" s="26"/>
      <c r="D168" s="27">
        <v>167.0</v>
      </c>
      <c r="E168" s="26">
        <v>14960.0</v>
      </c>
      <c r="F168" s="27">
        <v>172.0</v>
      </c>
      <c r="G168" s="27">
        <v>0.0</v>
      </c>
    </row>
    <row r="169">
      <c r="A169" s="26"/>
      <c r="B169" s="26"/>
      <c r="C169" s="26"/>
      <c r="D169" s="27">
        <v>168.0</v>
      </c>
      <c r="E169" s="26">
        <v>15102.0</v>
      </c>
      <c r="F169" s="27">
        <v>172.0</v>
      </c>
      <c r="G169" s="27">
        <v>0.0</v>
      </c>
    </row>
    <row r="170">
      <c r="A170" s="26"/>
      <c r="B170" s="26"/>
      <c r="C170" s="26"/>
      <c r="D170" s="27">
        <v>169.0</v>
      </c>
      <c r="E170" s="26">
        <v>15244.0</v>
      </c>
      <c r="F170" s="27">
        <v>173.0</v>
      </c>
      <c r="G170" s="27">
        <v>1.0</v>
      </c>
    </row>
    <row r="171">
      <c r="A171" s="26"/>
      <c r="B171" s="26"/>
      <c r="C171" s="26"/>
      <c r="D171" s="27">
        <v>170.0</v>
      </c>
      <c r="E171" s="26">
        <v>15386.0</v>
      </c>
      <c r="F171" s="27">
        <v>173.0</v>
      </c>
      <c r="G171" s="27">
        <v>0.0</v>
      </c>
    </row>
    <row r="172">
      <c r="A172" s="26"/>
      <c r="B172" s="26"/>
      <c r="C172" s="26"/>
      <c r="D172" s="27">
        <v>171.0</v>
      </c>
      <c r="E172" s="26">
        <v>15529.0</v>
      </c>
      <c r="F172" s="27">
        <v>173.0</v>
      </c>
      <c r="G172" s="27">
        <v>0.0</v>
      </c>
    </row>
    <row r="173">
      <c r="A173" s="26"/>
      <c r="B173" s="26"/>
      <c r="C173" s="26"/>
      <c r="D173" s="27">
        <v>172.0</v>
      </c>
      <c r="E173" s="26">
        <v>15672.0</v>
      </c>
      <c r="F173" s="27">
        <v>174.0</v>
      </c>
      <c r="G173" s="27">
        <v>1.0</v>
      </c>
    </row>
    <row r="174">
      <c r="A174" s="26"/>
      <c r="B174" s="26"/>
      <c r="C174" s="26"/>
      <c r="D174" s="27">
        <v>173.0</v>
      </c>
      <c r="E174" s="26">
        <v>15815.0</v>
      </c>
      <c r="F174" s="27">
        <v>174.0</v>
      </c>
      <c r="G174" s="27">
        <v>0.0</v>
      </c>
    </row>
    <row r="175">
      <c r="A175" s="26"/>
      <c r="B175" s="26"/>
      <c r="C175" s="26"/>
      <c r="D175" s="27">
        <v>174.0</v>
      </c>
      <c r="E175" s="26">
        <v>15959.0</v>
      </c>
      <c r="F175" s="27">
        <v>174.0</v>
      </c>
      <c r="G175" s="27">
        <v>0.0</v>
      </c>
    </row>
    <row r="176">
      <c r="A176" s="26"/>
      <c r="B176" s="26"/>
      <c r="C176" s="26"/>
      <c r="D176" s="27">
        <v>175.0</v>
      </c>
      <c r="E176" s="26">
        <v>16103.0</v>
      </c>
      <c r="F176" s="27">
        <v>175.0</v>
      </c>
      <c r="G176" s="27">
        <v>1.0</v>
      </c>
    </row>
    <row r="177">
      <c r="A177" s="26"/>
      <c r="B177" s="26"/>
      <c r="C177" s="26"/>
      <c r="D177" s="27">
        <v>176.0</v>
      </c>
      <c r="E177" s="26">
        <v>16247.0</v>
      </c>
      <c r="F177" s="27">
        <v>175.0</v>
      </c>
      <c r="G177" s="27">
        <v>0.0</v>
      </c>
    </row>
    <row r="178">
      <c r="A178" s="26"/>
      <c r="B178" s="26"/>
      <c r="C178" s="26"/>
      <c r="D178" s="27">
        <v>177.0</v>
      </c>
      <c r="E178" s="26">
        <v>16392.0</v>
      </c>
      <c r="F178" s="27">
        <v>175.0</v>
      </c>
      <c r="G178" s="27">
        <v>0.0</v>
      </c>
    </row>
    <row r="179">
      <c r="A179" s="26"/>
      <c r="B179" s="26"/>
      <c r="C179" s="26"/>
      <c r="D179" s="27">
        <v>178.0</v>
      </c>
      <c r="E179" s="26">
        <v>16537.0</v>
      </c>
      <c r="F179" s="27">
        <v>176.0</v>
      </c>
      <c r="G179" s="27">
        <v>1.0</v>
      </c>
    </row>
    <row r="180">
      <c r="A180" s="26"/>
      <c r="B180" s="26"/>
      <c r="C180" s="26"/>
      <c r="D180" s="27">
        <v>179.0</v>
      </c>
      <c r="E180" s="26">
        <v>16682.0</v>
      </c>
      <c r="F180" s="27">
        <v>176.0</v>
      </c>
      <c r="G180" s="27">
        <v>0.0</v>
      </c>
    </row>
    <row r="181">
      <c r="A181" s="26"/>
      <c r="B181" s="26"/>
      <c r="C181" s="26"/>
      <c r="D181" s="27">
        <v>180.0</v>
      </c>
      <c r="E181" s="26">
        <v>16828.0</v>
      </c>
      <c r="F181" s="27">
        <v>176.0</v>
      </c>
      <c r="G181" s="27">
        <v>0.0</v>
      </c>
    </row>
    <row r="182">
      <c r="A182" s="26"/>
      <c r="B182" s="26"/>
      <c r="C182" s="26"/>
      <c r="D182" s="27">
        <v>181.0</v>
      </c>
      <c r="E182" s="26">
        <v>16974.0</v>
      </c>
      <c r="F182" s="27">
        <v>177.0</v>
      </c>
      <c r="G182" s="27">
        <v>1.0</v>
      </c>
    </row>
    <row r="183">
      <c r="A183" s="26"/>
      <c r="B183" s="26"/>
      <c r="C183" s="26"/>
      <c r="D183" s="27">
        <v>182.0</v>
      </c>
      <c r="E183" s="26">
        <v>17120.0</v>
      </c>
      <c r="F183" s="27">
        <v>177.0</v>
      </c>
      <c r="G183" s="27">
        <v>0.0</v>
      </c>
    </row>
    <row r="184">
      <c r="A184" s="26"/>
      <c r="B184" s="26"/>
      <c r="C184" s="26"/>
      <c r="D184" s="27">
        <v>183.0</v>
      </c>
      <c r="E184" s="26">
        <v>17267.0</v>
      </c>
      <c r="F184" s="27">
        <v>177.0</v>
      </c>
      <c r="G184" s="27">
        <v>0.0</v>
      </c>
    </row>
    <row r="185">
      <c r="A185" s="26"/>
      <c r="B185" s="26"/>
      <c r="C185" s="26"/>
      <c r="D185" s="27">
        <v>184.0</v>
      </c>
      <c r="E185" s="26">
        <v>17414.0</v>
      </c>
      <c r="F185" s="27">
        <v>178.0</v>
      </c>
      <c r="G185" s="27">
        <v>1.0</v>
      </c>
    </row>
    <row r="186">
      <c r="A186" s="26"/>
      <c r="B186" s="26"/>
      <c r="C186" s="26"/>
      <c r="D186" s="27">
        <v>185.0</v>
      </c>
      <c r="E186" s="26">
        <v>17561.0</v>
      </c>
      <c r="F186" s="27">
        <v>178.0</v>
      </c>
      <c r="G186" s="27">
        <v>0.0</v>
      </c>
    </row>
    <row r="187">
      <c r="A187" s="26"/>
      <c r="B187" s="26"/>
      <c r="C187" s="26"/>
      <c r="D187" s="27">
        <v>186.0</v>
      </c>
      <c r="E187" s="26">
        <v>17709.0</v>
      </c>
      <c r="F187" s="27">
        <v>178.0</v>
      </c>
      <c r="G187" s="27">
        <v>0.0</v>
      </c>
    </row>
    <row r="188">
      <c r="A188" s="26"/>
      <c r="B188" s="26"/>
      <c r="C188" s="26"/>
      <c r="D188" s="27">
        <v>187.0</v>
      </c>
      <c r="E188" s="26">
        <v>17857.0</v>
      </c>
      <c r="F188" s="27">
        <v>179.0</v>
      </c>
      <c r="G188" s="27">
        <v>1.0</v>
      </c>
    </row>
    <row r="189">
      <c r="A189" s="26"/>
      <c r="B189" s="26"/>
      <c r="C189" s="26"/>
      <c r="D189" s="27">
        <v>188.0</v>
      </c>
      <c r="E189" s="26">
        <v>18005.0</v>
      </c>
      <c r="F189" s="27">
        <v>179.0</v>
      </c>
      <c r="G189" s="27">
        <v>0.0</v>
      </c>
    </row>
    <row r="190">
      <c r="A190" s="26"/>
      <c r="B190" s="26"/>
      <c r="C190" s="26"/>
      <c r="D190" s="27">
        <v>189.0</v>
      </c>
      <c r="E190" s="26">
        <v>18154.0</v>
      </c>
      <c r="F190" s="27">
        <v>179.0</v>
      </c>
      <c r="G190" s="27">
        <v>0.0</v>
      </c>
    </row>
    <row r="191">
      <c r="A191" s="26"/>
      <c r="B191" s="26"/>
      <c r="C191" s="26"/>
      <c r="D191" s="27">
        <v>190.0</v>
      </c>
      <c r="E191" s="26">
        <v>18303.0</v>
      </c>
      <c r="F191" s="27">
        <v>180.0</v>
      </c>
      <c r="G191" s="27">
        <v>1.0</v>
      </c>
    </row>
    <row r="192">
      <c r="A192" s="26"/>
      <c r="B192" s="26"/>
      <c r="C192" s="26"/>
      <c r="D192" s="27">
        <v>191.0</v>
      </c>
      <c r="E192" s="26">
        <v>18452.0</v>
      </c>
      <c r="F192" s="27">
        <v>180.0</v>
      </c>
      <c r="G192" s="27">
        <v>0.0</v>
      </c>
    </row>
    <row r="193">
      <c r="A193" s="26"/>
      <c r="B193" s="26"/>
      <c r="C193" s="26"/>
      <c r="D193" s="27">
        <v>192.0</v>
      </c>
      <c r="E193" s="26">
        <v>18602.0</v>
      </c>
      <c r="F193" s="27">
        <v>180.0</v>
      </c>
      <c r="G193" s="27">
        <v>0.0</v>
      </c>
    </row>
    <row r="194">
      <c r="A194" s="26"/>
      <c r="B194" s="26"/>
      <c r="C194" s="26"/>
      <c r="D194" s="27">
        <v>193.0</v>
      </c>
      <c r="E194" s="26">
        <v>18752.0</v>
      </c>
      <c r="F194" s="27">
        <v>181.0</v>
      </c>
      <c r="G194" s="27">
        <v>1.0</v>
      </c>
    </row>
    <row r="195">
      <c r="A195" s="26"/>
      <c r="B195" s="26"/>
      <c r="C195" s="26"/>
      <c r="D195" s="27">
        <v>194.0</v>
      </c>
      <c r="E195" s="26">
        <v>18902.0</v>
      </c>
      <c r="F195" s="27">
        <v>181.0</v>
      </c>
      <c r="G195" s="27">
        <v>0.0</v>
      </c>
    </row>
    <row r="196">
      <c r="A196" s="26"/>
      <c r="B196" s="26"/>
      <c r="C196" s="26"/>
      <c r="D196" s="27">
        <v>195.0</v>
      </c>
      <c r="E196" s="26">
        <v>19053.0</v>
      </c>
      <c r="F196" s="27">
        <v>181.0</v>
      </c>
      <c r="G196" s="27">
        <v>0.0</v>
      </c>
    </row>
    <row r="197">
      <c r="A197" s="26"/>
      <c r="B197" s="26"/>
      <c r="C197" s="26"/>
      <c r="D197" s="27">
        <v>196.0</v>
      </c>
      <c r="E197" s="26">
        <v>19204.0</v>
      </c>
      <c r="F197" s="27">
        <v>182.0</v>
      </c>
      <c r="G197" s="27">
        <v>1.0</v>
      </c>
    </row>
    <row r="198">
      <c r="A198" s="26"/>
      <c r="B198" s="26"/>
      <c r="C198" s="26"/>
      <c r="D198" s="27">
        <v>197.0</v>
      </c>
      <c r="E198" s="26">
        <v>19355.0</v>
      </c>
      <c r="F198" s="27">
        <v>182.0</v>
      </c>
      <c r="G198" s="27">
        <v>0.0</v>
      </c>
    </row>
    <row r="199">
      <c r="A199" s="26"/>
      <c r="B199" s="26"/>
      <c r="C199" s="26"/>
      <c r="D199" s="27">
        <v>198.0</v>
      </c>
      <c r="E199" s="26">
        <v>19507.0</v>
      </c>
      <c r="F199" s="27">
        <v>182.0</v>
      </c>
      <c r="G199" s="27">
        <v>0.0</v>
      </c>
    </row>
    <row r="200">
      <c r="A200" s="26"/>
      <c r="B200" s="26"/>
      <c r="C200" s="26"/>
      <c r="D200" s="27">
        <v>199.0</v>
      </c>
      <c r="E200" s="26">
        <v>19659.0</v>
      </c>
      <c r="F200" s="27">
        <v>183.0</v>
      </c>
      <c r="G200" s="27">
        <v>1.0</v>
      </c>
    </row>
    <row r="201">
      <c r="A201" s="26"/>
      <c r="B201" s="26"/>
      <c r="C201" s="26"/>
      <c r="D201" s="27">
        <v>200.0</v>
      </c>
      <c r="E201" s="26">
        <v>19811.0</v>
      </c>
      <c r="F201" s="27">
        <v>183.0</v>
      </c>
      <c r="G201" s="27">
        <v>0.0</v>
      </c>
    </row>
    <row r="202">
      <c r="A202" s="26"/>
      <c r="B202" s="26"/>
      <c r="C202" s="26"/>
      <c r="D202" s="27">
        <v>201.0</v>
      </c>
      <c r="E202" s="26">
        <v>19964.0</v>
      </c>
      <c r="F202" s="27">
        <v>183.0</v>
      </c>
      <c r="G202" s="27">
        <v>0.0</v>
      </c>
    </row>
    <row r="203">
      <c r="A203" s="26"/>
      <c r="B203" s="26"/>
      <c r="C203" s="26"/>
      <c r="D203" s="27">
        <v>202.0</v>
      </c>
      <c r="E203" s="26">
        <v>20117.0</v>
      </c>
      <c r="F203" s="27">
        <v>184.0</v>
      </c>
      <c r="G203" s="27">
        <v>1.0</v>
      </c>
    </row>
    <row r="204">
      <c r="A204" s="26"/>
      <c r="B204" s="26"/>
      <c r="C204" s="26"/>
      <c r="D204" s="27">
        <v>203.0</v>
      </c>
      <c r="E204" s="26">
        <v>20270.0</v>
      </c>
      <c r="F204" s="27">
        <v>184.0</v>
      </c>
      <c r="G204" s="27">
        <v>0.0</v>
      </c>
    </row>
    <row r="205">
      <c r="A205" s="26"/>
      <c r="B205" s="26"/>
      <c r="C205" s="26"/>
      <c r="D205" s="27">
        <v>204.0</v>
      </c>
      <c r="E205" s="26">
        <v>20424.0</v>
      </c>
      <c r="F205" s="27">
        <v>184.0</v>
      </c>
      <c r="G205" s="27">
        <v>0.0</v>
      </c>
    </row>
    <row r="206">
      <c r="A206" s="26"/>
      <c r="B206" s="26"/>
      <c r="C206" s="26"/>
      <c r="D206" s="27">
        <v>205.0</v>
      </c>
      <c r="E206" s="26">
        <v>20578.0</v>
      </c>
      <c r="F206" s="27">
        <v>185.0</v>
      </c>
      <c r="G206" s="27">
        <v>1.0</v>
      </c>
    </row>
    <row r="207">
      <c r="A207" s="26"/>
      <c r="B207" s="26"/>
      <c r="C207" s="26"/>
      <c r="D207" s="27">
        <v>206.0</v>
      </c>
      <c r="E207" s="26">
        <v>20732.0</v>
      </c>
      <c r="F207" s="27">
        <v>185.0</v>
      </c>
      <c r="G207" s="27">
        <v>0.0</v>
      </c>
    </row>
    <row r="208">
      <c r="A208" s="26"/>
      <c r="B208" s="26"/>
      <c r="C208" s="26"/>
      <c r="D208" s="27">
        <v>207.0</v>
      </c>
      <c r="E208" s="26">
        <v>20887.0</v>
      </c>
      <c r="F208" s="27">
        <v>185.0</v>
      </c>
      <c r="G208" s="27">
        <v>0.0</v>
      </c>
    </row>
    <row r="209">
      <c r="A209" s="26"/>
      <c r="B209" s="26"/>
      <c r="C209" s="26"/>
      <c r="D209" s="27">
        <v>208.0</v>
      </c>
      <c r="E209" s="26">
        <v>21042.0</v>
      </c>
      <c r="F209" s="27">
        <v>186.0</v>
      </c>
      <c r="G209" s="27">
        <v>1.0</v>
      </c>
    </row>
    <row r="210">
      <c r="A210" s="26"/>
      <c r="B210" s="26"/>
      <c r="C210" s="26"/>
      <c r="D210" s="27">
        <v>209.0</v>
      </c>
      <c r="E210" s="26">
        <v>21197.0</v>
      </c>
      <c r="F210" s="27">
        <v>186.0</v>
      </c>
      <c r="G210" s="27">
        <v>0.0</v>
      </c>
    </row>
    <row r="211">
      <c r="A211" s="26"/>
      <c r="B211" s="26"/>
      <c r="C211" s="26"/>
      <c r="D211" s="27">
        <v>210.0</v>
      </c>
      <c r="E211" s="26">
        <v>21353.0</v>
      </c>
      <c r="F211" s="27">
        <v>186.0</v>
      </c>
      <c r="G211" s="27">
        <v>0.0</v>
      </c>
    </row>
    <row r="212">
      <c r="A212" s="26"/>
      <c r="B212" s="26"/>
      <c r="C212" s="26"/>
      <c r="D212" s="27">
        <v>211.0</v>
      </c>
      <c r="E212" s="26">
        <v>21509.0</v>
      </c>
      <c r="F212" s="27">
        <v>187.0</v>
      </c>
      <c r="G212" s="27">
        <v>1.0</v>
      </c>
    </row>
    <row r="213">
      <c r="A213" s="26"/>
      <c r="B213" s="26"/>
      <c r="C213" s="26"/>
      <c r="D213" s="27">
        <v>212.0</v>
      </c>
      <c r="E213" s="26">
        <v>21665.0</v>
      </c>
      <c r="F213" s="27">
        <v>187.0</v>
      </c>
      <c r="G213" s="27">
        <v>0.0</v>
      </c>
    </row>
    <row r="214">
      <c r="A214" s="26"/>
      <c r="B214" s="26"/>
      <c r="C214" s="26"/>
      <c r="D214" s="27">
        <v>213.0</v>
      </c>
      <c r="E214" s="26">
        <v>21822.0</v>
      </c>
      <c r="F214" s="27">
        <v>187.0</v>
      </c>
      <c r="G214" s="27">
        <v>0.0</v>
      </c>
    </row>
    <row r="215">
      <c r="A215" s="26"/>
      <c r="B215" s="26"/>
      <c r="C215" s="26"/>
      <c r="D215" s="27">
        <v>214.0</v>
      </c>
      <c r="E215" s="26">
        <v>21979.0</v>
      </c>
      <c r="F215" s="27">
        <v>188.0</v>
      </c>
      <c r="G215" s="27">
        <v>1.0</v>
      </c>
    </row>
    <row r="216">
      <c r="A216" s="26"/>
      <c r="B216" s="26"/>
      <c r="C216" s="26"/>
      <c r="D216" s="27">
        <v>215.0</v>
      </c>
      <c r="E216" s="26">
        <v>22136.0</v>
      </c>
      <c r="F216" s="27">
        <v>188.0</v>
      </c>
      <c r="G216" s="27">
        <v>0.0</v>
      </c>
    </row>
    <row r="217">
      <c r="A217" s="26"/>
      <c r="B217" s="26"/>
      <c r="C217" s="26"/>
      <c r="D217" s="27">
        <v>216.0</v>
      </c>
      <c r="E217" s="26">
        <v>22294.0</v>
      </c>
      <c r="F217" s="27">
        <v>188.0</v>
      </c>
      <c r="G217" s="27">
        <v>0.0</v>
      </c>
    </row>
    <row r="218">
      <c r="A218" s="26"/>
      <c r="B218" s="26"/>
      <c r="C218" s="26"/>
      <c r="D218" s="27">
        <v>217.0</v>
      </c>
      <c r="E218" s="26">
        <v>22452.0</v>
      </c>
      <c r="F218" s="27">
        <v>189.0</v>
      </c>
      <c r="G218" s="27">
        <v>1.0</v>
      </c>
    </row>
    <row r="219">
      <c r="A219" s="26"/>
      <c r="B219" s="26"/>
      <c r="C219" s="26"/>
      <c r="D219" s="27">
        <v>218.0</v>
      </c>
      <c r="E219" s="26">
        <v>22610.0</v>
      </c>
      <c r="F219" s="27">
        <v>189.0</v>
      </c>
      <c r="G219" s="27">
        <v>0.0</v>
      </c>
    </row>
    <row r="220">
      <c r="A220" s="26"/>
      <c r="B220" s="26"/>
      <c r="C220" s="26"/>
      <c r="D220" s="27">
        <v>219.0</v>
      </c>
      <c r="E220" s="26">
        <v>22769.0</v>
      </c>
      <c r="F220" s="27">
        <v>189.0</v>
      </c>
      <c r="G220" s="27">
        <v>0.0</v>
      </c>
    </row>
    <row r="221">
      <c r="A221" s="26"/>
      <c r="B221" s="26"/>
      <c r="C221" s="26"/>
      <c r="D221" s="27">
        <v>220.0</v>
      </c>
      <c r="E221" s="26">
        <v>22928.0</v>
      </c>
      <c r="F221" s="27">
        <v>190.0</v>
      </c>
      <c r="G221" s="27">
        <v>1.0</v>
      </c>
    </row>
    <row r="222">
      <c r="A222" s="26"/>
      <c r="B222" s="26"/>
      <c r="C222" s="26"/>
      <c r="D222" s="27">
        <v>221.0</v>
      </c>
      <c r="E222" s="26">
        <v>23087.0</v>
      </c>
      <c r="F222" s="27">
        <v>190.0</v>
      </c>
      <c r="G222" s="27">
        <v>0.0</v>
      </c>
    </row>
    <row r="223">
      <c r="A223" s="26"/>
      <c r="B223" s="26"/>
      <c r="C223" s="26"/>
      <c r="D223" s="27">
        <v>222.0</v>
      </c>
      <c r="E223" s="26">
        <v>23247.0</v>
      </c>
      <c r="F223" s="27">
        <v>190.0</v>
      </c>
      <c r="G223" s="27">
        <v>0.0</v>
      </c>
    </row>
    <row r="224">
      <c r="A224" s="26"/>
      <c r="B224" s="26"/>
      <c r="C224" s="26"/>
      <c r="D224" s="27">
        <v>223.0</v>
      </c>
      <c r="E224" s="26">
        <v>23407.0</v>
      </c>
      <c r="F224" s="27">
        <v>191.0</v>
      </c>
      <c r="G224" s="27">
        <v>1.0</v>
      </c>
    </row>
    <row r="225">
      <c r="A225" s="26"/>
      <c r="B225" s="26"/>
      <c r="C225" s="26"/>
      <c r="D225" s="27">
        <v>224.0</v>
      </c>
      <c r="E225" s="26">
        <v>23567.0</v>
      </c>
      <c r="F225" s="27">
        <v>191.0</v>
      </c>
      <c r="G225" s="27">
        <v>0.0</v>
      </c>
    </row>
    <row r="226">
      <c r="A226" s="26"/>
      <c r="B226" s="26"/>
      <c r="C226" s="26"/>
      <c r="D226" s="27">
        <v>225.0</v>
      </c>
      <c r="E226" s="26">
        <v>23728.0</v>
      </c>
      <c r="F226" s="27">
        <v>191.0</v>
      </c>
      <c r="G226" s="27">
        <v>0.0</v>
      </c>
    </row>
    <row r="227">
      <c r="A227" s="26"/>
      <c r="B227" s="26"/>
      <c r="C227" s="26"/>
      <c r="D227" s="27">
        <v>226.0</v>
      </c>
      <c r="E227" s="26">
        <v>23889.0</v>
      </c>
      <c r="F227" s="27">
        <v>192.0</v>
      </c>
      <c r="G227" s="27">
        <v>1.0</v>
      </c>
    </row>
    <row r="228">
      <c r="A228" s="26"/>
      <c r="B228" s="26"/>
      <c r="C228" s="26"/>
      <c r="D228" s="27">
        <v>227.0</v>
      </c>
      <c r="E228" s="26">
        <v>24050.0</v>
      </c>
      <c r="F228" s="27">
        <v>192.0</v>
      </c>
      <c r="G228" s="27">
        <v>0.0</v>
      </c>
    </row>
    <row r="229">
      <c r="A229" s="26"/>
      <c r="B229" s="26"/>
      <c r="C229" s="26"/>
      <c r="D229" s="27">
        <v>228.0</v>
      </c>
      <c r="E229" s="26">
        <v>24212.0</v>
      </c>
      <c r="F229" s="27">
        <v>192.0</v>
      </c>
      <c r="G229" s="27">
        <v>0.0</v>
      </c>
    </row>
    <row r="230">
      <c r="A230" s="26"/>
      <c r="B230" s="26"/>
      <c r="C230" s="26"/>
      <c r="D230" s="27">
        <v>229.0</v>
      </c>
      <c r="E230" s="26">
        <v>24374.0</v>
      </c>
      <c r="F230" s="27">
        <v>193.0</v>
      </c>
      <c r="G230" s="27">
        <v>1.0</v>
      </c>
    </row>
    <row r="231">
      <c r="A231" s="26"/>
      <c r="B231" s="26"/>
      <c r="C231" s="26"/>
      <c r="D231" s="27">
        <v>230.0</v>
      </c>
      <c r="E231" s="26">
        <v>24536.0</v>
      </c>
      <c r="F231" s="27">
        <v>193.0</v>
      </c>
      <c r="G231" s="27">
        <v>0.0</v>
      </c>
    </row>
    <row r="232">
      <c r="A232" s="26"/>
      <c r="B232" s="26"/>
      <c r="C232" s="26"/>
      <c r="D232" s="27">
        <v>231.0</v>
      </c>
      <c r="E232" s="26">
        <v>24699.0</v>
      </c>
      <c r="F232" s="27">
        <v>193.0</v>
      </c>
      <c r="G232" s="27">
        <v>0.0</v>
      </c>
    </row>
    <row r="233">
      <c r="A233" s="26"/>
      <c r="B233" s="26"/>
      <c r="C233" s="26"/>
      <c r="D233" s="27">
        <v>232.0</v>
      </c>
      <c r="E233" s="26">
        <v>24862.0</v>
      </c>
      <c r="F233" s="27">
        <v>194.0</v>
      </c>
      <c r="G233" s="27">
        <v>1.0</v>
      </c>
    </row>
    <row r="234">
      <c r="A234" s="26"/>
      <c r="B234" s="26"/>
      <c r="C234" s="26"/>
      <c r="D234" s="27">
        <v>233.0</v>
      </c>
      <c r="E234" s="26">
        <v>25025.0</v>
      </c>
      <c r="F234" s="27">
        <v>194.0</v>
      </c>
      <c r="G234" s="27">
        <v>0.0</v>
      </c>
    </row>
    <row r="235">
      <c r="A235" s="26"/>
      <c r="B235" s="26"/>
      <c r="C235" s="26"/>
      <c r="D235" s="27">
        <v>234.0</v>
      </c>
      <c r="E235" s="26">
        <v>25189.0</v>
      </c>
      <c r="F235" s="27">
        <v>194.0</v>
      </c>
      <c r="G235" s="27">
        <v>0.0</v>
      </c>
    </row>
    <row r="236">
      <c r="A236" s="26"/>
      <c r="B236" s="26"/>
      <c r="C236" s="26"/>
      <c r="D236" s="27">
        <v>235.0</v>
      </c>
      <c r="E236" s="26">
        <v>25353.0</v>
      </c>
      <c r="F236" s="27">
        <v>195.0</v>
      </c>
      <c r="G236" s="27">
        <v>1.0</v>
      </c>
    </row>
    <row r="237">
      <c r="A237" s="26"/>
      <c r="B237" s="26"/>
      <c r="C237" s="26"/>
      <c r="D237" s="27">
        <v>236.0</v>
      </c>
      <c r="E237" s="26">
        <v>25517.0</v>
      </c>
      <c r="F237" s="27">
        <v>195.0</v>
      </c>
      <c r="G237" s="27">
        <v>0.0</v>
      </c>
    </row>
    <row r="238">
      <c r="A238" s="26"/>
      <c r="B238" s="26"/>
      <c r="C238" s="26"/>
      <c r="D238" s="27">
        <v>237.0</v>
      </c>
      <c r="E238" s="26">
        <v>25682.0</v>
      </c>
      <c r="F238" s="27">
        <v>195.0</v>
      </c>
      <c r="G238" s="27">
        <v>0.0</v>
      </c>
    </row>
    <row r="239">
      <c r="A239" s="26"/>
      <c r="B239" s="26"/>
      <c r="C239" s="26"/>
      <c r="D239" s="27">
        <v>238.0</v>
      </c>
      <c r="E239" s="26">
        <v>25847.0</v>
      </c>
      <c r="F239" s="27">
        <v>196.0</v>
      </c>
      <c r="G239" s="27">
        <v>1.0</v>
      </c>
    </row>
    <row r="240">
      <c r="A240" s="26"/>
      <c r="B240" s="26"/>
      <c r="C240" s="26"/>
      <c r="D240" s="27">
        <v>239.0</v>
      </c>
      <c r="E240" s="26">
        <v>26012.0</v>
      </c>
      <c r="F240" s="27">
        <v>196.0</v>
      </c>
      <c r="G240" s="27">
        <v>0.0</v>
      </c>
    </row>
    <row r="241">
      <c r="A241" s="26"/>
      <c r="B241" s="26"/>
      <c r="C241" s="26"/>
      <c r="D241" s="27">
        <v>240.0</v>
      </c>
      <c r="E241" s="26">
        <v>26178.0</v>
      </c>
      <c r="F241" s="27">
        <v>196.0</v>
      </c>
      <c r="G241" s="27">
        <v>0.0</v>
      </c>
    </row>
    <row r="242">
      <c r="A242" s="26"/>
      <c r="B242" s="26"/>
      <c r="C242" s="26"/>
      <c r="D242" s="27">
        <v>241.0</v>
      </c>
      <c r="E242" s="26">
        <v>26344.0</v>
      </c>
      <c r="F242" s="27">
        <v>197.0</v>
      </c>
      <c r="G242" s="27">
        <v>1.0</v>
      </c>
    </row>
    <row r="243">
      <c r="A243" s="26"/>
      <c r="B243" s="26"/>
      <c r="C243" s="26"/>
      <c r="D243" s="27">
        <v>242.0</v>
      </c>
      <c r="E243" s="26">
        <v>26510.0</v>
      </c>
      <c r="F243" s="27">
        <v>197.0</v>
      </c>
      <c r="G243" s="27">
        <v>0.0</v>
      </c>
    </row>
    <row r="244">
      <c r="A244" s="26"/>
      <c r="B244" s="26"/>
      <c r="C244" s="26"/>
      <c r="D244" s="27">
        <v>243.0</v>
      </c>
      <c r="E244" s="26">
        <v>26677.0</v>
      </c>
      <c r="F244" s="27">
        <v>197.0</v>
      </c>
      <c r="G244" s="27">
        <v>0.0</v>
      </c>
    </row>
    <row r="245">
      <c r="A245" s="26"/>
      <c r="B245" s="26"/>
      <c r="C245" s="26"/>
      <c r="D245" s="27">
        <v>244.0</v>
      </c>
      <c r="E245" s="26">
        <v>26844.0</v>
      </c>
      <c r="F245" s="27">
        <v>198.0</v>
      </c>
      <c r="G245" s="27">
        <v>1.0</v>
      </c>
    </row>
    <row r="246">
      <c r="A246" s="26"/>
      <c r="B246" s="26"/>
      <c r="C246" s="26"/>
      <c r="D246" s="27">
        <v>245.0</v>
      </c>
      <c r="E246" s="26">
        <v>27011.0</v>
      </c>
      <c r="F246" s="27">
        <v>198.0</v>
      </c>
      <c r="G246" s="27">
        <v>0.0</v>
      </c>
    </row>
    <row r="247">
      <c r="A247" s="26"/>
      <c r="B247" s="26"/>
      <c r="C247" s="26"/>
      <c r="D247" s="27">
        <v>246.0</v>
      </c>
      <c r="E247" s="26">
        <v>27179.0</v>
      </c>
      <c r="F247" s="27">
        <v>198.0</v>
      </c>
      <c r="G247" s="27">
        <v>0.0</v>
      </c>
    </row>
    <row r="248">
      <c r="A248" s="26"/>
      <c r="B248" s="26"/>
      <c r="C248" s="26"/>
      <c r="D248" s="27">
        <v>247.0</v>
      </c>
      <c r="E248" s="26">
        <v>27347.0</v>
      </c>
      <c r="F248" s="27">
        <v>199.0</v>
      </c>
      <c r="G248" s="27">
        <v>1.0</v>
      </c>
    </row>
    <row r="249">
      <c r="A249" s="26"/>
      <c r="B249" s="26"/>
      <c r="C249" s="26"/>
      <c r="D249" s="27">
        <v>248.0</v>
      </c>
      <c r="E249" s="26">
        <v>27515.0</v>
      </c>
      <c r="F249" s="27">
        <v>199.0</v>
      </c>
      <c r="G249" s="27">
        <v>0.0</v>
      </c>
    </row>
    <row r="250">
      <c r="A250" s="26"/>
      <c r="B250" s="26"/>
      <c r="C250" s="26"/>
      <c r="D250" s="27">
        <v>249.0</v>
      </c>
      <c r="E250" s="26">
        <v>27684.0</v>
      </c>
      <c r="F250" s="27">
        <v>199.0</v>
      </c>
      <c r="G250" s="27">
        <v>0.0</v>
      </c>
    </row>
    <row r="251">
      <c r="A251" s="26"/>
      <c r="B251" s="26"/>
      <c r="C251" s="26"/>
      <c r="D251" s="27">
        <v>250.0</v>
      </c>
      <c r="E251" s="26">
        <v>27853.0</v>
      </c>
      <c r="F251" s="27">
        <v>200.0</v>
      </c>
      <c r="G251" s="27">
        <v>1.0</v>
      </c>
    </row>
    <row r="252">
      <c r="A252" s="26"/>
      <c r="B252" s="26"/>
      <c r="C252" s="26"/>
      <c r="D252" s="27">
        <v>251.0</v>
      </c>
      <c r="E252" s="26">
        <v>28022.0</v>
      </c>
      <c r="F252" s="27">
        <v>200.0</v>
      </c>
      <c r="G252" s="27">
        <v>0.0</v>
      </c>
    </row>
    <row r="253">
      <c r="A253" s="26"/>
      <c r="B253" s="26"/>
      <c r="C253" s="26"/>
      <c r="D253" s="27">
        <v>252.0</v>
      </c>
      <c r="E253" s="26">
        <v>28192.0</v>
      </c>
      <c r="F253" s="27">
        <v>200.0</v>
      </c>
      <c r="G253" s="27">
        <v>0.0</v>
      </c>
    </row>
    <row r="254">
      <c r="A254" s="26"/>
      <c r="B254" s="26"/>
      <c r="C254" s="26"/>
      <c r="D254" s="27">
        <v>253.0</v>
      </c>
      <c r="E254" s="26">
        <v>28362.0</v>
      </c>
      <c r="F254" s="27">
        <v>201.0</v>
      </c>
      <c r="G254" s="27">
        <v>1.0</v>
      </c>
    </row>
    <row r="255">
      <c r="A255" s="26"/>
      <c r="B255" s="26"/>
      <c r="C255" s="26"/>
      <c r="D255" s="27">
        <v>254.0</v>
      </c>
      <c r="E255" s="26">
        <v>28532.0</v>
      </c>
      <c r="F255" s="27">
        <v>201.0</v>
      </c>
      <c r="G255" s="27">
        <v>0.0</v>
      </c>
    </row>
    <row r="256">
      <c r="A256" s="26"/>
      <c r="B256" s="26"/>
      <c r="C256" s="26"/>
      <c r="D256" s="27">
        <v>255.0</v>
      </c>
      <c r="E256" s="26">
        <v>28703.0</v>
      </c>
      <c r="F256" s="27">
        <v>201.0</v>
      </c>
      <c r="G256" s="27">
        <v>0.0</v>
      </c>
    </row>
    <row r="257">
      <c r="A257" s="26"/>
      <c r="B257" s="26"/>
      <c r="C257" s="26"/>
      <c r="D257" s="27">
        <v>256.0</v>
      </c>
      <c r="E257" s="26">
        <v>28874.0</v>
      </c>
      <c r="F257" s="27">
        <v>202.0</v>
      </c>
      <c r="G257" s="27">
        <v>1.0</v>
      </c>
    </row>
    <row r="258">
      <c r="A258" s="26"/>
      <c r="B258" s="26"/>
      <c r="C258" s="26"/>
      <c r="D258" s="27">
        <v>257.0</v>
      </c>
      <c r="E258" s="26">
        <v>29045.0</v>
      </c>
      <c r="F258" s="27">
        <v>202.0</v>
      </c>
      <c r="G258" s="27">
        <v>0.0</v>
      </c>
    </row>
    <row r="259">
      <c r="A259" s="26"/>
      <c r="B259" s="26"/>
      <c r="C259" s="26"/>
      <c r="D259" s="27">
        <v>258.0</v>
      </c>
      <c r="E259" s="26">
        <v>29217.0</v>
      </c>
      <c r="F259" s="27">
        <v>202.0</v>
      </c>
      <c r="G259" s="27">
        <v>0.0</v>
      </c>
    </row>
    <row r="260">
      <c r="A260" s="26"/>
      <c r="B260" s="26"/>
      <c r="C260" s="26"/>
      <c r="D260" s="27">
        <v>259.0</v>
      </c>
      <c r="E260" s="26">
        <v>29389.0</v>
      </c>
      <c r="F260" s="27">
        <v>203.0</v>
      </c>
      <c r="G260" s="27">
        <v>1.0</v>
      </c>
    </row>
    <row r="261">
      <c r="A261" s="26"/>
      <c r="B261" s="26"/>
      <c r="C261" s="26"/>
      <c r="D261" s="27">
        <v>260.0</v>
      </c>
      <c r="E261" s="26">
        <v>29561.0</v>
      </c>
      <c r="F261" s="27">
        <v>203.0</v>
      </c>
      <c r="G261" s="27">
        <v>0.0</v>
      </c>
    </row>
    <row r="262">
      <c r="A262" s="26"/>
      <c r="B262" s="26"/>
      <c r="C262" s="26"/>
      <c r="D262" s="27">
        <v>261.0</v>
      </c>
      <c r="E262" s="26">
        <v>29734.0</v>
      </c>
      <c r="F262" s="27">
        <v>203.0</v>
      </c>
      <c r="G262" s="27">
        <v>0.0</v>
      </c>
    </row>
    <row r="263">
      <c r="A263" s="26"/>
      <c r="B263" s="26"/>
      <c r="C263" s="26"/>
      <c r="D263" s="27">
        <v>262.0</v>
      </c>
      <c r="E263" s="26">
        <v>29907.0</v>
      </c>
      <c r="F263" s="27">
        <v>204.0</v>
      </c>
      <c r="G263" s="27">
        <v>1.0</v>
      </c>
    </row>
    <row r="264">
      <c r="A264" s="26"/>
      <c r="B264" s="26"/>
      <c r="C264" s="26"/>
      <c r="D264" s="27">
        <v>263.0</v>
      </c>
      <c r="E264" s="26">
        <v>30080.0</v>
      </c>
      <c r="F264" s="27">
        <v>204.0</v>
      </c>
      <c r="G264" s="27">
        <v>0.0</v>
      </c>
    </row>
    <row r="265">
      <c r="A265" s="26"/>
      <c r="B265" s="26"/>
      <c r="C265" s="26"/>
      <c r="D265" s="27">
        <v>264.0</v>
      </c>
      <c r="E265" s="26">
        <v>30254.0</v>
      </c>
      <c r="F265" s="27">
        <v>204.0</v>
      </c>
      <c r="G265" s="27">
        <v>0.0</v>
      </c>
    </row>
    <row r="266">
      <c r="A266" s="26"/>
      <c r="B266" s="26"/>
      <c r="C266" s="26"/>
      <c r="D266" s="27">
        <v>265.0</v>
      </c>
      <c r="E266" s="26">
        <v>30428.0</v>
      </c>
      <c r="F266" s="27">
        <v>205.0</v>
      </c>
      <c r="G266" s="27">
        <v>1.0</v>
      </c>
    </row>
    <row r="267">
      <c r="A267" s="26"/>
      <c r="B267" s="26"/>
      <c r="C267" s="26"/>
      <c r="D267" s="27">
        <v>266.0</v>
      </c>
      <c r="E267" s="26">
        <v>30602.0</v>
      </c>
      <c r="F267" s="27">
        <v>205.0</v>
      </c>
      <c r="G267" s="27">
        <v>0.0</v>
      </c>
    </row>
    <row r="268">
      <c r="A268" s="26"/>
      <c r="B268" s="26"/>
      <c r="C268" s="26"/>
      <c r="D268" s="27">
        <v>267.0</v>
      </c>
      <c r="E268" s="26">
        <v>30777.0</v>
      </c>
      <c r="F268" s="27">
        <v>205.0</v>
      </c>
      <c r="G268" s="27">
        <v>0.0</v>
      </c>
    </row>
    <row r="269">
      <c r="A269" s="26"/>
      <c r="B269" s="26"/>
      <c r="C269" s="26"/>
      <c r="D269" s="27">
        <v>268.0</v>
      </c>
      <c r="E269" s="26">
        <v>30952.0</v>
      </c>
      <c r="F269" s="27">
        <v>206.0</v>
      </c>
      <c r="G269" s="27">
        <v>1.0</v>
      </c>
    </row>
    <row r="270">
      <c r="A270" s="26"/>
      <c r="B270" s="26"/>
      <c r="C270" s="26"/>
      <c r="D270" s="27">
        <v>269.0</v>
      </c>
      <c r="E270" s="26">
        <v>31127.0</v>
      </c>
      <c r="F270" s="27">
        <v>206.0</v>
      </c>
      <c r="G270" s="27">
        <v>0.0</v>
      </c>
    </row>
    <row r="271">
      <c r="A271" s="26"/>
      <c r="B271" s="26"/>
      <c r="C271" s="26"/>
      <c r="D271" s="27">
        <v>270.0</v>
      </c>
      <c r="E271" s="26">
        <v>31303.0</v>
      </c>
      <c r="F271" s="27">
        <v>206.0</v>
      </c>
      <c r="G271" s="27">
        <v>0.0</v>
      </c>
    </row>
    <row r="272">
      <c r="A272" s="26"/>
      <c r="B272" s="26"/>
      <c r="C272" s="26"/>
      <c r="D272" s="27">
        <v>271.0</v>
      </c>
      <c r="E272" s="26">
        <v>31479.0</v>
      </c>
      <c r="F272" s="27">
        <v>207.0</v>
      </c>
      <c r="G272" s="27">
        <v>1.0</v>
      </c>
    </row>
    <row r="273">
      <c r="A273" s="26"/>
      <c r="B273" s="26"/>
      <c r="C273" s="26"/>
      <c r="D273" s="27">
        <v>272.0</v>
      </c>
      <c r="E273" s="26">
        <v>31655.0</v>
      </c>
      <c r="F273" s="27">
        <v>207.0</v>
      </c>
      <c r="G273" s="27">
        <v>0.0</v>
      </c>
    </row>
    <row r="274">
      <c r="A274" s="26"/>
      <c r="B274" s="26"/>
      <c r="C274" s="26"/>
      <c r="D274" s="27">
        <v>273.0</v>
      </c>
      <c r="E274" s="26">
        <v>31832.0</v>
      </c>
      <c r="F274" s="27">
        <v>207.0</v>
      </c>
      <c r="G274" s="27">
        <v>0.0</v>
      </c>
    </row>
    <row r="275">
      <c r="A275" s="26"/>
      <c r="B275" s="26"/>
      <c r="C275" s="26"/>
      <c r="D275" s="27">
        <v>274.0</v>
      </c>
      <c r="E275" s="26">
        <v>32009.0</v>
      </c>
      <c r="F275" s="27">
        <v>208.0</v>
      </c>
      <c r="G275" s="27">
        <v>1.0</v>
      </c>
    </row>
    <row r="276">
      <c r="A276" s="26"/>
      <c r="B276" s="26"/>
      <c r="C276" s="26"/>
      <c r="D276" s="27">
        <v>275.0</v>
      </c>
      <c r="E276" s="26">
        <v>32186.0</v>
      </c>
      <c r="F276" s="27">
        <v>208.0</v>
      </c>
      <c r="G276" s="27">
        <v>0.0</v>
      </c>
    </row>
    <row r="277">
      <c r="A277" s="26"/>
      <c r="B277" s="26"/>
      <c r="C277" s="26"/>
      <c r="D277" s="27">
        <v>276.0</v>
      </c>
      <c r="E277" s="26">
        <v>32364.0</v>
      </c>
      <c r="F277" s="27">
        <v>208.0</v>
      </c>
      <c r="G277" s="27">
        <v>0.0</v>
      </c>
    </row>
    <row r="278">
      <c r="A278" s="26"/>
      <c r="B278" s="26"/>
      <c r="C278" s="26"/>
      <c r="D278" s="27">
        <v>277.0</v>
      </c>
      <c r="E278" s="26">
        <v>32542.0</v>
      </c>
      <c r="F278" s="27">
        <v>209.0</v>
      </c>
      <c r="G278" s="27">
        <v>1.0</v>
      </c>
    </row>
    <row r="279">
      <c r="A279" s="26"/>
      <c r="B279" s="26"/>
      <c r="C279" s="26"/>
      <c r="D279" s="27">
        <v>278.0</v>
      </c>
      <c r="E279" s="26">
        <v>32720.0</v>
      </c>
      <c r="F279" s="27">
        <v>209.0</v>
      </c>
      <c r="G279" s="27">
        <v>0.0</v>
      </c>
    </row>
    <row r="280">
      <c r="A280" s="26"/>
      <c r="B280" s="26"/>
      <c r="C280" s="26"/>
      <c r="D280" s="27">
        <v>279.0</v>
      </c>
      <c r="E280" s="26">
        <v>32899.0</v>
      </c>
      <c r="F280" s="27">
        <v>209.0</v>
      </c>
      <c r="G280" s="27">
        <v>0.0</v>
      </c>
    </row>
    <row r="281">
      <c r="A281" s="26"/>
      <c r="B281" s="26"/>
      <c r="C281" s="26"/>
      <c r="D281" s="27">
        <v>280.0</v>
      </c>
      <c r="E281" s="26">
        <v>33078.0</v>
      </c>
      <c r="F281" s="27">
        <v>210.0</v>
      </c>
      <c r="G281" s="27">
        <v>1.0</v>
      </c>
    </row>
    <row r="282">
      <c r="A282" s="26"/>
      <c r="B282" s="26"/>
      <c r="C282" s="26"/>
      <c r="D282" s="27">
        <v>281.0</v>
      </c>
      <c r="E282" s="26">
        <v>33257.0</v>
      </c>
      <c r="F282" s="27">
        <v>210.0</v>
      </c>
      <c r="G282" s="27">
        <v>0.0</v>
      </c>
    </row>
    <row r="283">
      <c r="A283" s="26"/>
      <c r="B283" s="26"/>
      <c r="C283" s="26"/>
      <c r="D283" s="27">
        <v>282.0</v>
      </c>
      <c r="E283" s="26">
        <v>33437.0</v>
      </c>
      <c r="F283" s="27">
        <v>210.0</v>
      </c>
      <c r="G283" s="27">
        <v>0.0</v>
      </c>
    </row>
    <row r="284">
      <c r="A284" s="26"/>
      <c r="B284" s="26"/>
      <c r="C284" s="26"/>
      <c r="D284" s="27">
        <v>283.0</v>
      </c>
      <c r="E284" s="26">
        <v>33617.0</v>
      </c>
      <c r="F284" s="27">
        <v>211.0</v>
      </c>
      <c r="G284" s="27">
        <v>1.0</v>
      </c>
    </row>
    <row r="285">
      <c r="A285" s="26"/>
      <c r="B285" s="26"/>
      <c r="C285" s="26"/>
      <c r="D285" s="27">
        <v>284.0</v>
      </c>
      <c r="E285" s="26">
        <v>33797.0</v>
      </c>
      <c r="F285" s="27">
        <v>211.0</v>
      </c>
      <c r="G285" s="27">
        <v>0.0</v>
      </c>
    </row>
    <row r="286">
      <c r="A286" s="26"/>
      <c r="B286" s="26"/>
      <c r="C286" s="26"/>
      <c r="D286" s="27">
        <v>285.0</v>
      </c>
      <c r="E286" s="26">
        <v>33978.0</v>
      </c>
      <c r="F286" s="27">
        <v>211.0</v>
      </c>
      <c r="G286" s="27">
        <v>0.0</v>
      </c>
    </row>
    <row r="287">
      <c r="A287" s="26"/>
      <c r="B287" s="26"/>
      <c r="C287" s="26"/>
      <c r="D287" s="27">
        <v>286.0</v>
      </c>
      <c r="E287" s="26">
        <v>34159.0</v>
      </c>
      <c r="F287" s="27">
        <v>212.0</v>
      </c>
      <c r="G287" s="27">
        <v>1.0</v>
      </c>
    </row>
    <row r="288">
      <c r="A288" s="26"/>
      <c r="B288" s="26"/>
      <c r="C288" s="26"/>
      <c r="D288" s="27">
        <v>287.0</v>
      </c>
      <c r="E288" s="26">
        <v>34340.0</v>
      </c>
      <c r="F288" s="27">
        <v>212.0</v>
      </c>
      <c r="G288" s="27">
        <v>0.0</v>
      </c>
    </row>
    <row r="289">
      <c r="A289" s="26"/>
      <c r="B289" s="26"/>
      <c r="C289" s="26"/>
      <c r="D289" s="27">
        <v>288.0</v>
      </c>
      <c r="E289" s="26">
        <v>34522.0</v>
      </c>
      <c r="F289" s="27">
        <v>212.0</v>
      </c>
      <c r="G289" s="27">
        <v>0.0</v>
      </c>
    </row>
    <row r="290">
      <c r="A290" s="26"/>
      <c r="B290" s="26"/>
      <c r="C290" s="26"/>
      <c r="D290" s="27">
        <v>289.0</v>
      </c>
      <c r="E290" s="26">
        <v>34704.0</v>
      </c>
      <c r="F290" s="27">
        <v>213.0</v>
      </c>
      <c r="G290" s="27">
        <v>1.0</v>
      </c>
    </row>
    <row r="291">
      <c r="A291" s="26"/>
      <c r="B291" s="26"/>
      <c r="C291" s="26"/>
      <c r="D291" s="27">
        <v>290.0</v>
      </c>
      <c r="E291" s="26">
        <v>34886.0</v>
      </c>
      <c r="F291" s="27">
        <v>213.0</v>
      </c>
      <c r="G291" s="27">
        <v>0.0</v>
      </c>
    </row>
    <row r="292">
      <c r="A292" s="26"/>
      <c r="B292" s="26"/>
      <c r="C292" s="26"/>
      <c r="D292" s="27">
        <v>291.0</v>
      </c>
      <c r="E292" s="26">
        <v>35069.0</v>
      </c>
      <c r="F292" s="27">
        <v>213.0</v>
      </c>
      <c r="G292" s="27">
        <v>0.0</v>
      </c>
    </row>
    <row r="293">
      <c r="A293" s="26"/>
      <c r="B293" s="26"/>
      <c r="C293" s="26"/>
      <c r="D293" s="27">
        <v>292.0</v>
      </c>
      <c r="E293" s="26">
        <v>35252.0</v>
      </c>
      <c r="F293" s="27">
        <v>214.0</v>
      </c>
      <c r="G293" s="27">
        <v>1.0</v>
      </c>
    </row>
    <row r="294">
      <c r="A294" s="26"/>
      <c r="B294" s="26"/>
      <c r="C294" s="26"/>
      <c r="D294" s="27">
        <v>293.0</v>
      </c>
      <c r="E294" s="26">
        <v>35435.0</v>
      </c>
      <c r="F294" s="27">
        <v>214.0</v>
      </c>
      <c r="G294" s="27">
        <v>0.0</v>
      </c>
    </row>
    <row r="295">
      <c r="A295" s="26"/>
      <c r="B295" s="26"/>
      <c r="C295" s="26"/>
      <c r="D295" s="27">
        <v>294.0</v>
      </c>
      <c r="E295" s="26">
        <v>35619.0</v>
      </c>
      <c r="F295" s="27">
        <v>214.0</v>
      </c>
      <c r="G295" s="27">
        <v>0.0</v>
      </c>
    </row>
    <row r="296">
      <c r="A296" s="26"/>
      <c r="B296" s="26"/>
      <c r="C296" s="26"/>
      <c r="D296" s="27">
        <v>295.0</v>
      </c>
      <c r="E296" s="26">
        <v>35803.0</v>
      </c>
      <c r="F296" s="27">
        <v>215.0</v>
      </c>
      <c r="G296" s="27">
        <v>1.0</v>
      </c>
    </row>
    <row r="297">
      <c r="A297" s="26"/>
      <c r="B297" s="26"/>
      <c r="C297" s="26"/>
      <c r="D297" s="27">
        <v>296.0</v>
      </c>
      <c r="E297" s="26">
        <v>35987.0</v>
      </c>
      <c r="F297" s="27">
        <v>215.0</v>
      </c>
      <c r="G297" s="27">
        <v>0.0</v>
      </c>
    </row>
    <row r="298">
      <c r="A298" s="26"/>
      <c r="B298" s="26"/>
      <c r="C298" s="26"/>
      <c r="D298" s="27">
        <v>297.0</v>
      </c>
      <c r="E298" s="26">
        <v>36172.0</v>
      </c>
      <c r="F298" s="27">
        <v>215.0</v>
      </c>
      <c r="G298" s="27">
        <v>0.0</v>
      </c>
    </row>
    <row r="299">
      <c r="A299" s="26"/>
      <c r="B299" s="26"/>
      <c r="C299" s="26"/>
      <c r="D299" s="27">
        <v>298.0</v>
      </c>
      <c r="E299" s="26">
        <v>36357.0</v>
      </c>
      <c r="F299" s="27">
        <v>216.0</v>
      </c>
      <c r="G299" s="27">
        <v>1.0</v>
      </c>
    </row>
    <row r="300">
      <c r="A300" s="26"/>
      <c r="B300" s="26"/>
      <c r="C300" s="27"/>
      <c r="D300" s="27">
        <v>299.0</v>
      </c>
      <c r="E300" s="26">
        <v>36542.0</v>
      </c>
      <c r="F300" s="27">
        <v>216.0</v>
      </c>
      <c r="G300" s="27">
        <v>0.0</v>
      </c>
    </row>
    <row r="301">
      <c r="A301" s="27"/>
      <c r="B301" s="27"/>
      <c r="C301" s="27"/>
      <c r="D301" s="27">
        <v>300.0</v>
      </c>
      <c r="E301" s="26">
        <v>36728.0</v>
      </c>
      <c r="F301" s="27">
        <v>216.0</v>
      </c>
      <c r="G301" s="27">
        <v>0.0</v>
      </c>
    </row>
    <row r="302">
      <c r="A302" s="27"/>
      <c r="B302" s="27"/>
      <c r="C302" s="27"/>
      <c r="D302" s="27">
        <v>301.0</v>
      </c>
      <c r="E302" s="26">
        <v>36914.0</v>
      </c>
      <c r="F302" s="27">
        <v>217.0</v>
      </c>
      <c r="G302" s="27">
        <v>1.0</v>
      </c>
    </row>
    <row r="303">
      <c r="A303" s="27"/>
      <c r="B303" s="27"/>
      <c r="C303" s="27"/>
      <c r="D303" s="27">
        <v>302.0</v>
      </c>
      <c r="E303" s="26">
        <v>37100.0</v>
      </c>
      <c r="F303" s="27">
        <v>217.0</v>
      </c>
      <c r="G303" s="27">
        <v>0.0</v>
      </c>
    </row>
    <row r="304">
      <c r="A304" s="27"/>
      <c r="B304" s="27"/>
      <c r="C304" s="27"/>
      <c r="D304" s="27">
        <v>303.0</v>
      </c>
      <c r="E304" s="26">
        <v>37287.0</v>
      </c>
      <c r="F304" s="27">
        <v>217.0</v>
      </c>
      <c r="G304" s="27">
        <v>0.0</v>
      </c>
    </row>
    <row r="305">
      <c r="A305" s="27"/>
      <c r="B305" s="27"/>
      <c r="C305" s="27"/>
      <c r="D305" s="27">
        <v>304.0</v>
      </c>
      <c r="E305" s="26">
        <v>37474.0</v>
      </c>
      <c r="F305" s="27">
        <v>218.0</v>
      </c>
      <c r="G305" s="27">
        <v>1.0</v>
      </c>
    </row>
    <row r="306">
      <c r="A306" s="27"/>
      <c r="B306" s="27"/>
      <c r="C306" s="27"/>
      <c r="D306" s="27">
        <v>305.0</v>
      </c>
      <c r="E306" s="26">
        <v>37661.0</v>
      </c>
      <c r="F306" s="27">
        <v>218.0</v>
      </c>
      <c r="G306" s="27">
        <v>0.0</v>
      </c>
    </row>
    <row r="307">
      <c r="A307" s="27"/>
      <c r="B307" s="27"/>
      <c r="C307" s="27"/>
      <c r="D307" s="27">
        <v>306.0</v>
      </c>
      <c r="E307" s="26">
        <v>37849.0</v>
      </c>
      <c r="F307" s="27">
        <v>218.0</v>
      </c>
      <c r="G307" s="27">
        <v>0.0</v>
      </c>
    </row>
    <row r="308">
      <c r="A308" s="27"/>
      <c r="B308" s="27"/>
      <c r="C308" s="27"/>
      <c r="D308" s="27">
        <v>307.0</v>
      </c>
      <c r="E308" s="26">
        <v>38037.0</v>
      </c>
      <c r="F308" s="27">
        <v>219.0</v>
      </c>
      <c r="G308" s="27">
        <v>1.0</v>
      </c>
    </row>
    <row r="309">
      <c r="A309" s="27"/>
      <c r="B309" s="27"/>
      <c r="C309" s="27"/>
      <c r="D309" s="27">
        <v>308.0</v>
      </c>
      <c r="E309" s="26">
        <v>38225.0</v>
      </c>
      <c r="F309" s="27">
        <v>219.0</v>
      </c>
      <c r="G309" s="27">
        <v>0.0</v>
      </c>
    </row>
    <row r="310">
      <c r="A310" s="27"/>
      <c r="B310" s="27"/>
      <c r="C310" s="27"/>
      <c r="D310" s="27">
        <v>309.0</v>
      </c>
      <c r="E310" s="26">
        <v>38414.0</v>
      </c>
      <c r="F310" s="27">
        <v>219.0</v>
      </c>
      <c r="G310" s="27">
        <v>0.0</v>
      </c>
    </row>
    <row r="311">
      <c r="A311" s="27"/>
      <c r="B311" s="27"/>
      <c r="C311" s="27"/>
      <c r="D311" s="27">
        <v>310.0</v>
      </c>
      <c r="E311" s="26">
        <v>38603.0</v>
      </c>
      <c r="F311" s="27">
        <v>220.0</v>
      </c>
      <c r="G311" s="27">
        <v>1.0</v>
      </c>
    </row>
    <row r="312">
      <c r="A312" s="27"/>
      <c r="B312" s="27"/>
      <c r="C312" s="27"/>
      <c r="D312" s="27">
        <v>311.0</v>
      </c>
      <c r="E312" s="26">
        <v>38792.0</v>
      </c>
      <c r="F312" s="27">
        <v>220.0</v>
      </c>
      <c r="G312" s="27">
        <v>0.0</v>
      </c>
    </row>
    <row r="313">
      <c r="A313" s="27"/>
      <c r="B313" s="27"/>
      <c r="C313" s="27"/>
      <c r="D313" s="27">
        <v>312.0</v>
      </c>
      <c r="E313" s="26">
        <v>38982.0</v>
      </c>
      <c r="F313" s="27">
        <v>220.0</v>
      </c>
      <c r="G313" s="27">
        <v>0.0</v>
      </c>
    </row>
    <row r="314">
      <c r="A314" s="27"/>
      <c r="B314" s="27"/>
      <c r="C314" s="27"/>
      <c r="D314" s="27">
        <v>313.0</v>
      </c>
      <c r="E314" s="26">
        <v>39172.0</v>
      </c>
      <c r="F314" s="27">
        <v>221.0</v>
      </c>
      <c r="G314" s="27">
        <v>1.0</v>
      </c>
    </row>
    <row r="315">
      <c r="A315" s="27"/>
      <c r="B315" s="27"/>
      <c r="C315" s="27"/>
      <c r="D315" s="27">
        <v>314.0</v>
      </c>
      <c r="E315" s="26">
        <v>39362.0</v>
      </c>
      <c r="F315" s="27">
        <v>221.0</v>
      </c>
      <c r="G315" s="27">
        <v>0.0</v>
      </c>
    </row>
    <row r="316">
      <c r="A316" s="27"/>
      <c r="B316" s="27"/>
      <c r="C316" s="27"/>
      <c r="D316" s="27">
        <v>315.0</v>
      </c>
      <c r="E316" s="26">
        <v>39553.0</v>
      </c>
      <c r="F316" s="27">
        <v>221.0</v>
      </c>
      <c r="G316" s="27">
        <v>0.0</v>
      </c>
    </row>
    <row r="317">
      <c r="A317" s="27"/>
      <c r="B317" s="27"/>
      <c r="C317" s="27"/>
      <c r="D317" s="27">
        <v>316.0</v>
      </c>
      <c r="E317" s="26">
        <v>39744.0</v>
      </c>
      <c r="F317" s="27">
        <v>222.0</v>
      </c>
      <c r="G317" s="27">
        <v>1.0</v>
      </c>
    </row>
    <row r="318">
      <c r="A318" s="27"/>
      <c r="B318" s="27"/>
      <c r="C318" s="27"/>
      <c r="D318" s="27">
        <v>317.0</v>
      </c>
      <c r="E318" s="26">
        <v>39935.0</v>
      </c>
      <c r="F318" s="27">
        <v>222.0</v>
      </c>
      <c r="G318" s="27">
        <v>0.0</v>
      </c>
    </row>
    <row r="319">
      <c r="A319" s="27"/>
      <c r="B319" s="27"/>
      <c r="C319" s="27"/>
      <c r="D319" s="27">
        <v>318.0</v>
      </c>
      <c r="E319" s="26">
        <v>40127.0</v>
      </c>
      <c r="F319" s="27">
        <v>222.0</v>
      </c>
      <c r="G319" s="27">
        <v>0.0</v>
      </c>
    </row>
    <row r="320">
      <c r="A320" s="27"/>
      <c r="B320" s="27"/>
      <c r="C320" s="27"/>
      <c r="D320" s="27">
        <v>319.0</v>
      </c>
      <c r="E320" s="26">
        <v>40319.0</v>
      </c>
      <c r="F320" s="27">
        <v>223.0</v>
      </c>
      <c r="G320" s="27">
        <v>1.0</v>
      </c>
    </row>
    <row r="321">
      <c r="A321" s="27"/>
      <c r="B321" s="27"/>
      <c r="C321" s="27"/>
      <c r="D321" s="27">
        <v>320.0</v>
      </c>
      <c r="E321" s="26">
        <v>40511.0</v>
      </c>
      <c r="F321" s="27">
        <v>223.0</v>
      </c>
      <c r="G321" s="27">
        <v>0.0</v>
      </c>
    </row>
    <row r="322">
      <c r="A322" s="27"/>
      <c r="B322" s="27"/>
      <c r="C322" s="27"/>
      <c r="D322" s="27">
        <v>321.0</v>
      </c>
      <c r="E322" s="26">
        <v>40704.0</v>
      </c>
      <c r="F322" s="27">
        <v>223.0</v>
      </c>
      <c r="G322" s="27">
        <v>0.0</v>
      </c>
    </row>
    <row r="323">
      <c r="A323" s="27"/>
      <c r="B323" s="27"/>
      <c r="C323" s="27"/>
      <c r="D323" s="27">
        <v>322.0</v>
      </c>
      <c r="E323" s="26">
        <v>40897.0</v>
      </c>
      <c r="F323" s="27">
        <v>224.0</v>
      </c>
      <c r="G323" s="27">
        <v>1.0</v>
      </c>
    </row>
    <row r="324">
      <c r="A324" s="27"/>
      <c r="B324" s="27"/>
      <c r="C324" s="27"/>
      <c r="D324" s="27">
        <v>323.0</v>
      </c>
      <c r="E324" s="26">
        <v>41090.0</v>
      </c>
      <c r="F324" s="27">
        <v>224.0</v>
      </c>
      <c r="G324" s="27">
        <v>0.0</v>
      </c>
    </row>
    <row r="325">
      <c r="A325" s="27"/>
      <c r="B325" s="27"/>
      <c r="C325" s="27"/>
      <c r="D325" s="27">
        <v>324.0</v>
      </c>
      <c r="E325" s="26">
        <v>41284.0</v>
      </c>
      <c r="F325" s="27">
        <v>224.0</v>
      </c>
      <c r="G325" s="27">
        <v>0.0</v>
      </c>
    </row>
    <row r="326">
      <c r="A326" s="27"/>
      <c r="B326" s="27"/>
      <c r="C326" s="27"/>
      <c r="D326" s="27">
        <v>325.0</v>
      </c>
      <c r="E326" s="26">
        <v>41478.0</v>
      </c>
      <c r="F326" s="27">
        <v>225.0</v>
      </c>
      <c r="G326" s="27">
        <v>1.0</v>
      </c>
    </row>
    <row r="327">
      <c r="A327" s="27"/>
      <c r="B327" s="27"/>
      <c r="C327" s="27"/>
      <c r="D327" s="27">
        <v>326.0</v>
      </c>
      <c r="E327" s="26">
        <v>41672.0</v>
      </c>
      <c r="F327" s="27">
        <v>225.0</v>
      </c>
      <c r="G327" s="27">
        <v>0.0</v>
      </c>
    </row>
    <row r="328">
      <c r="A328" s="27"/>
      <c r="B328" s="27"/>
      <c r="C328" s="27"/>
      <c r="D328" s="27">
        <v>327.0</v>
      </c>
      <c r="E328" s="26">
        <v>41867.0</v>
      </c>
      <c r="F328" s="27">
        <v>225.0</v>
      </c>
      <c r="G328" s="27">
        <v>0.0</v>
      </c>
    </row>
    <row r="329">
      <c r="A329" s="27"/>
      <c r="B329" s="27"/>
      <c r="C329" s="27"/>
      <c r="D329" s="27">
        <v>328.0</v>
      </c>
      <c r="E329" s="26">
        <v>42062.0</v>
      </c>
      <c r="F329" s="27">
        <v>226.0</v>
      </c>
      <c r="G329" s="27">
        <v>1.0</v>
      </c>
    </row>
    <row r="330">
      <c r="A330" s="27"/>
      <c r="B330" s="27"/>
      <c r="C330" s="27"/>
      <c r="D330" s="27">
        <v>329.0</v>
      </c>
      <c r="E330" s="26">
        <v>42257.0</v>
      </c>
      <c r="F330" s="27">
        <v>226.0</v>
      </c>
      <c r="G330" s="27">
        <v>0.0</v>
      </c>
    </row>
    <row r="331">
      <c r="A331" s="27"/>
      <c r="B331" s="27"/>
      <c r="C331" s="27"/>
      <c r="D331" s="27">
        <v>330.0</v>
      </c>
      <c r="E331" s="26">
        <v>42453.0</v>
      </c>
      <c r="F331" s="27">
        <v>226.0</v>
      </c>
      <c r="G331" s="27">
        <v>0.0</v>
      </c>
    </row>
    <row r="332">
      <c r="A332" s="27"/>
      <c r="B332" s="27"/>
      <c r="C332" s="27"/>
      <c r="D332" s="27">
        <v>331.0</v>
      </c>
      <c r="E332" s="26">
        <v>42649.0</v>
      </c>
      <c r="F332" s="27">
        <v>227.0</v>
      </c>
      <c r="G332" s="27">
        <v>1.0</v>
      </c>
    </row>
    <row r="333">
      <c r="A333" s="27"/>
      <c r="B333" s="27"/>
      <c r="C333" s="27"/>
      <c r="D333" s="27">
        <v>332.0</v>
      </c>
      <c r="E333" s="26">
        <v>42845.0</v>
      </c>
      <c r="F333" s="27">
        <v>227.0</v>
      </c>
      <c r="G333" s="27">
        <v>0.0</v>
      </c>
    </row>
    <row r="334">
      <c r="A334" s="27"/>
      <c r="B334" s="27"/>
      <c r="C334" s="27"/>
      <c r="D334" s="27">
        <v>333.0</v>
      </c>
      <c r="E334" s="26">
        <v>43042.0</v>
      </c>
      <c r="F334" s="27">
        <v>227.0</v>
      </c>
      <c r="G334" s="27">
        <v>0.0</v>
      </c>
    </row>
    <row r="335">
      <c r="A335" s="27"/>
      <c r="B335" s="27"/>
      <c r="C335" s="27"/>
      <c r="D335" s="27">
        <v>334.0</v>
      </c>
      <c r="E335" s="26">
        <v>43239.0</v>
      </c>
      <c r="F335" s="27">
        <v>228.0</v>
      </c>
      <c r="G335" s="27">
        <v>1.0</v>
      </c>
    </row>
    <row r="336">
      <c r="A336" s="27"/>
      <c r="B336" s="27"/>
      <c r="C336" s="27"/>
      <c r="D336" s="27">
        <v>335.0</v>
      </c>
      <c r="E336" s="26">
        <v>43436.0</v>
      </c>
      <c r="F336" s="27">
        <v>228.0</v>
      </c>
      <c r="G336" s="27">
        <v>0.0</v>
      </c>
    </row>
    <row r="337">
      <c r="A337" s="27"/>
      <c r="B337" s="27"/>
      <c r="C337" s="27"/>
      <c r="D337" s="27">
        <v>336.0</v>
      </c>
      <c r="E337" s="26">
        <v>43634.0</v>
      </c>
      <c r="F337" s="27">
        <v>228.0</v>
      </c>
      <c r="G337" s="27">
        <v>0.0</v>
      </c>
    </row>
    <row r="338">
      <c r="A338" s="27"/>
      <c r="B338" s="27"/>
      <c r="C338" s="27"/>
      <c r="D338" s="27">
        <v>337.0</v>
      </c>
      <c r="E338" s="26">
        <v>43832.0</v>
      </c>
      <c r="F338" s="27">
        <v>229.0</v>
      </c>
      <c r="G338" s="27">
        <v>1.0</v>
      </c>
    </row>
    <row r="339">
      <c r="A339" s="27"/>
      <c r="B339" s="27"/>
      <c r="C339" s="27"/>
      <c r="D339" s="27">
        <v>338.0</v>
      </c>
      <c r="E339" s="26">
        <v>44030.0</v>
      </c>
      <c r="F339" s="27">
        <v>229.0</v>
      </c>
      <c r="G339" s="27">
        <v>0.0</v>
      </c>
    </row>
    <row r="340">
      <c r="A340" s="27"/>
      <c r="B340" s="27"/>
      <c r="C340" s="27"/>
      <c r="D340" s="27">
        <v>339.0</v>
      </c>
      <c r="E340" s="26">
        <v>44229.0</v>
      </c>
      <c r="F340" s="27">
        <v>229.0</v>
      </c>
      <c r="G340" s="27">
        <v>0.0</v>
      </c>
    </row>
    <row r="341">
      <c r="A341" s="27"/>
      <c r="B341" s="27"/>
      <c r="C341" s="27"/>
      <c r="D341" s="27">
        <v>340.0</v>
      </c>
      <c r="E341" s="26">
        <v>44428.0</v>
      </c>
      <c r="F341" s="27">
        <v>230.0</v>
      </c>
      <c r="G341" s="27">
        <v>1.0</v>
      </c>
    </row>
    <row r="342">
      <c r="A342" s="27"/>
      <c r="B342" s="27"/>
      <c r="C342" s="27"/>
      <c r="D342" s="27">
        <v>341.0</v>
      </c>
      <c r="E342" s="26">
        <v>44627.0</v>
      </c>
      <c r="F342" s="27">
        <v>230.0</v>
      </c>
      <c r="G342" s="27">
        <v>0.0</v>
      </c>
    </row>
    <row r="343">
      <c r="A343" s="27"/>
      <c r="B343" s="27"/>
      <c r="C343" s="27"/>
      <c r="D343" s="27">
        <v>342.0</v>
      </c>
      <c r="E343" s="26">
        <v>44827.0</v>
      </c>
      <c r="F343" s="27">
        <v>230.0</v>
      </c>
      <c r="G343" s="27">
        <v>0.0</v>
      </c>
    </row>
    <row r="344">
      <c r="A344" s="27"/>
      <c r="B344" s="27"/>
      <c r="C344" s="27"/>
      <c r="D344" s="27">
        <v>343.0</v>
      </c>
      <c r="E344" s="26">
        <v>45027.0</v>
      </c>
      <c r="F344" s="27">
        <v>231.0</v>
      </c>
      <c r="G344" s="27">
        <v>1.0</v>
      </c>
    </row>
    <row r="345">
      <c r="A345" s="27"/>
      <c r="B345" s="27"/>
      <c r="C345" s="27"/>
      <c r="D345" s="27">
        <v>344.0</v>
      </c>
      <c r="E345" s="26">
        <v>45227.0</v>
      </c>
      <c r="F345" s="27">
        <v>231.0</v>
      </c>
      <c r="G345" s="27">
        <v>0.0</v>
      </c>
    </row>
    <row r="346">
      <c r="A346" s="27"/>
      <c r="B346" s="27"/>
      <c r="C346" s="27"/>
      <c r="D346" s="27">
        <v>345.0</v>
      </c>
      <c r="E346" s="26">
        <v>45428.0</v>
      </c>
      <c r="F346" s="27">
        <v>231.0</v>
      </c>
      <c r="G346" s="27">
        <v>0.0</v>
      </c>
    </row>
    <row r="347">
      <c r="A347" s="27"/>
      <c r="B347" s="27"/>
      <c r="C347" s="27"/>
      <c r="D347" s="27">
        <v>346.0</v>
      </c>
      <c r="E347" s="26">
        <v>45629.0</v>
      </c>
      <c r="F347" s="27">
        <v>232.0</v>
      </c>
      <c r="G347" s="27">
        <v>1.0</v>
      </c>
    </row>
    <row r="348">
      <c r="A348" s="27"/>
      <c r="B348" s="27"/>
      <c r="C348" s="27"/>
      <c r="D348" s="27">
        <v>347.0</v>
      </c>
      <c r="E348" s="26">
        <v>45830.0</v>
      </c>
      <c r="F348" s="27">
        <v>232.0</v>
      </c>
      <c r="G348" s="27">
        <v>0.0</v>
      </c>
    </row>
    <row r="349">
      <c r="A349" s="27"/>
      <c r="B349" s="27"/>
      <c r="C349" s="27"/>
      <c r="D349" s="27">
        <v>348.0</v>
      </c>
      <c r="E349" s="26">
        <v>46032.0</v>
      </c>
      <c r="F349" s="27">
        <v>232.0</v>
      </c>
      <c r="G349" s="27">
        <v>0.0</v>
      </c>
    </row>
    <row r="350">
      <c r="A350" s="27"/>
      <c r="B350" s="27"/>
      <c r="C350" s="27"/>
      <c r="D350" s="27">
        <v>349.0</v>
      </c>
      <c r="E350" s="26">
        <v>46234.0</v>
      </c>
      <c r="F350" s="27">
        <v>233.0</v>
      </c>
      <c r="G350" s="27">
        <v>1.0</v>
      </c>
    </row>
    <row r="351">
      <c r="A351" s="27"/>
      <c r="B351" s="27"/>
      <c r="C351" s="27"/>
      <c r="D351" s="27">
        <v>350.0</v>
      </c>
      <c r="E351" s="26">
        <v>46436.0</v>
      </c>
      <c r="F351" s="27">
        <v>233.0</v>
      </c>
      <c r="G351" s="27">
        <v>0.0</v>
      </c>
    </row>
    <row r="352">
      <c r="A352" s="27"/>
      <c r="B352" s="27"/>
      <c r="C352" s="27"/>
      <c r="D352" s="27">
        <v>351.0</v>
      </c>
      <c r="E352" s="26">
        <v>46639.0</v>
      </c>
      <c r="F352" s="27">
        <v>233.0</v>
      </c>
      <c r="G352" s="27">
        <v>0.0</v>
      </c>
    </row>
    <row r="353">
      <c r="A353" s="27"/>
      <c r="B353" s="27"/>
      <c r="C353" s="27"/>
      <c r="D353" s="27">
        <v>352.0</v>
      </c>
      <c r="E353" s="26">
        <v>46842.0</v>
      </c>
      <c r="F353" s="27">
        <v>234.0</v>
      </c>
      <c r="G353" s="27">
        <v>1.0</v>
      </c>
    </row>
    <row r="354">
      <c r="A354" s="27"/>
      <c r="B354" s="27"/>
      <c r="C354" s="27"/>
      <c r="D354" s="27">
        <v>353.0</v>
      </c>
      <c r="E354" s="26">
        <v>47045.0</v>
      </c>
      <c r="F354" s="27">
        <v>234.0</v>
      </c>
      <c r="G354" s="27">
        <v>0.0</v>
      </c>
    </row>
    <row r="355">
      <c r="A355" s="27"/>
      <c r="B355" s="27"/>
      <c r="C355" s="27"/>
      <c r="D355" s="27">
        <v>354.0</v>
      </c>
      <c r="E355" s="26">
        <v>47249.0</v>
      </c>
      <c r="F355" s="27">
        <v>234.0</v>
      </c>
      <c r="G355" s="27">
        <v>0.0</v>
      </c>
    </row>
    <row r="356">
      <c r="A356" s="27"/>
      <c r="B356" s="27"/>
      <c r="C356" s="27"/>
      <c r="D356" s="27">
        <v>355.0</v>
      </c>
      <c r="E356" s="26">
        <v>47453.0</v>
      </c>
      <c r="F356" s="27">
        <v>235.0</v>
      </c>
      <c r="G356" s="27">
        <v>1.0</v>
      </c>
    </row>
    <row r="357">
      <c r="A357" s="27"/>
      <c r="B357" s="27"/>
      <c r="C357" s="27"/>
      <c r="D357" s="27">
        <v>356.0</v>
      </c>
      <c r="E357" s="26">
        <v>47657.0</v>
      </c>
      <c r="F357" s="27">
        <v>235.0</v>
      </c>
      <c r="G357" s="27">
        <v>0.0</v>
      </c>
    </row>
    <row r="358">
      <c r="A358" s="27"/>
      <c r="B358" s="27"/>
      <c r="C358" s="27"/>
      <c r="D358" s="27">
        <v>357.0</v>
      </c>
      <c r="E358" s="26">
        <v>47862.0</v>
      </c>
      <c r="F358" s="27">
        <v>235.0</v>
      </c>
      <c r="G358" s="27">
        <v>0.0</v>
      </c>
    </row>
    <row r="359">
      <c r="A359" s="27"/>
      <c r="B359" s="27"/>
      <c r="C359" s="27"/>
      <c r="D359" s="27">
        <v>358.0</v>
      </c>
      <c r="E359" s="26">
        <v>48067.0</v>
      </c>
      <c r="F359" s="27">
        <v>236.0</v>
      </c>
      <c r="G359" s="27">
        <v>1.0</v>
      </c>
    </row>
    <row r="360">
      <c r="A360" s="27"/>
      <c r="B360" s="27"/>
      <c r="C360" s="27"/>
      <c r="D360" s="27">
        <v>359.0</v>
      </c>
      <c r="E360" s="26">
        <v>48272.0</v>
      </c>
      <c r="F360" s="27">
        <v>236.0</v>
      </c>
      <c r="G360" s="27">
        <v>0.0</v>
      </c>
    </row>
    <row r="361">
      <c r="A361" s="27"/>
      <c r="B361" s="27"/>
      <c r="C361" s="27"/>
      <c r="D361" s="27">
        <v>360.0</v>
      </c>
      <c r="E361" s="26">
        <v>48478.0</v>
      </c>
      <c r="F361" s="27">
        <v>236.0</v>
      </c>
      <c r="G361" s="27">
        <v>0.0</v>
      </c>
    </row>
    <row r="362">
      <c r="A362" s="27"/>
      <c r="B362" s="27"/>
      <c r="C362" s="27"/>
      <c r="D362" s="27">
        <v>361.0</v>
      </c>
      <c r="E362" s="26">
        <v>48684.0</v>
      </c>
      <c r="F362" s="27">
        <v>237.0</v>
      </c>
      <c r="G362" s="27">
        <v>1.0</v>
      </c>
    </row>
    <row r="363">
      <c r="A363" s="27"/>
      <c r="B363" s="27"/>
      <c r="C363" s="27"/>
      <c r="D363" s="27">
        <v>362.0</v>
      </c>
      <c r="E363" s="26">
        <v>48890.0</v>
      </c>
      <c r="F363" s="27">
        <v>237.0</v>
      </c>
      <c r="G363" s="27">
        <v>0.0</v>
      </c>
    </row>
    <row r="364">
      <c r="A364" s="27"/>
      <c r="B364" s="27"/>
      <c r="C364" s="27"/>
      <c r="D364" s="27">
        <v>363.0</v>
      </c>
      <c r="E364" s="26">
        <v>49097.0</v>
      </c>
      <c r="F364" s="27">
        <v>237.0</v>
      </c>
      <c r="G364" s="27">
        <v>0.0</v>
      </c>
    </row>
    <row r="365">
      <c r="A365" s="27"/>
      <c r="B365" s="27"/>
      <c r="C365" s="27"/>
      <c r="D365" s="27">
        <v>364.0</v>
      </c>
      <c r="E365" s="26">
        <v>49304.0</v>
      </c>
      <c r="F365" s="27">
        <v>238.0</v>
      </c>
      <c r="G365" s="27">
        <v>1.0</v>
      </c>
    </row>
    <row r="366">
      <c r="A366" s="27"/>
      <c r="B366" s="27"/>
      <c r="C366" s="27"/>
      <c r="D366" s="27">
        <v>365.0</v>
      </c>
      <c r="E366" s="26">
        <v>49511.0</v>
      </c>
      <c r="F366" s="27">
        <v>238.0</v>
      </c>
      <c r="G366" s="27">
        <v>0.0</v>
      </c>
    </row>
    <row r="367">
      <c r="A367" s="27"/>
      <c r="B367" s="27"/>
      <c r="C367" s="27"/>
      <c r="D367" s="27">
        <v>366.0</v>
      </c>
      <c r="E367" s="26">
        <v>49719.0</v>
      </c>
      <c r="F367" s="27">
        <v>238.0</v>
      </c>
      <c r="G367" s="27">
        <v>0.0</v>
      </c>
    </row>
    <row r="368">
      <c r="A368" s="27"/>
      <c r="B368" s="27"/>
      <c r="C368" s="27"/>
      <c r="D368" s="27">
        <v>367.0</v>
      </c>
      <c r="E368" s="26">
        <v>49927.0</v>
      </c>
      <c r="F368" s="27">
        <v>239.0</v>
      </c>
      <c r="G368" s="27">
        <v>1.0</v>
      </c>
    </row>
    <row r="369">
      <c r="A369" s="27"/>
      <c r="B369" s="27"/>
      <c r="C369" s="27"/>
      <c r="D369" s="27">
        <v>368.0</v>
      </c>
      <c r="E369" s="26">
        <v>50135.0</v>
      </c>
      <c r="F369" s="27">
        <v>239.0</v>
      </c>
      <c r="G369" s="27">
        <v>0.0</v>
      </c>
    </row>
    <row r="370">
      <c r="A370" s="27"/>
      <c r="B370" s="27"/>
      <c r="C370" s="27"/>
      <c r="D370" s="27">
        <v>369.0</v>
      </c>
      <c r="E370" s="26">
        <v>50344.0</v>
      </c>
      <c r="F370" s="27">
        <v>239.0</v>
      </c>
      <c r="G370" s="27">
        <v>0.0</v>
      </c>
    </row>
    <row r="371">
      <c r="A371" s="27"/>
      <c r="B371" s="27"/>
      <c r="C371" s="27"/>
      <c r="D371" s="27">
        <v>370.0</v>
      </c>
      <c r="E371" s="26">
        <v>50553.0</v>
      </c>
      <c r="F371" s="27">
        <v>240.0</v>
      </c>
      <c r="G371" s="27">
        <v>1.0</v>
      </c>
    </row>
    <row r="372">
      <c r="A372" s="27"/>
      <c r="B372" s="27"/>
      <c r="C372" s="27"/>
      <c r="D372" s="27">
        <v>371.0</v>
      </c>
      <c r="E372" s="26">
        <v>50762.0</v>
      </c>
      <c r="F372" s="27">
        <v>240.0</v>
      </c>
      <c r="G372" s="27">
        <v>0.0</v>
      </c>
    </row>
    <row r="373">
      <c r="A373" s="27"/>
      <c r="B373" s="27"/>
      <c r="C373" s="27"/>
      <c r="D373" s="27">
        <v>372.0</v>
      </c>
      <c r="E373" s="26">
        <v>50972.0</v>
      </c>
      <c r="F373" s="27">
        <v>240.0</v>
      </c>
      <c r="G373" s="27">
        <v>0.0</v>
      </c>
    </row>
    <row r="374">
      <c r="A374" s="27"/>
      <c r="B374" s="27"/>
      <c r="C374" s="27"/>
      <c r="D374" s="27">
        <v>373.0</v>
      </c>
      <c r="E374" s="26">
        <v>51182.0</v>
      </c>
      <c r="F374" s="27">
        <v>241.0</v>
      </c>
      <c r="G374" s="27">
        <v>1.0</v>
      </c>
    </row>
    <row r="375">
      <c r="A375" s="27"/>
      <c r="B375" s="27"/>
      <c r="C375" s="27"/>
      <c r="D375" s="27">
        <v>374.0</v>
      </c>
      <c r="E375" s="26">
        <v>51392.0</v>
      </c>
      <c r="F375" s="27">
        <v>241.0</v>
      </c>
      <c r="G375" s="27">
        <v>0.0</v>
      </c>
    </row>
    <row r="376">
      <c r="A376" s="27"/>
      <c r="B376" s="27"/>
      <c r="C376" s="27"/>
      <c r="D376" s="27">
        <v>375.0</v>
      </c>
      <c r="E376" s="26">
        <v>51603.0</v>
      </c>
      <c r="F376" s="27">
        <v>241.0</v>
      </c>
      <c r="G376" s="27">
        <v>0.0</v>
      </c>
    </row>
    <row r="377">
      <c r="A377" s="27"/>
      <c r="B377" s="27"/>
      <c r="C377" s="27"/>
      <c r="D377" s="27">
        <v>376.0</v>
      </c>
      <c r="E377" s="26">
        <v>51814.0</v>
      </c>
      <c r="F377" s="27">
        <v>242.0</v>
      </c>
      <c r="G377" s="27">
        <v>1.0</v>
      </c>
    </row>
    <row r="378">
      <c r="A378" s="27"/>
      <c r="B378" s="27"/>
      <c r="C378" s="27"/>
      <c r="D378" s="27">
        <v>377.0</v>
      </c>
      <c r="E378" s="26">
        <v>52025.0</v>
      </c>
      <c r="F378" s="27">
        <v>242.0</v>
      </c>
      <c r="G378" s="27">
        <v>0.0</v>
      </c>
    </row>
    <row r="379">
      <c r="A379" s="27"/>
      <c r="B379" s="27"/>
      <c r="C379" s="27"/>
      <c r="D379" s="27">
        <v>378.0</v>
      </c>
      <c r="E379" s="26">
        <v>52237.0</v>
      </c>
      <c r="F379" s="27">
        <v>242.0</v>
      </c>
      <c r="G379" s="27">
        <v>0.0</v>
      </c>
    </row>
    <row r="380">
      <c r="A380" s="27"/>
      <c r="B380" s="27"/>
      <c r="C380" s="27"/>
      <c r="D380" s="27">
        <v>379.0</v>
      </c>
      <c r="E380" s="26">
        <v>52449.0</v>
      </c>
      <c r="F380" s="27">
        <v>243.0</v>
      </c>
      <c r="G380" s="27">
        <v>1.0</v>
      </c>
    </row>
    <row r="381">
      <c r="A381" s="27"/>
      <c r="B381" s="27"/>
      <c r="C381" s="27"/>
      <c r="D381" s="27">
        <v>380.0</v>
      </c>
      <c r="E381" s="26">
        <v>52661.0</v>
      </c>
      <c r="F381" s="27">
        <v>243.0</v>
      </c>
      <c r="G381" s="27">
        <v>0.0</v>
      </c>
    </row>
    <row r="382">
      <c r="A382" s="27"/>
      <c r="B382" s="27"/>
      <c r="C382" s="27"/>
      <c r="D382" s="27">
        <v>381.0</v>
      </c>
      <c r="E382" s="26">
        <v>52874.0</v>
      </c>
      <c r="F382" s="27">
        <v>243.0</v>
      </c>
      <c r="G382" s="27">
        <v>0.0</v>
      </c>
    </row>
    <row r="383">
      <c r="A383" s="27"/>
      <c r="B383" s="27"/>
      <c r="C383" s="27"/>
      <c r="D383" s="27">
        <v>382.0</v>
      </c>
      <c r="E383" s="26">
        <v>53087.0</v>
      </c>
      <c r="F383" s="27">
        <v>244.0</v>
      </c>
      <c r="G383" s="27">
        <v>1.0</v>
      </c>
    </row>
    <row r="384">
      <c r="A384" s="27"/>
      <c r="B384" s="27"/>
      <c r="C384" s="27"/>
      <c r="D384" s="27">
        <v>383.0</v>
      </c>
      <c r="E384" s="26">
        <v>53300.0</v>
      </c>
      <c r="F384" s="27">
        <v>244.0</v>
      </c>
      <c r="G384" s="27">
        <v>0.0</v>
      </c>
    </row>
    <row r="385">
      <c r="A385" s="27"/>
      <c r="B385" s="27"/>
      <c r="C385" s="27"/>
      <c r="D385" s="27">
        <v>384.0</v>
      </c>
      <c r="E385" s="26">
        <v>53514.0</v>
      </c>
      <c r="F385" s="27">
        <v>244.0</v>
      </c>
      <c r="G385" s="27">
        <v>0.0</v>
      </c>
    </row>
    <row r="386">
      <c r="A386" s="27"/>
      <c r="B386" s="27"/>
      <c r="C386" s="27"/>
      <c r="D386" s="27">
        <v>385.0</v>
      </c>
      <c r="E386" s="26">
        <v>53728.0</v>
      </c>
      <c r="F386" s="27">
        <v>245.0</v>
      </c>
      <c r="G386" s="27">
        <v>1.0</v>
      </c>
    </row>
    <row r="387">
      <c r="A387" s="27"/>
      <c r="B387" s="27"/>
      <c r="C387" s="27"/>
      <c r="D387" s="27">
        <v>386.0</v>
      </c>
      <c r="E387" s="26">
        <v>53942.0</v>
      </c>
      <c r="F387" s="27">
        <v>245.0</v>
      </c>
      <c r="G387" s="27">
        <v>0.0</v>
      </c>
    </row>
    <row r="388">
      <c r="A388" s="27"/>
      <c r="B388" s="27"/>
      <c r="C388" s="27"/>
      <c r="D388" s="27">
        <v>387.0</v>
      </c>
      <c r="E388" s="26">
        <v>54157.0</v>
      </c>
      <c r="F388" s="27">
        <v>245.0</v>
      </c>
      <c r="G388" s="27">
        <v>0.0</v>
      </c>
    </row>
    <row r="389">
      <c r="A389" s="27"/>
      <c r="B389" s="27"/>
      <c r="C389" s="27"/>
      <c r="D389" s="27">
        <v>388.0</v>
      </c>
      <c r="E389" s="26">
        <v>54372.0</v>
      </c>
      <c r="F389" s="27">
        <v>246.0</v>
      </c>
      <c r="G389" s="27">
        <v>1.0</v>
      </c>
    </row>
    <row r="390">
      <c r="A390" s="27"/>
      <c r="B390" s="27"/>
      <c r="C390" s="27"/>
      <c r="D390" s="27">
        <v>389.0</v>
      </c>
      <c r="E390" s="26">
        <v>54587.0</v>
      </c>
      <c r="F390" s="27">
        <v>246.0</v>
      </c>
      <c r="G390" s="27">
        <v>0.0</v>
      </c>
    </row>
    <row r="391">
      <c r="A391" s="27"/>
      <c r="B391" s="27"/>
      <c r="C391" s="27"/>
      <c r="D391" s="27">
        <v>390.0</v>
      </c>
      <c r="E391" s="26">
        <v>54803.0</v>
      </c>
      <c r="F391" s="27">
        <v>246.0</v>
      </c>
      <c r="G391" s="27">
        <v>0.0</v>
      </c>
    </row>
    <row r="392">
      <c r="A392" s="27"/>
      <c r="B392" s="27"/>
      <c r="C392" s="27"/>
      <c r="D392" s="27">
        <v>391.0</v>
      </c>
      <c r="E392" s="26">
        <v>55019.0</v>
      </c>
      <c r="F392" s="27">
        <v>247.0</v>
      </c>
      <c r="G392" s="27">
        <v>1.0</v>
      </c>
    </row>
    <row r="393">
      <c r="A393" s="27"/>
      <c r="B393" s="27"/>
      <c r="C393" s="27"/>
      <c r="D393" s="27">
        <v>392.0</v>
      </c>
      <c r="E393" s="26">
        <v>55235.0</v>
      </c>
      <c r="F393" s="27">
        <v>247.0</v>
      </c>
      <c r="G393" s="27">
        <v>0.0</v>
      </c>
    </row>
    <row r="394">
      <c r="A394" s="27"/>
      <c r="B394" s="27"/>
      <c r="C394" s="27"/>
      <c r="D394" s="27">
        <v>393.0</v>
      </c>
      <c r="E394" s="26">
        <v>55452.0</v>
      </c>
      <c r="F394" s="27">
        <v>247.0</v>
      </c>
      <c r="G394" s="27">
        <v>0.0</v>
      </c>
    </row>
    <row r="395">
      <c r="A395" s="27"/>
      <c r="B395" s="27"/>
      <c r="C395" s="27"/>
      <c r="D395" s="27">
        <v>394.0</v>
      </c>
      <c r="E395" s="26">
        <v>55669.0</v>
      </c>
      <c r="F395" s="27">
        <v>248.0</v>
      </c>
      <c r="G395" s="27">
        <v>1.0</v>
      </c>
    </row>
    <row r="396">
      <c r="A396" s="27"/>
      <c r="B396" s="27"/>
      <c r="C396" s="27"/>
      <c r="D396" s="27">
        <v>395.0</v>
      </c>
      <c r="E396" s="26">
        <v>55886.0</v>
      </c>
      <c r="F396" s="27">
        <v>248.0</v>
      </c>
      <c r="G396" s="27">
        <v>0.0</v>
      </c>
    </row>
    <row r="397">
      <c r="A397" s="27"/>
      <c r="B397" s="27"/>
      <c r="C397" s="27"/>
      <c r="D397" s="27">
        <v>396.0</v>
      </c>
      <c r="E397" s="26">
        <v>56104.0</v>
      </c>
      <c r="F397" s="27">
        <v>248.0</v>
      </c>
      <c r="G397" s="27">
        <v>0.0</v>
      </c>
    </row>
    <row r="398">
      <c r="A398" s="27"/>
      <c r="B398" s="27"/>
      <c r="C398" s="27"/>
      <c r="D398" s="27">
        <v>397.0</v>
      </c>
      <c r="E398" s="26">
        <v>56322.0</v>
      </c>
      <c r="F398" s="27">
        <v>249.0</v>
      </c>
      <c r="G398" s="27">
        <v>1.0</v>
      </c>
    </row>
    <row r="399">
      <c r="A399" s="27"/>
      <c r="B399" s="27"/>
      <c r="C399" s="27"/>
      <c r="D399" s="27">
        <v>398.0</v>
      </c>
      <c r="E399" s="26">
        <v>56540.0</v>
      </c>
      <c r="F399" s="27">
        <v>249.0</v>
      </c>
      <c r="G399" s="27">
        <v>0.0</v>
      </c>
    </row>
    <row r="400">
      <c r="A400" s="27"/>
      <c r="B400" s="27"/>
      <c r="C400" s="27"/>
      <c r="D400" s="27">
        <v>399.0</v>
      </c>
      <c r="E400" s="26">
        <v>56759.0</v>
      </c>
      <c r="F400" s="27">
        <v>249.0</v>
      </c>
      <c r="G400" s="27">
        <v>0.0</v>
      </c>
    </row>
    <row r="401">
      <c r="A401" s="27"/>
      <c r="B401" s="27"/>
      <c r="C401" s="27"/>
      <c r="D401" s="27">
        <v>400.0</v>
      </c>
      <c r="E401" s="26">
        <v>56759.0</v>
      </c>
      <c r="F401" s="27">
        <v>250.0</v>
      </c>
      <c r="G401" s="27">
        <v>1.0</v>
      </c>
    </row>
  </sheetData>
  <mergeCells count="14">
    <mergeCell ref="H13:H16"/>
    <mergeCell ref="H17:H20"/>
    <mergeCell ref="H21:H24"/>
    <mergeCell ref="H25:H28"/>
    <mergeCell ref="I17:AB20"/>
    <mergeCell ref="I21:AB24"/>
    <mergeCell ref="I25:AB28"/>
    <mergeCell ref="H1:H4"/>
    <mergeCell ref="I1:M4"/>
    <mergeCell ref="H5:H8"/>
    <mergeCell ref="I5:M8"/>
    <mergeCell ref="H9:H12"/>
    <mergeCell ref="I9:M12"/>
    <mergeCell ref="I13:AB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sheetData>
    <row r="1" hidden="1">
      <c r="A1" s="413" t="s">
        <v>2112</v>
      </c>
      <c r="B1" s="193" t="s">
        <v>2113</v>
      </c>
      <c r="C1" s="92"/>
      <c r="D1" s="92"/>
      <c r="E1" s="92"/>
      <c r="F1" s="92"/>
      <c r="G1" s="189"/>
      <c r="H1" s="193" t="s">
        <v>2114</v>
      </c>
      <c r="I1" s="414"/>
      <c r="J1" s="414"/>
      <c r="K1" s="414"/>
      <c r="L1" s="414"/>
      <c r="M1" s="415"/>
    </row>
    <row r="2" hidden="1">
      <c r="A2" s="193" t="s">
        <v>2115</v>
      </c>
      <c r="B2" s="416"/>
      <c r="C2" s="92"/>
      <c r="D2" s="92"/>
      <c r="E2" s="92"/>
      <c r="F2" s="92"/>
      <c r="G2" s="189" t="s">
        <v>2116</v>
      </c>
      <c r="H2" s="193" t="s">
        <v>2117</v>
      </c>
      <c r="I2" s="79" t="s">
        <v>2118</v>
      </c>
      <c r="J2" s="79" t="s">
        <v>2119</v>
      </c>
      <c r="K2" s="79" t="s">
        <v>2120</v>
      </c>
      <c r="L2" s="79" t="s">
        <v>2121</v>
      </c>
      <c r="M2" s="189">
        <v>2.0</v>
      </c>
    </row>
    <row r="3" hidden="1">
      <c r="A3" s="417" t="s">
        <v>765</v>
      </c>
      <c r="B3" s="35"/>
      <c r="C3" s="8"/>
      <c r="D3" s="8"/>
      <c r="E3" s="7" t="s">
        <v>2122</v>
      </c>
      <c r="F3" s="8"/>
      <c r="G3" s="209"/>
      <c r="H3" s="186" t="s">
        <v>2123</v>
      </c>
      <c r="I3" s="7" t="s">
        <v>2124</v>
      </c>
      <c r="J3" s="7" t="s">
        <v>2125</v>
      </c>
      <c r="K3" s="7">
        <v>1.0</v>
      </c>
      <c r="L3" s="7" t="s">
        <v>2126</v>
      </c>
      <c r="M3" s="75" t="s">
        <v>2127</v>
      </c>
    </row>
    <row r="4" hidden="1">
      <c r="A4" s="193" t="s">
        <v>2128</v>
      </c>
      <c r="B4" s="416"/>
      <c r="C4" s="79" t="s">
        <v>2129</v>
      </c>
      <c r="D4" s="92"/>
      <c r="E4" s="92"/>
      <c r="F4" s="79" t="s">
        <v>2130</v>
      </c>
      <c r="G4" s="418"/>
      <c r="H4" s="193" t="s">
        <v>2131</v>
      </c>
      <c r="I4" s="79">
        <v>1.0</v>
      </c>
      <c r="J4" s="79" t="s">
        <v>2132</v>
      </c>
      <c r="K4" s="79" t="s">
        <v>2133</v>
      </c>
      <c r="L4" s="79">
        <v>3.0</v>
      </c>
      <c r="M4" s="189" t="s">
        <v>2134</v>
      </c>
    </row>
    <row r="5" hidden="1">
      <c r="A5" s="419" t="s">
        <v>752</v>
      </c>
      <c r="B5" s="78"/>
      <c r="C5" s="85"/>
      <c r="D5" s="85"/>
      <c r="E5" s="85"/>
      <c r="F5" s="85"/>
      <c r="G5" s="420" t="s">
        <v>2135</v>
      </c>
      <c r="H5" s="421" t="s">
        <v>2136</v>
      </c>
      <c r="I5" s="336" t="s">
        <v>2137</v>
      </c>
      <c r="J5" s="336" t="s">
        <v>2138</v>
      </c>
      <c r="K5" s="336" t="s">
        <v>2139</v>
      </c>
      <c r="L5" s="422" t="s">
        <v>2140</v>
      </c>
      <c r="M5" s="196">
        <v>2.0</v>
      </c>
    </row>
    <row r="6" hidden="1">
      <c r="A6" s="186" t="s">
        <v>2141</v>
      </c>
      <c r="B6" s="35"/>
      <c r="C6" s="8"/>
      <c r="D6" s="8"/>
      <c r="E6" s="8"/>
      <c r="F6" s="8"/>
      <c r="G6" s="209"/>
      <c r="H6" s="186" t="s">
        <v>2142</v>
      </c>
      <c r="I6" s="7" t="s">
        <v>2143</v>
      </c>
      <c r="J6" s="7" t="s">
        <v>2144</v>
      </c>
      <c r="K6" s="79" t="s">
        <v>2145</v>
      </c>
      <c r="L6" s="7" t="s">
        <v>2146</v>
      </c>
      <c r="M6" s="75" t="s">
        <v>2147</v>
      </c>
    </row>
    <row r="7" hidden="1">
      <c r="A7" s="423" t="s">
        <v>134</v>
      </c>
      <c r="B7" s="186" t="s">
        <v>2148</v>
      </c>
      <c r="C7" s="8"/>
      <c r="D7" s="7" t="s">
        <v>2149</v>
      </c>
      <c r="E7" s="8"/>
      <c r="F7" s="7" t="s">
        <v>2150</v>
      </c>
      <c r="G7" s="209"/>
      <c r="H7" s="186">
        <v>2.0</v>
      </c>
      <c r="I7" s="336" t="s">
        <v>2151</v>
      </c>
      <c r="J7" s="7">
        <v>1.0</v>
      </c>
      <c r="K7" s="7" t="s">
        <v>2152</v>
      </c>
      <c r="L7" s="7">
        <v>3.0</v>
      </c>
      <c r="M7" s="75" t="s">
        <v>2153</v>
      </c>
    </row>
    <row r="8" hidden="1">
      <c r="A8" s="193" t="s">
        <v>2154</v>
      </c>
      <c r="B8" s="416"/>
      <c r="C8" s="92"/>
      <c r="D8" s="92"/>
      <c r="E8" s="79" t="s">
        <v>2155</v>
      </c>
      <c r="F8" s="92"/>
      <c r="G8" s="418"/>
      <c r="H8" s="193" t="s">
        <v>2156</v>
      </c>
      <c r="I8" s="79" t="s">
        <v>2157</v>
      </c>
      <c r="J8" s="79" t="s">
        <v>2158</v>
      </c>
      <c r="K8" s="79">
        <v>1.0</v>
      </c>
      <c r="L8" s="79" t="s">
        <v>2159</v>
      </c>
      <c r="M8" s="189" t="s">
        <v>2160</v>
      </c>
    </row>
    <row r="9" hidden="1">
      <c r="A9" s="421" t="s">
        <v>2161</v>
      </c>
      <c r="B9" s="78"/>
      <c r="C9" s="336" t="s">
        <v>2162</v>
      </c>
      <c r="D9" s="85"/>
      <c r="E9" s="85"/>
      <c r="F9" s="85"/>
      <c r="G9" s="424"/>
      <c r="H9" s="421" t="s">
        <v>2163</v>
      </c>
      <c r="I9" s="336">
        <v>2.0</v>
      </c>
      <c r="J9" s="336" t="s">
        <v>2164</v>
      </c>
      <c r="K9" s="336" t="s">
        <v>2165</v>
      </c>
      <c r="L9" s="336" t="s">
        <v>2166</v>
      </c>
      <c r="M9" s="196" t="s">
        <v>2167</v>
      </c>
    </row>
    <row r="10" hidden="1">
      <c r="A10" s="186" t="s">
        <v>2168</v>
      </c>
      <c r="B10" s="186" t="s">
        <v>2169</v>
      </c>
      <c r="C10" s="8"/>
      <c r="D10" s="7" t="s">
        <v>2170</v>
      </c>
      <c r="E10" s="8"/>
      <c r="F10" s="8"/>
      <c r="G10" s="209"/>
      <c r="H10" s="186">
        <v>1.0</v>
      </c>
      <c r="I10" s="79" t="s">
        <v>2171</v>
      </c>
      <c r="J10" s="7">
        <v>2.0</v>
      </c>
      <c r="K10" s="79" t="s">
        <v>2172</v>
      </c>
      <c r="L10" s="7" t="s">
        <v>2173</v>
      </c>
      <c r="M10" s="75" t="s">
        <v>2174</v>
      </c>
    </row>
    <row r="11" hidden="1">
      <c r="A11" s="186" t="s">
        <v>2175</v>
      </c>
      <c r="B11" s="35"/>
      <c r="C11" s="8"/>
      <c r="D11" s="8"/>
      <c r="E11" s="8"/>
      <c r="F11" s="8"/>
      <c r="G11" s="209"/>
      <c r="H11" s="421" t="s">
        <v>2176</v>
      </c>
      <c r="I11" s="336" t="s">
        <v>2177</v>
      </c>
      <c r="J11" s="336" t="s">
        <v>2178</v>
      </c>
      <c r="K11" s="7" t="s">
        <v>2179</v>
      </c>
      <c r="L11" s="336" t="s">
        <v>2180</v>
      </c>
      <c r="M11" s="75" t="s">
        <v>2181</v>
      </c>
    </row>
    <row r="12" hidden="1">
      <c r="A12" s="193" t="s">
        <v>2182</v>
      </c>
      <c r="B12" s="193" t="s">
        <v>2183</v>
      </c>
      <c r="C12" s="79" t="s">
        <v>2184</v>
      </c>
      <c r="D12" s="79" t="s">
        <v>2185</v>
      </c>
      <c r="E12" s="79">
        <v>7.0</v>
      </c>
      <c r="F12" s="79">
        <v>11.0</v>
      </c>
      <c r="G12" s="189" t="s">
        <v>2186</v>
      </c>
      <c r="H12" s="193">
        <v>3.0</v>
      </c>
      <c r="I12" s="79">
        <v>2.0</v>
      </c>
      <c r="J12" s="79" t="s">
        <v>2185</v>
      </c>
      <c r="K12" s="79" t="s">
        <v>2187</v>
      </c>
      <c r="L12" s="79" t="s">
        <v>2188</v>
      </c>
      <c r="M12" s="189">
        <v>1.0</v>
      </c>
    </row>
    <row r="13" hidden="1">
      <c r="A13" s="421" t="s">
        <v>2189</v>
      </c>
      <c r="B13" s="421" t="s">
        <v>2190</v>
      </c>
      <c r="C13" s="336">
        <v>8.0</v>
      </c>
      <c r="D13" s="336" t="s">
        <v>2191</v>
      </c>
      <c r="E13" s="336">
        <v>10.0</v>
      </c>
      <c r="F13" s="336">
        <v>9.0</v>
      </c>
      <c r="G13" s="196" t="s">
        <v>2192</v>
      </c>
      <c r="H13" s="421">
        <v>4.0</v>
      </c>
      <c r="I13" s="336" t="s">
        <v>2193</v>
      </c>
      <c r="J13" s="336">
        <v>5.0</v>
      </c>
      <c r="K13" s="336" t="s">
        <v>2194</v>
      </c>
      <c r="L13" s="336" t="s">
        <v>2195</v>
      </c>
      <c r="M13" s="196">
        <v>6.0</v>
      </c>
    </row>
    <row r="14" hidden="1">
      <c r="A14" s="47" t="s">
        <v>2196</v>
      </c>
      <c r="B14" s="193" t="s">
        <v>2197</v>
      </c>
      <c r="C14" s="79" t="s">
        <v>2198</v>
      </c>
      <c r="D14" s="79" t="s">
        <v>2199</v>
      </c>
      <c r="E14" s="79" t="s">
        <v>2200</v>
      </c>
      <c r="F14" s="79" t="s">
        <v>2201</v>
      </c>
      <c r="G14" s="189" t="s">
        <v>2202</v>
      </c>
    </row>
    <row r="15" hidden="1">
      <c r="A15" s="50"/>
      <c r="B15" s="421" t="s">
        <v>2203</v>
      </c>
      <c r="C15" s="336" t="s">
        <v>2204</v>
      </c>
      <c r="D15" s="336" t="s">
        <v>2205</v>
      </c>
      <c r="E15" s="336" t="s">
        <v>2206</v>
      </c>
      <c r="F15" s="336" t="s">
        <v>2207</v>
      </c>
      <c r="G15" s="420" t="s">
        <v>2135</v>
      </c>
    </row>
    <row r="16" hidden="1">
      <c r="A16" s="413" t="s">
        <v>2208</v>
      </c>
      <c r="B16" s="193" t="s">
        <v>2113</v>
      </c>
      <c r="C16" s="92"/>
      <c r="D16" s="92"/>
      <c r="E16" s="92"/>
      <c r="F16" s="92"/>
      <c r="G16" s="189"/>
      <c r="H16" s="193" t="s">
        <v>2114</v>
      </c>
      <c r="I16" s="414"/>
      <c r="J16" s="414"/>
      <c r="K16" s="414"/>
      <c r="L16" s="414"/>
      <c r="M16" s="415"/>
    </row>
    <row r="17" hidden="1">
      <c r="A17" s="193" t="s">
        <v>2209</v>
      </c>
      <c r="B17" s="193" t="s">
        <v>2210</v>
      </c>
      <c r="C17" s="79" t="s">
        <v>2211</v>
      </c>
      <c r="D17" s="79">
        <v>11.0</v>
      </c>
      <c r="E17" s="79" t="s">
        <v>2212</v>
      </c>
      <c r="F17" s="79">
        <v>12.0</v>
      </c>
      <c r="G17" s="189" t="s">
        <v>2213</v>
      </c>
      <c r="H17" s="193">
        <v>3.0</v>
      </c>
      <c r="I17" s="79">
        <v>2.0</v>
      </c>
      <c r="J17" s="79" t="s">
        <v>2214</v>
      </c>
      <c r="K17" s="79">
        <v>4.0</v>
      </c>
      <c r="L17" s="79" t="s">
        <v>2215</v>
      </c>
      <c r="M17" s="189">
        <v>1.0</v>
      </c>
    </row>
    <row r="18" hidden="1">
      <c r="A18" s="419" t="s">
        <v>2216</v>
      </c>
      <c r="B18" s="421">
        <v>8.0</v>
      </c>
      <c r="C18" s="336">
        <v>9.0</v>
      </c>
      <c r="D18" s="336" t="s">
        <v>2217</v>
      </c>
      <c r="E18" s="336">
        <v>10.0</v>
      </c>
      <c r="F18" s="336" t="s">
        <v>2218</v>
      </c>
      <c r="G18" s="196" t="s">
        <v>2219</v>
      </c>
      <c r="H18" s="421" t="s">
        <v>2220</v>
      </c>
      <c r="I18" s="336" t="s">
        <v>2221</v>
      </c>
      <c r="J18" s="7">
        <v>6.0</v>
      </c>
      <c r="K18" s="336" t="s">
        <v>2222</v>
      </c>
      <c r="L18" s="7">
        <v>5.0</v>
      </c>
      <c r="M18" s="75">
        <v>7.0</v>
      </c>
    </row>
    <row r="19" hidden="1">
      <c r="A19" s="193" t="s">
        <v>2223</v>
      </c>
      <c r="B19" s="193" t="s">
        <v>2224</v>
      </c>
      <c r="C19" s="79" t="s">
        <v>2224</v>
      </c>
      <c r="D19" s="79" t="s">
        <v>2225</v>
      </c>
      <c r="E19" s="79" t="s">
        <v>2226</v>
      </c>
      <c r="F19" s="79" t="s">
        <v>2227</v>
      </c>
      <c r="G19" s="189" t="s">
        <v>2224</v>
      </c>
      <c r="H19" s="193" t="s">
        <v>2228</v>
      </c>
      <c r="I19" s="79" t="s">
        <v>2229</v>
      </c>
      <c r="J19" s="79">
        <v>4.0</v>
      </c>
      <c r="K19" s="79">
        <v>1.0</v>
      </c>
      <c r="L19" s="79">
        <v>5.0</v>
      </c>
      <c r="M19" s="189" t="s">
        <v>2230</v>
      </c>
    </row>
    <row r="20" hidden="1">
      <c r="A20" s="419" t="s">
        <v>752</v>
      </c>
      <c r="B20" s="421" t="s">
        <v>2224</v>
      </c>
      <c r="C20" s="336" t="s">
        <v>2224</v>
      </c>
      <c r="D20" s="336" t="s">
        <v>2224</v>
      </c>
      <c r="E20" s="336" t="s">
        <v>2224</v>
      </c>
      <c r="F20" s="336" t="s">
        <v>2231</v>
      </c>
      <c r="G20" s="196" t="s">
        <v>2232</v>
      </c>
      <c r="H20" s="421" t="s">
        <v>2233</v>
      </c>
      <c r="I20" s="336" t="s">
        <v>2234</v>
      </c>
      <c r="J20" s="336" t="s">
        <v>2235</v>
      </c>
      <c r="K20" s="336" t="s">
        <v>2236</v>
      </c>
      <c r="L20" s="336">
        <v>2.0</v>
      </c>
      <c r="M20" s="196">
        <v>3.0</v>
      </c>
    </row>
    <row r="21" hidden="1">
      <c r="A21" s="47" t="s">
        <v>2237</v>
      </c>
      <c r="B21" s="193" t="s">
        <v>2238</v>
      </c>
      <c r="C21" s="79" t="s">
        <v>2239</v>
      </c>
      <c r="D21" s="79" t="s">
        <v>2240</v>
      </c>
      <c r="E21" s="79" t="s">
        <v>2241</v>
      </c>
      <c r="F21" s="79" t="s">
        <v>2242</v>
      </c>
      <c r="G21" s="189" t="s">
        <v>2243</v>
      </c>
    </row>
    <row r="22" hidden="1">
      <c r="A22" s="419" t="s">
        <v>2244</v>
      </c>
      <c r="B22" s="421" t="s">
        <v>2245</v>
      </c>
      <c r="C22" s="336" t="s">
        <v>2246</v>
      </c>
      <c r="D22" s="336" t="s">
        <v>2247</v>
      </c>
      <c r="E22" s="336" t="s">
        <v>2248</v>
      </c>
      <c r="F22" s="336" t="s">
        <v>2249</v>
      </c>
      <c r="G22" s="196" t="s">
        <v>2250</v>
      </c>
    </row>
    <row r="23" hidden="1">
      <c r="A23" s="413" t="s">
        <v>2251</v>
      </c>
      <c r="B23" s="193" t="s">
        <v>2113</v>
      </c>
      <c r="C23" s="92"/>
      <c r="D23" s="92"/>
      <c r="E23" s="92"/>
      <c r="F23" s="92"/>
      <c r="G23" s="189"/>
      <c r="H23" s="193" t="s">
        <v>2114</v>
      </c>
      <c r="I23" s="414"/>
      <c r="J23" s="414"/>
      <c r="K23" s="414"/>
      <c r="L23" s="414"/>
      <c r="M23" s="415"/>
    </row>
    <row r="24" hidden="1">
      <c r="A24" s="193" t="s">
        <v>2252</v>
      </c>
      <c r="B24" s="193">
        <v>10.0</v>
      </c>
      <c r="C24" s="79">
        <v>11.0</v>
      </c>
      <c r="D24" s="79" t="s">
        <v>2253</v>
      </c>
      <c r="E24" s="79">
        <v>9.0</v>
      </c>
      <c r="F24" s="79" t="s">
        <v>2254</v>
      </c>
      <c r="G24" s="189">
        <v>8.0</v>
      </c>
      <c r="H24" s="193" t="s">
        <v>2255</v>
      </c>
      <c r="I24" s="79" t="s">
        <v>2256</v>
      </c>
      <c r="J24" s="79">
        <v>5.0</v>
      </c>
      <c r="K24" s="79" t="s">
        <v>2257</v>
      </c>
      <c r="L24" s="79">
        <v>6.0</v>
      </c>
      <c r="M24" s="189" t="s">
        <v>2258</v>
      </c>
    </row>
    <row r="25" hidden="1">
      <c r="A25" s="425" t="s">
        <v>744</v>
      </c>
      <c r="B25" s="421" t="s">
        <v>2259</v>
      </c>
      <c r="C25" s="336" t="s">
        <v>2260</v>
      </c>
      <c r="D25" s="336">
        <v>12.0</v>
      </c>
      <c r="E25" s="336" t="s">
        <v>2261</v>
      </c>
      <c r="F25" s="336" t="s">
        <v>2262</v>
      </c>
      <c r="G25" s="196" t="s">
        <v>2263</v>
      </c>
      <c r="H25" s="421">
        <v>1.0</v>
      </c>
      <c r="I25" s="336">
        <v>3.0</v>
      </c>
      <c r="J25" s="336" t="s">
        <v>2264</v>
      </c>
      <c r="K25" s="336">
        <v>4.0</v>
      </c>
      <c r="L25" s="336">
        <v>2.0</v>
      </c>
      <c r="M25" s="196">
        <v>7.0</v>
      </c>
    </row>
    <row r="26" hidden="1">
      <c r="A26" s="47" t="s">
        <v>2265</v>
      </c>
      <c r="B26" s="193" t="s">
        <v>2266</v>
      </c>
      <c r="C26" s="79" t="s">
        <v>2267</v>
      </c>
      <c r="D26" s="79">
        <v>10.0</v>
      </c>
      <c r="E26" s="79">
        <v>8.0</v>
      </c>
      <c r="F26" s="79">
        <v>12.0</v>
      </c>
      <c r="G26" s="189" t="s">
        <v>2268</v>
      </c>
      <c r="H26" s="193">
        <v>3.0</v>
      </c>
      <c r="I26" s="79">
        <v>2.0</v>
      </c>
      <c r="J26" s="79" t="s">
        <v>2269</v>
      </c>
      <c r="K26" s="79" t="s">
        <v>2270</v>
      </c>
      <c r="L26" s="79" t="s">
        <v>2271</v>
      </c>
      <c r="M26" s="189">
        <v>1.0</v>
      </c>
    </row>
    <row r="27" hidden="1">
      <c r="A27" s="426" t="s">
        <v>849</v>
      </c>
      <c r="B27" s="421" t="s">
        <v>2272</v>
      </c>
      <c r="C27" s="336" t="s">
        <v>2273</v>
      </c>
      <c r="D27" s="336" t="s">
        <v>2274</v>
      </c>
      <c r="E27" s="336">
        <v>11.0</v>
      </c>
      <c r="F27" s="336" t="s">
        <v>2275</v>
      </c>
      <c r="G27" s="196">
        <v>9.0</v>
      </c>
      <c r="H27" s="421">
        <v>4.0</v>
      </c>
      <c r="I27" s="336">
        <v>6.0</v>
      </c>
      <c r="J27" s="336">
        <v>5.0</v>
      </c>
      <c r="K27" s="336" t="s">
        <v>2276</v>
      </c>
      <c r="L27" s="336">
        <v>7.0</v>
      </c>
      <c r="M27" s="196" t="s">
        <v>2277</v>
      </c>
    </row>
    <row r="28">
      <c r="A28" s="413" t="s">
        <v>2278</v>
      </c>
      <c r="B28" s="193" t="s">
        <v>2113</v>
      </c>
      <c r="C28" s="92"/>
      <c r="D28" s="92"/>
      <c r="E28" s="92"/>
      <c r="F28" s="92"/>
      <c r="G28" s="189"/>
      <c r="H28" s="193" t="s">
        <v>2114</v>
      </c>
      <c r="I28" s="414"/>
      <c r="J28" s="414"/>
      <c r="K28" s="414"/>
      <c r="L28" s="414"/>
      <c r="M28" s="415"/>
    </row>
    <row r="29">
      <c r="A29" s="193" t="s">
        <v>2279</v>
      </c>
      <c r="B29" s="193" t="s">
        <v>2280</v>
      </c>
      <c r="C29" s="79" t="s">
        <v>2281</v>
      </c>
      <c r="D29" s="79">
        <v>10.0</v>
      </c>
      <c r="E29" s="79">
        <v>8.0</v>
      </c>
      <c r="F29" s="79">
        <v>12.0</v>
      </c>
      <c r="G29" s="189" t="s">
        <v>2282</v>
      </c>
      <c r="H29" s="193">
        <v>3.0</v>
      </c>
      <c r="I29" s="79">
        <v>2.0</v>
      </c>
      <c r="J29" s="79" t="s">
        <v>2283</v>
      </c>
      <c r="K29" s="79" t="s">
        <v>2284</v>
      </c>
      <c r="L29" s="79" t="s">
        <v>2285</v>
      </c>
      <c r="M29" s="189">
        <v>1.0</v>
      </c>
    </row>
    <row r="30">
      <c r="A30" s="421" t="s">
        <v>2286</v>
      </c>
      <c r="B30" s="421" t="s">
        <v>2287</v>
      </c>
      <c r="C30" s="336" t="s">
        <v>2288</v>
      </c>
      <c r="D30" s="336" t="s">
        <v>2289</v>
      </c>
      <c r="E30" s="336">
        <v>11.0</v>
      </c>
      <c r="F30" s="7">
        <v>9.0</v>
      </c>
      <c r="G30" s="196" t="s">
        <v>2290</v>
      </c>
      <c r="H30" s="336">
        <v>4.0</v>
      </c>
      <c r="I30" s="336">
        <v>6.0</v>
      </c>
      <c r="J30" s="336">
        <v>5.0</v>
      </c>
      <c r="K30" s="336" t="s">
        <v>2291</v>
      </c>
      <c r="L30" s="336" t="s">
        <v>2292</v>
      </c>
      <c r="M30" s="196">
        <v>7.0</v>
      </c>
    </row>
    <row r="31">
      <c r="A31" s="47" t="s">
        <v>2293</v>
      </c>
      <c r="B31" s="193" t="s">
        <v>2294</v>
      </c>
      <c r="C31" s="79" t="s">
        <v>2295</v>
      </c>
      <c r="D31" s="79" t="s">
        <v>2296</v>
      </c>
      <c r="E31" s="79" t="s">
        <v>2297</v>
      </c>
      <c r="F31" s="79" t="s">
        <v>2298</v>
      </c>
      <c r="G31" s="189" t="s">
        <v>2299</v>
      </c>
    </row>
    <row r="32">
      <c r="A32" s="421" t="s">
        <v>2300</v>
      </c>
      <c r="B32" s="421" t="s">
        <v>2301</v>
      </c>
      <c r="C32" s="336" t="s">
        <v>2302</v>
      </c>
      <c r="D32" s="336" t="s">
        <v>2303</v>
      </c>
      <c r="E32" s="336" t="s">
        <v>2304</v>
      </c>
      <c r="F32" s="336" t="s">
        <v>2305</v>
      </c>
      <c r="G32" s="196" t="s">
        <v>2306</v>
      </c>
    </row>
    <row r="33" hidden="1">
      <c r="A33" s="413" t="s">
        <v>2307</v>
      </c>
      <c r="B33" s="193" t="s">
        <v>2113</v>
      </c>
      <c r="C33" s="92"/>
      <c r="D33" s="92"/>
      <c r="E33" s="92"/>
      <c r="F33" s="92"/>
      <c r="G33" s="189"/>
      <c r="H33" s="193" t="s">
        <v>2114</v>
      </c>
      <c r="I33" s="414"/>
      <c r="J33" s="414"/>
      <c r="K33" s="414"/>
      <c r="L33" s="414"/>
      <c r="M33" s="415"/>
    </row>
    <row r="34" hidden="1">
      <c r="A34" s="193" t="s">
        <v>2308</v>
      </c>
      <c r="B34" s="193" t="s">
        <v>2309</v>
      </c>
      <c r="C34" s="79" t="s">
        <v>2310</v>
      </c>
      <c r="D34" s="79" t="s">
        <v>2311</v>
      </c>
      <c r="E34" s="79">
        <v>11.0</v>
      </c>
      <c r="F34" s="79" t="s">
        <v>2312</v>
      </c>
      <c r="G34" s="189" t="s">
        <v>2313</v>
      </c>
      <c r="H34" s="193">
        <v>6.0</v>
      </c>
      <c r="I34" s="79">
        <v>2.0</v>
      </c>
      <c r="J34" s="79">
        <v>5.0</v>
      </c>
      <c r="K34" s="79" t="s">
        <v>2314</v>
      </c>
      <c r="L34" s="79">
        <v>4.0</v>
      </c>
      <c r="M34" s="189">
        <v>1.0</v>
      </c>
    </row>
    <row r="35" hidden="1">
      <c r="A35" s="421" t="s">
        <v>2315</v>
      </c>
      <c r="B35" s="421">
        <v>9.0</v>
      </c>
      <c r="C35" s="336">
        <v>8.0</v>
      </c>
      <c r="D35" s="336" t="s">
        <v>2316</v>
      </c>
      <c r="E35" s="336">
        <v>10.0</v>
      </c>
      <c r="F35" s="7">
        <v>12.0</v>
      </c>
      <c r="G35" s="196" t="s">
        <v>2317</v>
      </c>
      <c r="H35" s="421" t="s">
        <v>2318</v>
      </c>
      <c r="I35" s="336" t="s">
        <v>2319</v>
      </c>
      <c r="J35" s="336">
        <v>3.0</v>
      </c>
      <c r="K35" s="336" t="s">
        <v>2320</v>
      </c>
      <c r="L35" s="336" t="s">
        <v>2321</v>
      </c>
      <c r="M35" s="196">
        <v>7.0</v>
      </c>
    </row>
    <row r="36" hidden="1">
      <c r="A36" s="47" t="s">
        <v>2322</v>
      </c>
      <c r="B36" s="193" t="s">
        <v>2323</v>
      </c>
      <c r="C36" s="79" t="s">
        <v>2324</v>
      </c>
      <c r="D36" s="79" t="s">
        <v>2325</v>
      </c>
      <c r="E36" s="79" t="s">
        <v>2326</v>
      </c>
      <c r="F36" s="79" t="s">
        <v>2327</v>
      </c>
      <c r="G36" s="189" t="s">
        <v>2328</v>
      </c>
    </row>
    <row r="37" hidden="1">
      <c r="A37" s="421" t="s">
        <v>2329</v>
      </c>
      <c r="B37" s="421" t="s">
        <v>2330</v>
      </c>
      <c r="C37" s="336" t="s">
        <v>2331</v>
      </c>
      <c r="D37" s="336" t="s">
        <v>2332</v>
      </c>
      <c r="E37" s="336" t="s">
        <v>2333</v>
      </c>
      <c r="F37" s="336" t="s">
        <v>2334</v>
      </c>
      <c r="G37" s="196" t="s">
        <v>2335</v>
      </c>
    </row>
    <row r="38" hidden="1">
      <c r="A38" s="413" t="s">
        <v>2336</v>
      </c>
      <c r="B38" s="193" t="s">
        <v>2113</v>
      </c>
      <c r="C38" s="92"/>
      <c r="D38" s="92"/>
      <c r="E38" s="92"/>
      <c r="F38" s="92"/>
      <c r="G38" s="189"/>
      <c r="H38" s="193" t="s">
        <v>2114</v>
      </c>
      <c r="I38" s="414"/>
      <c r="J38" s="414"/>
      <c r="K38" s="414"/>
      <c r="L38" s="414"/>
      <c r="M38" s="415"/>
    </row>
    <row r="39" hidden="1">
      <c r="A39" s="193" t="s">
        <v>2252</v>
      </c>
      <c r="B39" s="193" t="s">
        <v>2337</v>
      </c>
      <c r="C39" s="79" t="s">
        <v>2338</v>
      </c>
      <c r="D39" s="79">
        <v>8.0</v>
      </c>
      <c r="E39" s="79">
        <v>11.0</v>
      </c>
      <c r="F39" s="79" t="s">
        <v>2339</v>
      </c>
      <c r="G39" s="189" t="s">
        <v>2340</v>
      </c>
      <c r="H39" s="193">
        <v>5.0</v>
      </c>
      <c r="I39" s="79">
        <v>2.0</v>
      </c>
      <c r="J39" s="79" t="s">
        <v>2341</v>
      </c>
      <c r="K39" s="79" t="s">
        <v>2342</v>
      </c>
      <c r="L39" s="79">
        <v>4.0</v>
      </c>
      <c r="M39" s="189">
        <v>1.0</v>
      </c>
    </row>
    <row r="40" hidden="1">
      <c r="A40" s="427" t="s">
        <v>2343</v>
      </c>
      <c r="B40" s="421" t="s">
        <v>2344</v>
      </c>
      <c r="C40" s="336" t="s">
        <v>2345</v>
      </c>
      <c r="D40" s="336" t="s">
        <v>2346</v>
      </c>
      <c r="E40" s="336">
        <v>10.0</v>
      </c>
      <c r="F40" s="336">
        <v>12.0</v>
      </c>
      <c r="G40" s="196">
        <v>9.0</v>
      </c>
      <c r="H40" s="421">
        <v>6.0</v>
      </c>
      <c r="I40" s="336">
        <v>7.0</v>
      </c>
      <c r="J40" s="336">
        <v>3.0</v>
      </c>
      <c r="K40" s="336" t="s">
        <v>2347</v>
      </c>
      <c r="L40" s="336" t="s">
        <v>2348</v>
      </c>
      <c r="M40" s="196" t="s">
        <v>2349</v>
      </c>
    </row>
    <row r="41" hidden="1">
      <c r="A41" s="47" t="s">
        <v>2265</v>
      </c>
      <c r="B41" s="193" t="s">
        <v>2350</v>
      </c>
      <c r="C41" s="79">
        <v>9.0</v>
      </c>
      <c r="D41" s="79" t="s">
        <v>2351</v>
      </c>
      <c r="E41" s="79" t="s">
        <v>2352</v>
      </c>
      <c r="F41" s="79">
        <v>10.0</v>
      </c>
      <c r="G41" s="189">
        <v>11.0</v>
      </c>
      <c r="H41" s="193">
        <v>1.0</v>
      </c>
      <c r="I41" s="79" t="s">
        <v>2353</v>
      </c>
      <c r="J41" s="79">
        <v>2.0</v>
      </c>
      <c r="K41" s="79">
        <v>4.0</v>
      </c>
      <c r="L41" s="79" t="s">
        <v>2354</v>
      </c>
      <c r="M41" s="189" t="s">
        <v>2355</v>
      </c>
    </row>
    <row r="42" hidden="1">
      <c r="A42" s="428" t="s">
        <v>134</v>
      </c>
      <c r="B42" s="421" t="s">
        <v>2356</v>
      </c>
      <c r="C42" s="336" t="s">
        <v>2357</v>
      </c>
      <c r="D42" s="336" t="s">
        <v>2358</v>
      </c>
      <c r="E42" s="336">
        <v>12.0</v>
      </c>
      <c r="F42" s="336">
        <v>8.0</v>
      </c>
      <c r="G42" s="196" t="s">
        <v>2359</v>
      </c>
      <c r="H42" s="421">
        <v>7.0</v>
      </c>
      <c r="I42" s="336">
        <v>5.0</v>
      </c>
      <c r="J42" s="336">
        <v>3.0</v>
      </c>
      <c r="K42" s="336" t="s">
        <v>2360</v>
      </c>
      <c r="L42" s="336" t="s">
        <v>2361</v>
      </c>
      <c r="M42" s="196">
        <v>6.0</v>
      </c>
    </row>
    <row r="43">
      <c r="A43" s="413" t="s">
        <v>2362</v>
      </c>
      <c r="B43" s="193" t="s">
        <v>2113</v>
      </c>
      <c r="C43" s="92"/>
      <c r="D43" s="92"/>
      <c r="E43" s="92"/>
      <c r="F43" s="92"/>
      <c r="G43" s="189"/>
      <c r="H43" s="193" t="s">
        <v>2114</v>
      </c>
      <c r="I43" s="414"/>
      <c r="J43" s="414"/>
      <c r="K43" s="414"/>
      <c r="L43" s="414"/>
      <c r="M43" s="415"/>
    </row>
    <row r="44">
      <c r="A44" s="193" t="s">
        <v>2363</v>
      </c>
      <c r="B44" s="193">
        <v>10.0</v>
      </c>
      <c r="C44" s="79">
        <v>9.0</v>
      </c>
      <c r="D44" s="79">
        <v>12.0</v>
      </c>
      <c r="E44" s="79" t="s">
        <v>2364</v>
      </c>
      <c r="F44" s="79" t="s">
        <v>2365</v>
      </c>
      <c r="G44" s="189" t="s">
        <v>2366</v>
      </c>
      <c r="H44" s="193" t="s">
        <v>2367</v>
      </c>
      <c r="I44" s="79" t="s">
        <v>2368</v>
      </c>
      <c r="J44" s="79" t="s">
        <v>2369</v>
      </c>
      <c r="K44" s="79">
        <v>5.0</v>
      </c>
      <c r="L44" s="79">
        <v>2.0</v>
      </c>
      <c r="M44" s="189">
        <v>3.0</v>
      </c>
    </row>
    <row r="45">
      <c r="A45" s="429" t="s">
        <v>765</v>
      </c>
      <c r="B45" s="421" t="s">
        <v>2370</v>
      </c>
      <c r="C45" s="336" t="s">
        <v>2371</v>
      </c>
      <c r="D45" s="336" t="s">
        <v>2372</v>
      </c>
      <c r="E45" s="7">
        <v>8.0</v>
      </c>
      <c r="F45" s="336">
        <v>11.0</v>
      </c>
      <c r="G45" s="196" t="s">
        <v>2373</v>
      </c>
      <c r="H45" s="421">
        <v>7.0</v>
      </c>
      <c r="I45" s="336">
        <v>1.0</v>
      </c>
      <c r="J45" s="336">
        <v>4.0</v>
      </c>
      <c r="K45" s="336" t="s">
        <v>2374</v>
      </c>
      <c r="L45" s="336" t="s">
        <v>2375</v>
      </c>
      <c r="M45" s="196">
        <v>6.0</v>
      </c>
    </row>
    <row r="46">
      <c r="A46" s="47" t="s">
        <v>2376</v>
      </c>
      <c r="B46" s="193" t="s">
        <v>2377</v>
      </c>
      <c r="C46" s="79" t="s">
        <v>2378</v>
      </c>
      <c r="D46" s="79" t="s">
        <v>2379</v>
      </c>
      <c r="E46" s="79" t="s">
        <v>2380</v>
      </c>
      <c r="F46" s="79" t="s">
        <v>2381</v>
      </c>
      <c r="G46" s="189" t="s">
        <v>2382</v>
      </c>
    </row>
    <row r="47">
      <c r="A47" s="429" t="s">
        <v>765</v>
      </c>
      <c r="B47" s="421" t="s">
        <v>2383</v>
      </c>
      <c r="C47" s="336" t="s">
        <v>2384</v>
      </c>
      <c r="D47" s="336" t="s">
        <v>2385</v>
      </c>
      <c r="E47" s="336" t="s">
        <v>2386</v>
      </c>
      <c r="F47" s="336" t="s">
        <v>2387</v>
      </c>
      <c r="G47" s="196" t="s">
        <v>2388</v>
      </c>
    </row>
    <row r="48">
      <c r="A48" s="413" t="s">
        <v>2389</v>
      </c>
      <c r="B48" s="193" t="s">
        <v>2113</v>
      </c>
      <c r="C48" s="92"/>
      <c r="D48" s="92"/>
      <c r="E48" s="92"/>
      <c r="F48" s="92"/>
      <c r="G48" s="189"/>
      <c r="H48" s="193" t="s">
        <v>2114</v>
      </c>
      <c r="I48" s="414"/>
      <c r="J48" s="414"/>
      <c r="K48" s="414"/>
      <c r="L48" s="414"/>
      <c r="M48" s="415"/>
    </row>
    <row r="49">
      <c r="A49" s="193" t="s">
        <v>2252</v>
      </c>
      <c r="B49" s="193" t="s">
        <v>2390</v>
      </c>
      <c r="C49" s="79" t="s">
        <v>2391</v>
      </c>
      <c r="D49" s="79">
        <v>10.0</v>
      </c>
      <c r="E49" s="79">
        <v>8.0</v>
      </c>
      <c r="F49" s="79">
        <v>12.0</v>
      </c>
      <c r="G49" s="189" t="s">
        <v>2392</v>
      </c>
      <c r="H49" s="193">
        <v>3.0</v>
      </c>
      <c r="I49" s="79">
        <v>2.0</v>
      </c>
      <c r="J49" s="79" t="s">
        <v>2393</v>
      </c>
      <c r="K49" s="79" t="s">
        <v>2394</v>
      </c>
      <c r="L49" s="79" t="s">
        <v>2395</v>
      </c>
      <c r="M49" s="189">
        <v>1.0</v>
      </c>
    </row>
    <row r="50">
      <c r="A50" s="421" t="s">
        <v>2396</v>
      </c>
      <c r="B50" s="421" t="s">
        <v>2397</v>
      </c>
      <c r="C50" s="336" t="s">
        <v>2398</v>
      </c>
      <c r="D50" s="336" t="s">
        <v>2399</v>
      </c>
      <c r="E50" s="336">
        <v>11.0</v>
      </c>
      <c r="F50" s="7">
        <v>9.0</v>
      </c>
      <c r="G50" s="196" t="s">
        <v>2400</v>
      </c>
      <c r="H50" s="336">
        <v>4.0</v>
      </c>
      <c r="I50" s="336">
        <v>6.0</v>
      </c>
      <c r="J50" s="336">
        <v>5.0</v>
      </c>
      <c r="K50" s="336" t="s">
        <v>2401</v>
      </c>
      <c r="L50" s="336" t="s">
        <v>2402</v>
      </c>
      <c r="M50" s="196">
        <v>7.0</v>
      </c>
    </row>
    <row r="51">
      <c r="A51" s="47" t="s">
        <v>2265</v>
      </c>
      <c r="B51" s="193">
        <v>12.0</v>
      </c>
      <c r="C51" s="79" t="s">
        <v>2403</v>
      </c>
      <c r="D51" s="79">
        <v>10.0</v>
      </c>
      <c r="E51" s="79" t="s">
        <v>2404</v>
      </c>
      <c r="F51" s="79" t="s">
        <v>2405</v>
      </c>
      <c r="G51" s="189" t="s">
        <v>2406</v>
      </c>
      <c r="H51" s="193" t="s">
        <v>2407</v>
      </c>
      <c r="I51" s="79">
        <v>7.0</v>
      </c>
      <c r="J51" s="79" t="s">
        <v>2408</v>
      </c>
      <c r="K51" s="79">
        <v>6.0</v>
      </c>
      <c r="L51" s="79">
        <v>2.0</v>
      </c>
      <c r="M51" s="189">
        <v>1.0</v>
      </c>
    </row>
    <row r="52">
      <c r="A52" s="421" t="s">
        <v>2409</v>
      </c>
      <c r="B52" s="421" t="s">
        <v>2410</v>
      </c>
      <c r="C52" s="336" t="s">
        <v>2411</v>
      </c>
      <c r="D52" s="336">
        <v>9.0</v>
      </c>
      <c r="E52" s="336">
        <v>8.0</v>
      </c>
      <c r="F52" s="336" t="s">
        <v>2412</v>
      </c>
      <c r="G52" s="196">
        <v>11.0</v>
      </c>
      <c r="H52" s="421">
        <v>4.0</v>
      </c>
      <c r="I52" s="336">
        <v>5.0</v>
      </c>
      <c r="J52" s="336" t="s">
        <v>2413</v>
      </c>
      <c r="K52" s="336" t="s">
        <v>2414</v>
      </c>
      <c r="L52" s="336">
        <v>3.0</v>
      </c>
      <c r="M52" s="196" t="s">
        <v>2415</v>
      </c>
    </row>
  </sheetData>
  <conditionalFormatting sqref="C1:G52 B2:B15 H2:M13 B17:B22 H17:M20 B24:B27 H24:M27 B29:B32 H29:M30 B34:B37 H34:M35 B39:B42 H39:M42 B44:B47 H44:M45 B49:B52 H49:M52">
    <cfRule type="containsText" dxfId="18" priority="1" operator="containsText" text=" YS">
      <formula>NOT(ISERROR(SEARCH((" YS"),(C1))))</formula>
    </cfRule>
  </conditionalFormatting>
  <conditionalFormatting sqref="C1:G52 B2:B15 H2:M13 B17:B22 H17:M20 B24:B27 H24:M27 B29:B32 H29:M30 B34:B37 H34:M35 B39:B42 H39:M42 B44:B47 H44:M45 B49:B52 H49:M52">
    <cfRule type="containsText" dxfId="19" priority="2" operator="containsText" text=" FT">
      <formula>NOT(ISERROR(SEARCH((" FT"),(C1))))</formula>
    </cfRule>
  </conditionalFormatting>
  <conditionalFormatting sqref="C1:G52 B2:B15 H2:M13 B17:B22 H17:M20 B24:B27 H24:M27 B29:B32 H29:M30 B34:B37 H34:M35 B39:B42 H39:M42 B44:B47 H44:M45 B49:B52 H49:M52">
    <cfRule type="containsText" dxfId="6" priority="3" operator="containsText" text=" DQ">
      <formula>NOT(ISERROR(SEARCH((" DQ"),(C1))))</formula>
    </cfRule>
  </conditionalFormatting>
  <conditionalFormatting sqref="C1:G52 B2:B15 H2:M13 B17:B22 H17:M20 B24:B27 H24:M27 B29:B32 H29:M30 B34:B37 H34:M35 B39:B42 H39:M42 B44:B47 H44:M45 B49:B52 H49:M52">
    <cfRule type="containsText" dxfId="20" priority="4" operator="containsText" text=" RS">
      <formula>NOT(ISERROR(SEARCH((" RS"),(C1))))</formula>
    </cfRule>
  </conditionalFormatting>
  <conditionalFormatting sqref="C1:G52 B2:B15 H2:M13 B17:B22 H17:M20 B24:B27 H24:M27 B29:B32 H29:M30 B34:B37 H34:M35 B39:B42 H39:M42 B44:B47 H44:M45 B49:B52 H49:M52">
    <cfRule type="containsText" dxfId="21" priority="5" operator="containsText" text=" MS">
      <formula>NOT(ISERROR(SEARCH((" MS"),(C1))))</formula>
    </cfRule>
  </conditionalFormatting>
  <conditionalFormatting sqref="C1:G52 B2:B15 H2:M13 B17:B22 H17:M20 B24:B27 H24:M27 B29:B32 H29:M30 B34:B37 H34:M35 B39:B42 H39:M42 B44:B47 H44:M45 B49:B52 H49:M52">
    <cfRule type="containsText" dxfId="22" priority="6" operator="containsText" text=" HL">
      <formula>NOT(ISERROR(SEARCH((" HL"),(C1))))</formula>
    </cfRule>
  </conditionalFormatting>
  <conditionalFormatting sqref="C1:G52 B2:B15 H2:M13 B17:B22 H17:M20 B24:B27 H24:M27 B29:B32 H29:M30 B34:B37 H34:M35 B39:B42 H39:M42 B44:B47 H44:M45 B49:B52 H49:M52">
    <cfRule type="containsText" dxfId="23" priority="7" operator="containsText" text=" HC">
      <formula>NOT(ISERROR(SEARCH((" HC"),(C1))))</formula>
    </cfRule>
  </conditionalFormatting>
  <conditionalFormatting sqref="C1:G52 B2:B15 H2:M13 B17:B22 H17:M20 B24:B27 H24:M27 B29:B32 H29:M30 B34:B37 H34:M35 B39:B42 H39:M42 B44:B47 H44:M45 B49:B52 H49:M52">
    <cfRule type="containsText" dxfId="24" priority="8" operator="containsText" text=" IS">
      <formula>NOT(ISERROR(SEARCH((" IS"),(C1))))</formula>
    </cfRule>
  </conditionalFormatting>
  <conditionalFormatting sqref="C1:G52 B2:B15 H2:M13 B17:B22 H17:M20 B24:B27 H24:M27 B29:B32 H29:M30 B34:B37 H34:M35 B39:B42 H39:M42 B44:B47 H44:M45 B49:B52 H49:M52">
    <cfRule type="containsText" dxfId="25" priority="9" operator="containsText" text=" RD">
      <formula>NOT(ISERROR(SEARCH((" RD"),(C1))))</formula>
    </cfRule>
  </conditionalFormatting>
  <conditionalFormatting sqref="C1:G52 B2:B15 H2:M13 B17:B22 H17:M20 B24:B27 H24:M27 B29:B32 H29:M30 B34:B37 H34:M35 B39:B42 H39:M42 B44:B47 H44:M45 B49:B52 H49:M52">
    <cfRule type="containsText" dxfId="26" priority="10" operator="containsText" text=" SC">
      <formula>NOT(ISERROR(SEARCH((" SC"),(C1))))</formula>
    </cfRule>
  </conditionalFormatting>
  <conditionalFormatting sqref="C1:G52 B2:B15 H2:M13 B17:B22 H17:M20 B24:B27 H24:M27 B29:B32 H29:M30 B34:B37 H34:M35 B39:B42 H39:M42 B44:B47 H44:M45 B49:B52 H49:M52">
    <cfRule type="containsText" dxfId="27" priority="11" operator="containsText" text=" OT">
      <formula>NOT(ISERROR(SEARCH((" OT"),(C1))))</formula>
    </cfRule>
  </conditionalFormatting>
  <conditionalFormatting sqref="C1:G52 B2:B15 H2:M13 B17:B22 H17:M20 B24:B27 H24:M27 B29:B32 H29:M30 B34:B37 H34:M35 B39:B42 H39:M42 B44:B47 H44:M45 B49:B52 H49:M52">
    <cfRule type="containsText" dxfId="28" priority="12" operator="containsText" text=" GG">
      <formula>NOT(ISERROR(SEARCH((" GG"),(C1))))</formula>
    </cfRule>
  </conditionalFormatting>
  <drawing r:id="rId1"/>
</worksheet>
</file>